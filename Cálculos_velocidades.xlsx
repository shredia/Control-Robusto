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Utal\Memoria_Clinostato\Memoria-clinostato\Control Robusto\"/>
    </mc:Choice>
  </mc:AlternateContent>
  <xr:revisionPtr revIDLastSave="0" documentId="8_{BF588321-F91B-433E-8A51-3E69516B5244}" xr6:coauthVersionLast="47" xr6:coauthVersionMax="47" xr10:uidLastSave="{00000000-0000-0000-0000-000000000000}"/>
  <bookViews>
    <workbookView xWindow="5925" yWindow="3180" windowWidth="28800" windowHeight="15345" activeTab="2" xr2:uid="{D2B17343-B33A-4EE0-9376-4B97926B54AB}"/>
  </bookViews>
  <sheets>
    <sheet name="Chart1" sheetId="2" r:id="rId1"/>
    <sheet name="Sheet1" sheetId="1" r:id="rId2"/>
    <sheet name="Cálculo motores" sheetId="3" r:id="rId3"/>
    <sheet name="Saliencia motor1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6" i="3" l="1"/>
  <c r="I10" i="4"/>
  <c r="H9" i="4"/>
  <c r="H8" i="4"/>
  <c r="H12" i="4" s="1"/>
  <c r="H11" i="4" l="1"/>
  <c r="R5" i="3"/>
  <c r="R6" i="3"/>
  <c r="R7" i="3"/>
  <c r="R8" i="3"/>
  <c r="R9" i="3"/>
  <c r="S5" i="3"/>
  <c r="S6" i="3"/>
  <c r="S7" i="3"/>
  <c r="S8" i="3"/>
  <c r="S9" i="3"/>
  <c r="Q5" i="3"/>
  <c r="Q6" i="3"/>
  <c r="P5" i="3"/>
  <c r="P6" i="3"/>
  <c r="P7" i="3"/>
  <c r="P8" i="3"/>
  <c r="P9" i="3"/>
  <c r="N7" i="3"/>
  <c r="N8" i="3"/>
  <c r="N9" i="3"/>
  <c r="L8" i="3"/>
  <c r="Q8" i="3" s="1"/>
  <c r="L9" i="3"/>
  <c r="Q9" i="3" s="1"/>
  <c r="L7" i="3"/>
  <c r="Q7" i="3" s="1"/>
  <c r="O5" i="3"/>
  <c r="O6" i="3"/>
  <c r="Q13" i="1"/>
  <c r="R13" i="1" s="1"/>
  <c r="W12" i="1"/>
  <c r="W13" i="1"/>
  <c r="Q12" i="1"/>
  <c r="R12" i="1" s="1"/>
  <c r="R4" i="1"/>
  <c r="R5" i="1"/>
  <c r="R6" i="1"/>
  <c r="N6" i="1"/>
  <c r="P6" i="1"/>
  <c r="G6" i="1" s="1"/>
  <c r="L6" i="1"/>
  <c r="M5" i="1"/>
  <c r="P5" i="1" s="1"/>
  <c r="G5" i="1" s="1"/>
  <c r="N5" i="1"/>
  <c r="L5" i="1"/>
  <c r="N4" i="1"/>
  <c r="M4" i="1"/>
  <c r="P4" i="1" s="1"/>
  <c r="G4" i="1" s="1"/>
  <c r="L4" i="1"/>
  <c r="I15" i="4" l="1"/>
  <c r="I14" i="4"/>
  <c r="O8" i="3"/>
  <c r="O7" i="3"/>
  <c r="O9" i="3"/>
  <c r="U13" i="1"/>
  <c r="V13" i="1" s="1"/>
  <c r="X13" i="1" s="1"/>
  <c r="U12" i="1"/>
  <c r="V12" i="1" s="1"/>
  <c r="X12" i="1" s="1"/>
  <c r="S6" i="1"/>
  <c r="S5" i="1"/>
  <c r="T6" i="1"/>
  <c r="S4" i="1"/>
  <c r="T5" i="1"/>
  <c r="T4" i="1"/>
  <c r="U5" i="1"/>
  <c r="U4" i="1"/>
  <c r="U6" i="1"/>
  <c r="V6" i="1" l="1"/>
  <c r="W6" i="1" s="1"/>
  <c r="C6" i="1" s="1"/>
  <c r="V4" i="1"/>
  <c r="X4" i="1" s="1"/>
  <c r="V5" i="1"/>
  <c r="W5" i="1" s="1"/>
  <c r="E6" i="1" l="1"/>
  <c r="D4" i="1"/>
  <c r="F4" i="1"/>
  <c r="X6" i="1"/>
  <c r="W4" i="1"/>
  <c r="E4" i="1" s="1"/>
  <c r="E5" i="1"/>
  <c r="C5" i="1"/>
  <c r="X5" i="1"/>
  <c r="F6" i="1" l="1"/>
  <c r="D6" i="1"/>
  <c r="D5" i="1"/>
  <c r="F5" i="1"/>
  <c r="C4" i="1"/>
</calcChain>
</file>

<file path=xl/sharedStrings.xml><?xml version="1.0" encoding="utf-8"?>
<sst xmlns="http://schemas.openxmlformats.org/spreadsheetml/2006/main" count="83" uniqueCount="78">
  <si>
    <t>eje X</t>
  </si>
  <si>
    <t>relación</t>
  </si>
  <si>
    <t>eje y</t>
  </si>
  <si>
    <t>Velocidad motor [rad/s]</t>
  </si>
  <si>
    <t>Velocidad eje [rad/s]</t>
  </si>
  <si>
    <t>radio</t>
  </si>
  <si>
    <t>Ac</t>
  </si>
  <si>
    <t>Nema 17 HS3401S</t>
  </si>
  <si>
    <t>Motor</t>
  </si>
  <si>
    <t>7.3</t>
  </si>
  <si>
    <t>Inductancia (H)</t>
  </si>
  <si>
    <t>Resistencia (Ohms)</t>
  </si>
  <si>
    <t>Corriente nominal (A)</t>
  </si>
  <si>
    <t>Voltaje nominal (V)</t>
  </si>
  <si>
    <t>Paso (grados)</t>
  </si>
  <si>
    <t>Inercia (Kg m3)</t>
  </si>
  <si>
    <t>Holding Torque (Nm)</t>
  </si>
  <si>
    <t>Kt</t>
  </si>
  <si>
    <t>Voltaje DC (V)</t>
  </si>
  <si>
    <t>Wm max (rad/s)</t>
  </si>
  <si>
    <t>Wm min (rad/s)</t>
  </si>
  <si>
    <t>17hs4401</t>
  </si>
  <si>
    <t>HS5628</t>
  </si>
  <si>
    <t>a</t>
  </si>
  <si>
    <t>b</t>
  </si>
  <si>
    <t>c</t>
  </si>
  <si>
    <t>discriminante</t>
  </si>
  <si>
    <t>We max + (rad/s)</t>
  </si>
  <si>
    <t>We max - (rad/s)</t>
  </si>
  <si>
    <t>Columna1</t>
  </si>
  <si>
    <t>Columna2</t>
  </si>
  <si>
    <t>Pares de polos</t>
  </si>
  <si>
    <t>We - [hz]</t>
  </si>
  <si>
    <t>We +[hz]</t>
  </si>
  <si>
    <t>Columna3</t>
  </si>
  <si>
    <t>Columna4</t>
  </si>
  <si>
    <t>Wm + (rad/s)</t>
  </si>
  <si>
    <t>Wm - (rad/s)</t>
  </si>
  <si>
    <t>RPM</t>
  </si>
  <si>
    <t>rad/s</t>
  </si>
  <si>
    <t>Hz</t>
  </si>
  <si>
    <t>Modelo</t>
  </si>
  <si>
    <t>Corriente Nominal (A)</t>
  </si>
  <si>
    <t>Inductancia (mH)</t>
  </si>
  <si>
    <t>Error (%)</t>
  </si>
  <si>
    <t>Error (%)2</t>
  </si>
  <si>
    <t>17HS3401S</t>
  </si>
  <si>
    <t>Voltaje Nominal</t>
  </si>
  <si>
    <t>Inercia (g cm3)</t>
  </si>
  <si>
    <t>Torque detención (mNm)</t>
  </si>
  <si>
    <t>42HS29-0804</t>
  </si>
  <si>
    <t>42HS40-0404</t>
  </si>
  <si>
    <t>42HS40-1704</t>
  </si>
  <si>
    <t>Holding Torque (Kg cm)</t>
  </si>
  <si>
    <t>Torque máximo T_hold (mNm)</t>
  </si>
  <si>
    <t>Detent torque (g cm)</t>
  </si>
  <si>
    <t>Tasa</t>
  </si>
  <si>
    <t>tau (mS)</t>
  </si>
  <si>
    <t>Hold/J</t>
  </si>
  <si>
    <t>Detent/J</t>
  </si>
  <si>
    <t>Motor 1</t>
  </si>
  <si>
    <t>R</t>
  </si>
  <si>
    <t>Paso</t>
  </si>
  <si>
    <t>La</t>
  </si>
  <si>
    <t>Lb</t>
  </si>
  <si>
    <t>Lq</t>
  </si>
  <si>
    <t xml:space="preserve">Ld </t>
  </si>
  <si>
    <t xml:space="preserve">L0 </t>
  </si>
  <si>
    <t>L2</t>
  </si>
  <si>
    <t>L0 + L2*COS(2*Theta)</t>
  </si>
  <si>
    <t>L0 -L2*COS(2*Theta)</t>
  </si>
  <si>
    <t>45 grados</t>
  </si>
  <si>
    <t xml:space="preserve">Fase </t>
  </si>
  <si>
    <t>V</t>
  </si>
  <si>
    <t>I</t>
  </si>
  <si>
    <t>Inductancia  medida</t>
  </si>
  <si>
    <t>Fase A</t>
  </si>
  <si>
    <t>Fase 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</si>
</sst>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"/>
  </numFmts>
  <fonts count="2" x14ac:knownFonts="1">
    <font>
      <sz val="11"/>
      <color theme="1"/>
      <name val="Aptos Narrow"/>
      <family val="2"/>
      <scheme val="minor"/>
    </font>
    <font>
      <u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164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3" fontId="0" fillId="0" borderId="0" xfId="0" applyNumberFormat="1"/>
    <xf numFmtId="0" fontId="1" fillId="0" borderId="0" xfId="0" applyFont="1"/>
  </cellXfs>
  <cellStyles count="1">
    <cellStyle name="Normal" xfId="0" builtinId="0"/>
  </cellStyles>
  <dxfs count="4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1.xml"/><Relationship Id="rId1" Type="http://schemas.openxmlformats.org/officeDocument/2006/relationships/chartsheet" Target="chart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2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3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lotArea>
      <c:layout/>
      <c:barChart>
        <c:barDir val="col"/>
        <c:grouping val="clustered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04762240"/>
        <c:axId val="1504762720"/>
      </c:barChart>
      <c:catAx>
        <c:axId val="150476224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504762720"/>
        <c:crosses val="autoZero"/>
        <c:auto val="1"/>
        <c:lblAlgn val="ctr"/>
        <c:lblOffset val="100"/>
        <c:noMultiLvlLbl val="0"/>
      </c:catAx>
      <c:valAx>
        <c:axId val="15047627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5047622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62C9D097-A25C-46FF-B2FA-7B37DE7D9DEA}">
  <sheetPr/>
  <sheetViews>
    <sheetView zoomScale="105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72286" cy="6295571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8195F17-0ECF-DFEB-1F4A-1160E219393E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5AE2ABE-AF23-40B9-9F9D-FE29300E5D69}" name="Tabla1" displayName="Tabla1" ref="B3:AB6" totalsRowShown="0">
  <autoFilter ref="B3:AB6" xr:uid="{F5AE2ABE-AF23-40B9-9F9D-FE29300E5D69}"/>
  <tableColumns count="27">
    <tableColumn id="1" xr3:uid="{AEFDB132-7234-4981-ABCD-7206556A0F19}" name="Motor"/>
    <tableColumn id="25" xr3:uid="{D38E80CA-8979-4A14-9D3A-94211FBF7914}" name="We +[hz]" dataDxfId="25">
      <calculatedColumnFormula>Tabla1[[#This Row],[We max + (rad/s)]]/(2*PI())</calculatedColumnFormula>
    </tableColumn>
    <tableColumn id="24" xr3:uid="{52EC1A58-E96B-450B-B80D-53A1A51D4833}" name="We - [hz]" dataDxfId="24">
      <calculatedColumnFormula>ABS(Tabla1[[#This Row],[We max - (rad/s)]]/(2*PI()))</calculatedColumnFormula>
    </tableColumn>
    <tableColumn id="26" xr3:uid="{4DB3C850-12F6-4EE6-9888-38F18EB0FDC0}" name="Wm + (rad/s)" dataDxfId="23">
      <calculatedColumnFormula>Tabla1[[#This Row],[We max + (rad/s)]]/Tabla1[[#This Row],[Pares de polos]]</calculatedColumnFormula>
    </tableColumn>
    <tableColumn id="23" xr3:uid="{0524430D-5BB2-49BF-A667-5EDD8AD5D75C}" name="Wm - (rad/s)" dataDxfId="22">
      <calculatedColumnFormula>ABS(Tabla1[[#This Row],[We max - (rad/s)]]/Tabla1[[#This Row],[Pares de polos]])</calculatedColumnFormula>
    </tableColumn>
    <tableColumn id="27" xr3:uid="{89B20DFB-0E6F-4275-AB08-AB76C97BEE1C}" name="Wm max (rad/s)" dataDxfId="21">
      <calculatedColumnFormula>Tabla1[[#This Row],[Voltaje DC (V)]]/Tabla1[[#This Row],[Kt]]</calculatedColumnFormula>
    </tableColumn>
    <tableColumn id="2" xr3:uid="{EE6B98AA-5BDF-44E4-AE44-B98939AA7789}" name="Voltaje nominal (V)" dataDxfId="20"/>
    <tableColumn id="3" xr3:uid="{EB59C4F8-508F-4AB1-A9B8-85CBC055F412}" name="Voltaje DC (V)" dataDxfId="19"/>
    <tableColumn id="4" xr3:uid="{6DA973E4-CB0B-4533-8F92-2901C2DCA1EE}" name="Corriente nominal (A)" dataDxfId="18"/>
    <tableColumn id="5" xr3:uid="{9CF9867F-30F4-4D7C-94C8-3CD88BDFF6FF}" name="Resistencia (Ohms)" dataDxfId="17"/>
    <tableColumn id="6" xr3:uid="{DCBF6792-48BE-4549-B265-59134286C7C5}" name="Inductancia (H)" dataDxfId="16"/>
    <tableColumn id="7" xr3:uid="{FDB71DA0-9A96-4245-829A-6DD7A1B19D6A}" name="Holding Torque (Nm)" dataDxfId="15"/>
    <tableColumn id="8" xr3:uid="{C685C722-3499-4A0D-AE53-C3FD56F95C46}" name="Inercia (Kg m3)" dataDxfId="14"/>
    <tableColumn id="9" xr3:uid="{E9FC40DC-A7B8-4AC7-95F6-D8729674A7ED}" name="Paso (grados)" dataDxfId="13"/>
    <tableColumn id="10" xr3:uid="{8A5A30C6-0325-480E-A808-DDF3070DB171}" name="Kt" dataDxfId="12">
      <calculatedColumnFormula>Tabla1[[#This Row],[Holding Torque (Nm)]]/Tabla1[[#This Row],[Corriente nominal (A)]]</calculatedColumnFormula>
    </tableColumn>
    <tableColumn id="11" xr3:uid="{80B2B77C-360A-48F0-BE5E-51E586396DD8}" name="Columna1" dataDxfId="11"/>
    <tableColumn id="12" xr3:uid="{F471FDC4-E771-487F-812F-EF974F01A9AE}" name="Wm min (rad/s)" dataDxfId="10">
      <calculatedColumnFormula>Tabla1[[#This Row],[Wm + (rad/s)]]*0.2</calculatedColumnFormula>
    </tableColumn>
    <tableColumn id="13" xr3:uid="{B0B2FB32-94D0-4347-A9C6-6AAE7C04A8A1}" name="a" dataDxfId="9">
      <calculatedColumnFormula>POWER(Tabla1[[#This Row],[Corriente nominal (A)]]*Tabla1[[#This Row],[Inductancia (H)]],2) + POWER(Tabla1[[#This Row],[Kt]]/Tabla1[[#This Row],[Pares de polos]],2)</calculatedColumnFormula>
    </tableColumn>
    <tableColumn id="14" xr3:uid="{B750F63E-941B-4063-AA5F-691873C4D7AE}" name="b" dataDxfId="8">
      <calculatedColumnFormula>2*Tabla1[[#This Row],[Kt]]/Tabla1[[#This Row],[Pares de polos]]*Tabla1[[#This Row],[Resistencia (Ohms)]]*Tabla1[[#This Row],[Corriente nominal (A)]]</calculatedColumnFormula>
    </tableColumn>
    <tableColumn id="15" xr3:uid="{154D8BC7-9306-4DD1-B34B-0A01A3EB0F2C}" name="c" dataDxfId="7">
      <calculatedColumnFormula>POWER(Tabla1[[#This Row],[Resistencia (Ohms)]]*Tabla1[[#This Row],[Corriente nominal (A)]],2) -POWER(Tabla1[[#This Row],[Voltaje DC (V)]],2)</calculatedColumnFormula>
    </tableColumn>
    <tableColumn id="16" xr3:uid="{52ACC1BF-8A5C-4103-BE77-6126D134AD23}" name="discriminante" dataDxfId="6">
      <calculatedColumnFormula>POWER(Tabla1[[#This Row],[b]],2) - 4*Tabla1[[#This Row],[a]]*Tabla1[[#This Row],[c]]</calculatedColumnFormula>
    </tableColumn>
    <tableColumn id="17" xr3:uid="{29374371-6918-45E5-B313-6169FDE3FC5A}" name="We max + (rad/s)" dataDxfId="5">
      <calculatedColumnFormula>(-Tabla1[[#This Row],[b]]+ SQRT(Tabla1[[#This Row],[discriminante]]))/(2*Tabla1[[#This Row],[a]])</calculatedColumnFormula>
    </tableColumn>
    <tableColumn id="18" xr3:uid="{E3984B63-970B-47A8-ABEC-5F2561FFCB4B}" name="We max - (rad/s)" dataDxfId="4">
      <calculatedColumnFormula>(-Tabla1[[#This Row],[b]]- SQRT(Tabla1[[#This Row],[discriminante]]))/(2*Tabla1[[#This Row],[a]])</calculatedColumnFormula>
    </tableColumn>
    <tableColumn id="19" xr3:uid="{6DC79837-0DC1-49D9-91A5-961CB2743CBA}" name="Pares de polos" dataDxfId="3"/>
    <tableColumn id="20" xr3:uid="{0F06BB0C-4C99-4DC6-8383-51505876209C}" name="Columna4" dataDxfId="2"/>
    <tableColumn id="21" xr3:uid="{53FAE9DE-62E3-46B5-9ECA-DBAC27FE4254}" name="Columna2" dataDxfId="1"/>
    <tableColumn id="22" xr3:uid="{A8782BB6-2F18-407B-8C45-3A134D0917CF}" name="Columna3" dataDxfId="0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B637882-B813-4B0A-BCF2-C1171FC17DEF}" name="Table2" displayName="Table2" ref="C4:S9" totalsRowShown="0" dataDxfId="43">
  <autoFilter ref="C4:S9" xr:uid="{5B637882-B813-4B0A-BCF2-C1171FC17DEF}"/>
  <sortState xmlns:xlrd2="http://schemas.microsoft.com/office/spreadsheetml/2017/richdata2" ref="C5:N9">
    <sortCondition ref="C4:C9"/>
  </sortState>
  <tableColumns count="17">
    <tableColumn id="1" xr3:uid="{C25E7CFD-777D-4F5A-A2D1-9FD56058E37D}" name="Modelo" dataDxfId="42"/>
    <tableColumn id="2" xr3:uid="{F8308F26-91D0-4257-82F5-A560EC7FA072}" name="Corriente Nominal (A)" dataDxfId="41"/>
    <tableColumn id="3" xr3:uid="{63261B44-A34C-417C-9F6D-941CD09FD2B3}" name="Resistencia (Ohms)" dataDxfId="40"/>
    <tableColumn id="4" xr3:uid="{6B0E9D4F-6B5F-4CAF-9A99-94232B8D854D}" name="Error (%)" dataDxfId="39"/>
    <tableColumn id="5" xr3:uid="{063D70FE-4702-4E92-B74B-81B4F34ACD4A}" name="Inductancia (mH)" dataDxfId="38"/>
    <tableColumn id="6" xr3:uid="{DC9981A8-D686-48CE-85A3-D8A65392E7F9}" name="Error (%)2" dataDxfId="37"/>
    <tableColumn id="7" xr3:uid="{0C006D85-5DA8-4822-90E9-091DD33E1A84}" name="Voltaje Nominal" dataDxfId="36"/>
    <tableColumn id="8" xr3:uid="{50F1A6E0-A664-49F9-9624-FE3192202CAB}" name="Inercia (g cm3)" dataDxfId="35"/>
    <tableColumn id="12" xr3:uid="{1B483C40-FF1B-4D69-B665-C2C65ACC571D}" name="Holding Torque (Kg cm)" dataDxfId="34"/>
    <tableColumn id="9" xr3:uid="{7C00BA2B-C3DB-411D-B2A9-74101A7AE17A}" name="Torque máximo T_hold (mNm)" dataDxfId="33"/>
    <tableColumn id="13" xr3:uid="{33D7D280-FDAF-4109-B5BE-0BC3258001B9}" name="Detent torque (g cm)" dataDxfId="32"/>
    <tableColumn id="10" xr3:uid="{16DB0634-B9E8-40B6-99A7-D37100248BFF}" name="Torque detención (mNm)" dataDxfId="31"/>
    <tableColumn id="14" xr3:uid="{32083227-5C63-4115-84EC-CC35E8BE732A}" name="Tasa" dataDxfId="30">
      <calculatedColumnFormula>Table2[[#This Row],[Torque detención (mNm)]]/Table2[[#This Row],[Torque máximo T_hold (mNm)]]</calculatedColumnFormula>
    </tableColumn>
    <tableColumn id="15" xr3:uid="{33E094E9-D736-4CD7-89CA-3A627A819432}" name="tau (mS)" dataDxfId="29">
      <calculatedColumnFormula>Table2[[#This Row],[Inductancia (mH)]]/Table2[[#This Row],[Resistencia (Ohms)]]</calculatedColumnFormula>
    </tableColumn>
    <tableColumn id="16" xr3:uid="{CF4128C3-25FA-4F92-8D3B-93A8D639C7D6}" name="Kt" dataDxfId="28">
      <calculatedColumnFormula>(Table2[[#This Row],[Torque máximo T_hold (mNm)]]/1000)/(SQRT(2)*Table2[[#This Row],[Corriente Nominal (A)]])</calculatedColumnFormula>
    </tableColumn>
    <tableColumn id="17" xr3:uid="{76E70733-7587-472A-B5EA-076B9303D4F5}" name="Hold/J" dataDxfId="27">
      <calculatedColumnFormula>Table2[[#This Row],[Torque máximo T_hold (mNm)]]/Table2[[#This Row],[Inercia (g cm3)]]</calculatedColumnFormula>
    </tableColumn>
    <tableColumn id="18" xr3:uid="{442B6A1B-0E43-449E-A01C-36DB4E9C0887}" name="Detent/J" dataDxfId="26">
      <calculatedColumnFormula>Table2[[#This Row],[Torque detención (mNm)]]/Table2[[#This Row],[Inercia (g cm3)]]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07EB9F-62FE-41B8-A984-678D0CE6FBF5}">
  <dimension ref="B3:AB13"/>
  <sheetViews>
    <sheetView topLeftCell="G1" zoomScale="130" zoomScaleNormal="130" workbookViewId="0">
      <selection activeCell="Q22" sqref="Q22"/>
    </sheetView>
  </sheetViews>
  <sheetFormatPr defaultColWidth="9.140625" defaultRowHeight="15" x14ac:dyDescent="0.25"/>
  <cols>
    <col min="2" max="2" width="17.7109375" customWidth="1"/>
    <col min="4" max="4" width="17.5703125" customWidth="1"/>
    <col min="5" max="6" width="23.85546875" customWidth="1"/>
    <col min="7" max="7" width="17.5703125" customWidth="1"/>
    <col min="8" max="8" width="20.85546875" customWidth="1"/>
    <col min="9" max="9" width="11.42578125" customWidth="1"/>
    <col min="10" max="10" width="16.7109375" customWidth="1"/>
    <col min="11" max="11" width="6.140625" customWidth="1"/>
    <col min="12" max="12" width="10.85546875" customWidth="1"/>
    <col min="13" max="13" width="15.85546875" customWidth="1"/>
    <col min="14" max="14" width="17.28515625" customWidth="1"/>
    <col min="15" max="15" width="17" customWidth="1"/>
    <col min="17" max="17" width="16" customWidth="1"/>
    <col min="18" max="18" width="19" customWidth="1"/>
    <col min="19" max="19" width="18.42578125" customWidth="1"/>
    <col min="22" max="22" width="10.7109375" bestFit="1" customWidth="1"/>
  </cols>
  <sheetData>
    <row r="3" spans="2:28" x14ac:dyDescent="0.25">
      <c r="B3" t="s">
        <v>8</v>
      </c>
      <c r="C3" t="s">
        <v>33</v>
      </c>
      <c r="D3" t="s">
        <v>32</v>
      </c>
      <c r="E3" t="s">
        <v>36</v>
      </c>
      <c r="F3" t="s">
        <v>37</v>
      </c>
      <c r="G3" t="s">
        <v>19</v>
      </c>
      <c r="H3" t="s">
        <v>13</v>
      </c>
      <c r="I3" t="s">
        <v>18</v>
      </c>
      <c r="J3" t="s">
        <v>12</v>
      </c>
      <c r="K3" t="s">
        <v>11</v>
      </c>
      <c r="L3" t="s">
        <v>10</v>
      </c>
      <c r="M3" t="s">
        <v>16</v>
      </c>
      <c r="N3" t="s">
        <v>15</v>
      </c>
      <c r="O3" t="s">
        <v>14</v>
      </c>
      <c r="P3" t="s">
        <v>17</v>
      </c>
      <c r="Q3" t="s">
        <v>29</v>
      </c>
      <c r="R3" t="s">
        <v>20</v>
      </c>
      <c r="S3" t="s">
        <v>23</v>
      </c>
      <c r="T3" t="s">
        <v>24</v>
      </c>
      <c r="U3" t="s">
        <v>25</v>
      </c>
      <c r="V3" t="s">
        <v>26</v>
      </c>
      <c r="W3" t="s">
        <v>27</v>
      </c>
      <c r="X3" t="s">
        <v>28</v>
      </c>
      <c r="Y3" t="s">
        <v>31</v>
      </c>
      <c r="Z3" t="s">
        <v>35</v>
      </c>
      <c r="AA3" t="s">
        <v>30</v>
      </c>
      <c r="AB3" t="s">
        <v>34</v>
      </c>
    </row>
    <row r="4" spans="2:28" x14ac:dyDescent="0.25">
      <c r="B4" t="s">
        <v>7</v>
      </c>
      <c r="C4" s="2">
        <f>Tabla1[[#This Row],[We max + (rad/s)]]/(2*PI())</f>
        <v>165.30366992627486</v>
      </c>
      <c r="D4" s="2">
        <f>ABS(Tabla1[[#This Row],[We max - (rad/s)]]/(2*PI()))</f>
        <v>255.08338141401072</v>
      </c>
      <c r="E4" s="2">
        <f>Tabla1[[#This Row],[We max + (rad/s)]]/Tabla1[[#This Row],[Pares de polos]]</f>
        <v>20.772671802072686</v>
      </c>
      <c r="F4" s="2">
        <f>ABS(Tabla1[[#This Row],[We max - (rad/s)]]/Tabla1[[#This Row],[Pares de polos]])</f>
        <v>32.054723084123971</v>
      </c>
      <c r="G4" s="5">
        <f>Tabla1[[#This Row],[Voltaje DC (V)]]/Tabla1[[#This Row],[Kt]]</f>
        <v>36.36363636363636</v>
      </c>
      <c r="H4" s="3" t="s">
        <v>9</v>
      </c>
      <c r="I4" s="3">
        <v>12</v>
      </c>
      <c r="J4" s="3">
        <v>1</v>
      </c>
      <c r="K4" s="3">
        <v>3.4</v>
      </c>
      <c r="L4" s="3">
        <f>6/1000</f>
        <v>6.0000000000000001E-3</v>
      </c>
      <c r="M4" s="3">
        <f>330/1000</f>
        <v>0.33</v>
      </c>
      <c r="N4" s="3">
        <f>47/(POWER(10,7))</f>
        <v>4.6999999999999999E-6</v>
      </c>
      <c r="O4" s="3">
        <v>1.8</v>
      </c>
      <c r="P4" s="4">
        <f>Tabla1[[#This Row],[Holding Torque (Nm)]]/Tabla1[[#This Row],[Corriente nominal (A)]]</f>
        <v>0.33</v>
      </c>
      <c r="Q4" s="5"/>
      <c r="R4" s="5">
        <f>Tabla1[[#This Row],[Wm + (rad/s)]]*0.2</f>
        <v>4.1545343604145373</v>
      </c>
      <c r="S4">
        <f>POWER(Tabla1[[#This Row],[Corriente nominal (A)]]*Tabla1[[#This Row],[Inductancia (H)]],2) + POWER(Tabla1[[#This Row],[Kt]]/Tabla1[[#This Row],[Pares de polos]],2)</f>
        <v>7.9560000000000004E-5</v>
      </c>
      <c r="T4">
        <f>2*Tabla1[[#This Row],[Kt]]/Tabla1[[#This Row],[Pares de polos]]*Tabla1[[#This Row],[Resistencia (Ohms)]]*Tabla1[[#This Row],[Corriente nominal (A)]]</f>
        <v>4.4879999999999996E-2</v>
      </c>
      <c r="U4">
        <f>POWER(Tabla1[[#This Row],[Resistencia (Ohms)]]*Tabla1[[#This Row],[Corriente nominal (A)]],2) -POWER(Tabla1[[#This Row],[Voltaje DC (V)]],2)</f>
        <v>-132.44</v>
      </c>
      <c r="V4">
        <f>POWER(Tabla1[[#This Row],[b]],2) - 4*Tabla1[[#This Row],[a]]*Tabla1[[#This Row],[c]]</f>
        <v>4.416192E-2</v>
      </c>
      <c r="W4">
        <f>(-Tabla1[[#This Row],[b]]+ SQRT(Tabla1[[#This Row],[discriminante]]))/(2*Tabla1[[#This Row],[a]])</f>
        <v>1038.6335901036343</v>
      </c>
      <c r="X4">
        <f>(-Tabla1[[#This Row],[b]]- SQRT(Tabla1[[#This Row],[discriminante]]))/(2*Tabla1[[#This Row],[a]])</f>
        <v>-1602.7361542061985</v>
      </c>
      <c r="Y4">
        <v>50</v>
      </c>
    </row>
    <row r="5" spans="2:28" x14ac:dyDescent="0.25">
      <c r="B5" t="s">
        <v>21</v>
      </c>
      <c r="C5" s="2">
        <f>Tabla1[[#This Row],[We max + (rad/s)]]/(2*PI())</f>
        <v>229.46867073827065</v>
      </c>
      <c r="D5" s="2">
        <f>ABS(Tabla1[[#This Row],[We max - (rad/s)]]/(2*PI()))</f>
        <v>314.57245285719631</v>
      </c>
      <c r="E5" s="2">
        <f>Tabla1[[#This Row],[We max + (rad/s)]]/Tabla1[[#This Row],[Pares de polos]]</f>
        <v>28.835883608814648</v>
      </c>
      <c r="F5" s="2">
        <f>ABS(Tabla1[[#This Row],[We max - (rad/s)]]/Tabla1[[#This Row],[Pares de polos]])</f>
        <v>39.530340276715577</v>
      </c>
      <c r="G5" s="5">
        <f>Tabla1[[#This Row],[Voltaje DC (V)]]/Tabla1[[#This Row],[Kt]]</f>
        <v>47.441860465116278</v>
      </c>
      <c r="H5" s="3">
        <v>2.6</v>
      </c>
      <c r="I5" s="3">
        <v>12</v>
      </c>
      <c r="J5" s="3">
        <v>1.7</v>
      </c>
      <c r="K5" s="3">
        <v>1.5</v>
      </c>
      <c r="L5" s="3">
        <f>2.8/1000</f>
        <v>2.8E-3</v>
      </c>
      <c r="M5" s="3">
        <f>43/100</f>
        <v>0.43</v>
      </c>
      <c r="N5" s="3">
        <f>54/(POWER(10,7))</f>
        <v>5.4E-6</v>
      </c>
      <c r="O5" s="3">
        <v>1.8</v>
      </c>
      <c r="P5" s="4">
        <f>Tabla1[[#This Row],[Holding Torque (Nm)]]/Tabla1[[#This Row],[Corriente nominal (A)]]</f>
        <v>0.25294117647058822</v>
      </c>
      <c r="Q5" s="5"/>
      <c r="R5" s="5">
        <f>Tabla1[[#This Row],[Wm + (rad/s)]]*0.2</f>
        <v>5.7671767217629295</v>
      </c>
      <c r="S5">
        <f>POWER(Tabla1[[#This Row],[Corriente nominal (A)]]*Tabla1[[#This Row],[Inductancia (H)]],2) + POWER(Tabla1[[#This Row],[Kt]]/Tabla1[[#This Row],[Pares de polos]],2)</f>
        <v>4.8249295501730105E-5</v>
      </c>
      <c r="T5">
        <f>2*Tabla1[[#This Row],[Kt]]/Tabla1[[#This Row],[Pares de polos]]*Tabla1[[#This Row],[Resistencia (Ohms)]]*Tabla1[[#This Row],[Corriente nominal (A)]]</f>
        <v>2.58E-2</v>
      </c>
      <c r="U5">
        <f>POWER(Tabla1[[#This Row],[Resistencia (Ohms)]]*Tabla1[[#This Row],[Corriente nominal (A)]],2) -POWER(Tabla1[[#This Row],[Voltaje DC (V)]],2)</f>
        <v>-137.4975</v>
      </c>
      <c r="V5">
        <f>POWER(Tabla1[[#This Row],[b]],2) - 4*Tabla1[[#This Row],[a]]*Tabla1[[#This Row],[c]]</f>
        <v>2.720227003299654E-2</v>
      </c>
      <c r="W5">
        <f>(-Tabla1[[#This Row],[b]]+ SQRT(Tabla1[[#This Row],[discriminante]]))/(2*Tabla1[[#This Row],[a]])</f>
        <v>1441.7941804407324</v>
      </c>
      <c r="X5">
        <f>(-Tabla1[[#This Row],[b]]- SQRT(Tabla1[[#This Row],[discriminante]]))/(2*Tabla1[[#This Row],[a]])</f>
        <v>-1976.5170138357789</v>
      </c>
      <c r="Y5">
        <v>50</v>
      </c>
    </row>
    <row r="6" spans="2:28" x14ac:dyDescent="0.25">
      <c r="B6" t="s">
        <v>22</v>
      </c>
      <c r="C6" s="2">
        <f>Tabla1[[#This Row],[We max + (rad/s)]]/(2*PI())</f>
        <v>140.19580569580998</v>
      </c>
      <c r="D6" s="2">
        <f>ABS(Tabla1[[#This Row],[We max - (rad/s)]]/(2*PI()))</f>
        <v>195.98614944953812</v>
      </c>
      <c r="E6" s="2">
        <f>Tabla1[[#This Row],[We max + (rad/s)]]/Tabla1[[#This Row],[Pares de polos]]</f>
        <v>17.617524529522349</v>
      </c>
      <c r="F6" s="2">
        <f>ABS(Tabla1[[#This Row],[We max - (rad/s)]]/Tabla1[[#This Row],[Pares de polos]])</f>
        <v>24.628345892640809</v>
      </c>
      <c r="G6" s="5">
        <f>Tabla1[[#This Row],[Voltaje DC (V)]]/Tabla1[[#This Row],[Kt]]</f>
        <v>27.192432346078085</v>
      </c>
      <c r="H6" s="3">
        <v>3</v>
      </c>
      <c r="I6" s="3">
        <v>12</v>
      </c>
      <c r="J6" s="3">
        <v>2.8</v>
      </c>
      <c r="K6" s="3">
        <v>0.9</v>
      </c>
      <c r="L6" s="3">
        <f>2.5/1000</f>
        <v>2.5000000000000001E-3</v>
      </c>
      <c r="M6" s="3">
        <v>1.2356379</v>
      </c>
      <c r="N6" s="3">
        <f>300/(POWER(10,7))</f>
        <v>3.0000000000000001E-5</v>
      </c>
      <c r="O6" s="3">
        <v>1.8</v>
      </c>
      <c r="P6" s="4">
        <f>Tabla1[[#This Row],[Holding Torque (Nm)]]/Tabla1[[#This Row],[Corriente nominal (A)]]</f>
        <v>0.44129925000000003</v>
      </c>
      <c r="Q6" s="5"/>
      <c r="R6" s="5">
        <f>Tabla1[[#This Row],[Wm + (rad/s)]]*0.2</f>
        <v>3.5235049059044701</v>
      </c>
      <c r="S6">
        <f>POWER(Tabla1[[#This Row],[Corriente nominal (A)]]*Tabla1[[#This Row],[Inductancia (H)]],2) + POWER(Tabla1[[#This Row],[Kt]]/Tabla1[[#This Row],[Pares de polos]],2)</f>
        <v>1.2689801122022502E-4</v>
      </c>
      <c r="T6">
        <f>2*Tabla1[[#This Row],[Kt]]/Tabla1[[#This Row],[Pares de polos]]*Tabla1[[#This Row],[Resistencia (Ohms)]]*Tabla1[[#This Row],[Corriente nominal (A)]]</f>
        <v>4.4482964400000005E-2</v>
      </c>
      <c r="U6">
        <f>POWER(Tabla1[[#This Row],[Resistencia (Ohms)]]*Tabla1[[#This Row],[Corriente nominal (A)]],2) -POWER(Tabla1[[#This Row],[Voltaje DC (V)]],2)</f>
        <v>-137.64959999999999</v>
      </c>
      <c r="V6">
        <f>POWER(Tabla1[[#This Row],[b]],2) - 4*Tabla1[[#This Row],[a]]*Tabla1[[#This Row],[c]]</f>
        <v>7.1848576062849612E-2</v>
      </c>
      <c r="W6">
        <f>(-Tabla1[[#This Row],[b]]+ SQRT(Tabla1[[#This Row],[discriminante]]))/(2*Tabla1[[#This Row],[a]])</f>
        <v>880.87622647611738</v>
      </c>
      <c r="X6">
        <f>(-Tabla1[[#This Row],[b]]- SQRT(Tabla1[[#This Row],[discriminante]]))/(2*Tabla1[[#This Row],[a]])</f>
        <v>-1231.4172946320405</v>
      </c>
      <c r="Y6">
        <v>50</v>
      </c>
    </row>
    <row r="11" spans="2:28" x14ac:dyDescent="0.25">
      <c r="P11" t="s">
        <v>38</v>
      </c>
      <c r="Q11" t="s">
        <v>39</v>
      </c>
      <c r="R11" t="s">
        <v>40</v>
      </c>
      <c r="T11" t="s">
        <v>1</v>
      </c>
      <c r="U11" t="s">
        <v>3</v>
      </c>
      <c r="V11" t="s">
        <v>4</v>
      </c>
      <c r="W11" t="s">
        <v>5</v>
      </c>
      <c r="X11" t="s">
        <v>6</v>
      </c>
    </row>
    <row r="12" spans="2:28" x14ac:dyDescent="0.25">
      <c r="P12">
        <v>2</v>
      </c>
      <c r="Q12">
        <f>P12*2*PI()/60</f>
        <v>0.20943951023931953</v>
      </c>
      <c r="R12">
        <f>Q12/(2*PI())</f>
        <v>3.3333333333333333E-2</v>
      </c>
      <c r="S12" t="s">
        <v>0</v>
      </c>
      <c r="T12" s="1">
        <v>3.125</v>
      </c>
      <c r="U12" s="2">
        <f>Q12</f>
        <v>0.20943951023931953</v>
      </c>
      <c r="V12">
        <f>U12/T12</f>
        <v>6.7020643276582248E-2</v>
      </c>
      <c r="W12">
        <f>10/100</f>
        <v>0.1</v>
      </c>
      <c r="X12">
        <f>V12*V12*W12</f>
        <v>4.4917666252068894E-4</v>
      </c>
    </row>
    <row r="13" spans="2:28" x14ac:dyDescent="0.25">
      <c r="P13">
        <v>2</v>
      </c>
      <c r="Q13">
        <f>P13*2*PI()/60</f>
        <v>0.20943951023931953</v>
      </c>
      <c r="R13">
        <f>Q13/(2*PI())</f>
        <v>3.3333333333333333E-2</v>
      </c>
      <c r="S13" t="s">
        <v>2</v>
      </c>
      <c r="T13">
        <v>1.25</v>
      </c>
      <c r="U13" s="2">
        <f>Q13</f>
        <v>0.20943951023931953</v>
      </c>
      <c r="V13">
        <f>U13/T13</f>
        <v>0.16755160819145562</v>
      </c>
      <c r="W13">
        <f>10/100</f>
        <v>0.1</v>
      </c>
      <c r="X13">
        <f>V13*V13*W13</f>
        <v>2.807354140754306E-3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66E8E5-965B-4A27-86A4-8D28A5B01185}">
  <dimension ref="C4:S9"/>
  <sheetViews>
    <sheetView tabSelected="1" zoomScale="130" zoomScaleNormal="130" workbookViewId="0">
      <selection activeCell="C6" sqref="C6"/>
    </sheetView>
  </sheetViews>
  <sheetFormatPr defaultRowHeight="15" x14ac:dyDescent="0.25"/>
  <cols>
    <col min="3" max="3" width="14.85546875" customWidth="1"/>
    <col min="4" max="4" width="22.85546875" customWidth="1"/>
    <col min="5" max="5" width="20.85546875" customWidth="1"/>
    <col min="6" max="6" width="21.140625" customWidth="1"/>
    <col min="7" max="7" width="18.5703125" customWidth="1"/>
    <col min="8" max="8" width="12" customWidth="1"/>
    <col min="9" max="9" width="19.85546875" customWidth="1"/>
    <col min="10" max="10" width="15.28515625" customWidth="1"/>
    <col min="11" max="11" width="25.85546875" customWidth="1"/>
    <col min="12" max="12" width="17.28515625" bestFit="1" customWidth="1"/>
    <col min="13" max="13" width="21.140625" customWidth="1"/>
    <col min="14" max="14" width="26.28515625" customWidth="1"/>
    <col min="16" max="16" width="13.7109375" customWidth="1"/>
  </cols>
  <sheetData>
    <row r="4" spans="3:19" x14ac:dyDescent="0.25">
      <c r="C4" t="s">
        <v>41</v>
      </c>
      <c r="D4" t="s">
        <v>42</v>
      </c>
      <c r="E4" t="s">
        <v>11</v>
      </c>
      <c r="F4" t="s">
        <v>44</v>
      </c>
      <c r="G4" t="s">
        <v>43</v>
      </c>
      <c r="H4" t="s">
        <v>45</v>
      </c>
      <c r="I4" t="s">
        <v>47</v>
      </c>
      <c r="J4" t="s">
        <v>48</v>
      </c>
      <c r="K4" t="s">
        <v>53</v>
      </c>
      <c r="L4" t="s">
        <v>54</v>
      </c>
      <c r="M4" t="s">
        <v>55</v>
      </c>
      <c r="N4" t="s">
        <v>49</v>
      </c>
      <c r="O4" t="s">
        <v>56</v>
      </c>
      <c r="P4" t="s">
        <v>57</v>
      </c>
      <c r="Q4" t="s">
        <v>17</v>
      </c>
      <c r="R4" t="s">
        <v>58</v>
      </c>
      <c r="S4" t="s">
        <v>59</v>
      </c>
    </row>
    <row r="5" spans="3:19" x14ac:dyDescent="0.25">
      <c r="C5" s="3" t="s">
        <v>46</v>
      </c>
      <c r="D5" s="3">
        <v>1</v>
      </c>
      <c r="E5" s="3">
        <v>3.4</v>
      </c>
      <c r="F5" s="3">
        <v>15</v>
      </c>
      <c r="G5" s="3">
        <v>6</v>
      </c>
      <c r="H5" s="3">
        <v>20</v>
      </c>
      <c r="I5" s="3">
        <v>7.3</v>
      </c>
      <c r="J5" s="3">
        <v>47</v>
      </c>
      <c r="K5" s="3"/>
      <c r="L5" s="3">
        <v>330</v>
      </c>
      <c r="M5" s="3"/>
      <c r="N5" s="3">
        <v>18</v>
      </c>
      <c r="O5" s="3">
        <f>Table2[[#This Row],[Torque detención (mNm)]]/Table2[[#This Row],[Torque máximo T_hold (mNm)]]</f>
        <v>5.4545454545454543E-2</v>
      </c>
      <c r="P5" s="3">
        <f>Table2[[#This Row],[Inductancia (mH)]]/Table2[[#This Row],[Resistencia (Ohms)]]</f>
        <v>1.7647058823529411</v>
      </c>
      <c r="Q5" s="3">
        <f>(Table2[[#This Row],[Torque máximo T_hold (mNm)]]/1000)/(SQRT(2)*Table2[[#This Row],[Corriente Nominal (A)]])</f>
        <v>0.23334523779156069</v>
      </c>
      <c r="R5" s="3">
        <f>Table2[[#This Row],[Torque máximo T_hold (mNm)]]/Table2[[#This Row],[Inercia (g cm3)]]</f>
        <v>7.0212765957446805</v>
      </c>
      <c r="S5" s="3">
        <f>Table2[[#This Row],[Torque detención (mNm)]]/Table2[[#This Row],[Inercia (g cm3)]]</f>
        <v>0.38297872340425532</v>
      </c>
    </row>
    <row r="6" spans="3:19" x14ac:dyDescent="0.25">
      <c r="C6" s="3" t="s">
        <v>21</v>
      </c>
      <c r="D6" s="3">
        <v>1.7</v>
      </c>
      <c r="E6" s="3">
        <v>1.5</v>
      </c>
      <c r="F6" s="3">
        <v>10</v>
      </c>
      <c r="G6" s="3">
        <v>2.8</v>
      </c>
      <c r="H6" s="3">
        <v>20</v>
      </c>
      <c r="I6" s="3"/>
      <c r="J6" s="3">
        <v>54</v>
      </c>
      <c r="K6" s="3">
        <v>4</v>
      </c>
      <c r="L6" s="6">
        <f>Table2[[#This Row],[Holding Torque (Kg cm)]]*98.066</f>
        <v>392.26400000000001</v>
      </c>
      <c r="M6" s="3"/>
      <c r="N6" s="3">
        <v>22</v>
      </c>
      <c r="O6" s="3">
        <f>Table2[[#This Row],[Torque detención (mNm)]]/Table2[[#This Row],[Torque máximo T_hold (mNm)]]</f>
        <v>5.6084677666061629E-2</v>
      </c>
      <c r="P6" s="3">
        <f>Table2[[#This Row],[Inductancia (mH)]]/Table2[[#This Row],[Resistencia (Ohms)]]</f>
        <v>1.8666666666666665</v>
      </c>
      <c r="Q6" s="3">
        <f>(Table2[[#This Row],[Torque máximo T_hold (mNm)]]/1000)/(SQRT(2)*Table2[[#This Row],[Corriente Nominal (A)]])</f>
        <v>0.16316031436197639</v>
      </c>
      <c r="R6" s="3">
        <f>Table2[[#This Row],[Torque máximo T_hold (mNm)]]/Table2[[#This Row],[Inercia (g cm3)]]</f>
        <v>7.2641481481481485</v>
      </c>
      <c r="S6" s="3">
        <f>Table2[[#This Row],[Torque detención (mNm)]]/Table2[[#This Row],[Inercia (g cm3)]]</f>
        <v>0.40740740740740738</v>
      </c>
    </row>
    <row r="7" spans="3:19" x14ac:dyDescent="0.25">
      <c r="C7" s="3" t="s">
        <v>50</v>
      </c>
      <c r="D7" s="3">
        <v>0.8</v>
      </c>
      <c r="E7" s="3">
        <v>2.9</v>
      </c>
      <c r="F7" s="3">
        <v>10</v>
      </c>
      <c r="G7" s="3">
        <v>3</v>
      </c>
      <c r="H7" s="3">
        <v>20</v>
      </c>
      <c r="I7" s="3">
        <v>2.2999999999999998</v>
      </c>
      <c r="J7" s="3">
        <v>25</v>
      </c>
      <c r="K7" s="3">
        <v>1.8</v>
      </c>
      <c r="L7" s="6">
        <f>Table2[[#This Row],[Holding Torque (Kg cm)]]*98.066</f>
        <v>176.5188</v>
      </c>
      <c r="M7" s="6">
        <v>200</v>
      </c>
      <c r="N7" s="3">
        <f>Table2[[#This Row],[Detent torque (g cm)]]*0.098</f>
        <v>19.600000000000001</v>
      </c>
      <c r="O7" s="3">
        <f>Table2[[#This Row],[Torque detención (mNm)]]/Table2[[#This Row],[Torque máximo T_hold (mNm)]]</f>
        <v>0.11103633154088971</v>
      </c>
      <c r="P7" s="3">
        <f>Table2[[#This Row],[Inductancia (mH)]]/Table2[[#This Row],[Resistencia (Ohms)]]</f>
        <v>1.0344827586206897</v>
      </c>
      <c r="Q7" s="3">
        <f>(Table2[[#This Row],[Torque máximo T_hold (mNm)]]/1000)/(SQRT(2)*Table2[[#This Row],[Corriente Nominal (A)]])</f>
        <v>0.15602205060863991</v>
      </c>
      <c r="R7" s="3">
        <f>Table2[[#This Row],[Torque máximo T_hold (mNm)]]/Table2[[#This Row],[Inercia (g cm3)]]</f>
        <v>7.0607519999999999</v>
      </c>
      <c r="S7" s="3">
        <f>Table2[[#This Row],[Torque detención (mNm)]]/Table2[[#This Row],[Inercia (g cm3)]]</f>
        <v>0.78400000000000003</v>
      </c>
    </row>
    <row r="8" spans="3:19" x14ac:dyDescent="0.25">
      <c r="C8" s="3" t="s">
        <v>51</v>
      </c>
      <c r="D8" s="3">
        <v>0.4</v>
      </c>
      <c r="E8" s="3">
        <v>30</v>
      </c>
      <c r="F8" s="3">
        <v>10</v>
      </c>
      <c r="G8" s="3">
        <v>60</v>
      </c>
      <c r="H8" s="3">
        <v>20</v>
      </c>
      <c r="I8" s="3">
        <v>12</v>
      </c>
      <c r="J8" s="3">
        <v>54</v>
      </c>
      <c r="K8" s="3">
        <v>4.2</v>
      </c>
      <c r="L8" s="6">
        <f>Table2[[#This Row],[Holding Torque (Kg cm)]]*98.066</f>
        <v>411.87720000000002</v>
      </c>
      <c r="M8" s="3">
        <v>220</v>
      </c>
      <c r="N8" s="3">
        <f>Table2[[#This Row],[Detent torque (g cm)]]*0.098</f>
        <v>21.560000000000002</v>
      </c>
      <c r="O8" s="3">
        <f>Table2[[#This Row],[Torque detención (mNm)]]/Table2[[#This Row],[Torque máximo T_hold (mNm)]]</f>
        <v>5.2345699154990863E-2</v>
      </c>
      <c r="P8" s="3">
        <f>Table2[[#This Row],[Inductancia (mH)]]/Table2[[#This Row],[Resistencia (Ohms)]]</f>
        <v>2</v>
      </c>
      <c r="Q8" s="3">
        <f>(Table2[[#This Row],[Torque máximo T_hold (mNm)]]/1000)/(SQRT(2)*Table2[[#This Row],[Corriente Nominal (A)]])</f>
        <v>0.72810290284031953</v>
      </c>
      <c r="R8" s="3">
        <f>Table2[[#This Row],[Torque máximo T_hold (mNm)]]/Table2[[#This Row],[Inercia (g cm3)]]</f>
        <v>7.6273555555555559</v>
      </c>
      <c r="S8" s="3">
        <f>Table2[[#This Row],[Torque detención (mNm)]]/Table2[[#This Row],[Inercia (g cm3)]]</f>
        <v>0.39925925925925931</v>
      </c>
    </row>
    <row r="9" spans="3:19" x14ac:dyDescent="0.25">
      <c r="C9" s="3" t="s">
        <v>52</v>
      </c>
      <c r="D9" s="3">
        <v>1.7</v>
      </c>
      <c r="E9" s="3">
        <v>1.65</v>
      </c>
      <c r="F9" s="3">
        <v>10</v>
      </c>
      <c r="G9" s="3">
        <v>3.2</v>
      </c>
      <c r="H9" s="3">
        <v>20</v>
      </c>
      <c r="I9" s="3"/>
      <c r="J9" s="3">
        <v>54</v>
      </c>
      <c r="K9" s="3">
        <v>4</v>
      </c>
      <c r="L9" s="6">
        <f>Table2[[#This Row],[Holding Torque (Kg cm)]]*98.066</f>
        <v>392.26400000000001</v>
      </c>
      <c r="M9" s="3">
        <v>150</v>
      </c>
      <c r="N9" s="3">
        <f>Table2[[#This Row],[Detent torque (g cm)]]*0.098</f>
        <v>14.700000000000001</v>
      </c>
      <c r="O9" s="3">
        <f>Table2[[#This Row],[Torque detención (mNm)]]/Table2[[#This Row],[Torque máximo T_hold (mNm)]]</f>
        <v>3.7474761895050272E-2</v>
      </c>
      <c r="P9" s="3">
        <f>Table2[[#This Row],[Inductancia (mH)]]/Table2[[#This Row],[Resistencia (Ohms)]]</f>
        <v>1.9393939393939397</v>
      </c>
      <c r="Q9" s="3">
        <f>(Table2[[#This Row],[Torque máximo T_hold (mNm)]]/1000)/(SQRT(2)*Table2[[#This Row],[Corriente Nominal (A)]])</f>
        <v>0.16316031436197639</v>
      </c>
      <c r="R9" s="3">
        <f>Table2[[#This Row],[Torque máximo T_hold (mNm)]]/Table2[[#This Row],[Inercia (g cm3)]]</f>
        <v>7.2641481481481485</v>
      </c>
      <c r="S9" s="3">
        <f>Table2[[#This Row],[Torque detención (mNm)]]/Table2[[#This Row],[Inercia (g cm3)]]</f>
        <v>0.27222222222222225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5DEEED-3F59-46E1-856C-320EE718CCEC}">
  <dimension ref="B5:I22"/>
  <sheetViews>
    <sheetView topLeftCell="A3" zoomScale="160" zoomScaleNormal="160" workbookViewId="0">
      <selection activeCell="K17" sqref="K17"/>
    </sheetView>
  </sheetViews>
  <sheetFormatPr defaultRowHeight="15" x14ac:dyDescent="0.25"/>
  <sheetData>
    <row r="5" spans="2:9" x14ac:dyDescent="0.25">
      <c r="B5" t="s">
        <v>60</v>
      </c>
    </row>
    <row r="6" spans="2:9" x14ac:dyDescent="0.25">
      <c r="B6" t="s">
        <v>61</v>
      </c>
      <c r="C6" s="7">
        <v>2535</v>
      </c>
      <c r="D6">
        <v>2.4649999999999999</v>
      </c>
    </row>
    <row r="7" spans="2:9" x14ac:dyDescent="0.25">
      <c r="B7" t="s">
        <v>62</v>
      </c>
      <c r="C7" t="s">
        <v>63</v>
      </c>
      <c r="D7" t="s">
        <v>64</v>
      </c>
    </row>
    <row r="8" spans="2:9" x14ac:dyDescent="0.25">
      <c r="B8">
        <v>0</v>
      </c>
      <c r="C8">
        <v>3.2050000000000001</v>
      </c>
      <c r="D8">
        <v>5.15</v>
      </c>
      <c r="G8" t="s">
        <v>65</v>
      </c>
      <c r="H8">
        <f>MAX(C8:D17)</f>
        <v>8.7100000000000009</v>
      </c>
    </row>
    <row r="9" spans="2:9" x14ac:dyDescent="0.25">
      <c r="B9">
        <v>1</v>
      </c>
      <c r="C9">
        <v>3.24</v>
      </c>
      <c r="D9">
        <v>4.8</v>
      </c>
      <c r="G9" t="s">
        <v>66</v>
      </c>
      <c r="H9">
        <f>MIN(C8:D17)</f>
        <v>3.18</v>
      </c>
    </row>
    <row r="10" spans="2:9" x14ac:dyDescent="0.25">
      <c r="B10">
        <v>2</v>
      </c>
      <c r="C10">
        <v>5.87</v>
      </c>
      <c r="D10">
        <v>3.19</v>
      </c>
      <c r="I10">
        <f>30*2*PI()/180</f>
        <v>1.0471975511965976</v>
      </c>
    </row>
    <row r="11" spans="2:9" x14ac:dyDescent="0.25">
      <c r="B11">
        <v>3</v>
      </c>
      <c r="C11">
        <v>3.1949999999999998</v>
      </c>
      <c r="D11">
        <v>5.56</v>
      </c>
      <c r="G11" t="s">
        <v>67</v>
      </c>
      <c r="H11">
        <f>(H8+H9)/2</f>
        <v>5.9450000000000003</v>
      </c>
    </row>
    <row r="12" spans="2:9" x14ac:dyDescent="0.25">
      <c r="B12">
        <v>4</v>
      </c>
      <c r="C12">
        <v>6.4</v>
      </c>
      <c r="D12">
        <v>3.19</v>
      </c>
      <c r="G12" t="s">
        <v>68</v>
      </c>
      <c r="H12">
        <f>(H8-H9)/2</f>
        <v>2.7650000000000006</v>
      </c>
    </row>
    <row r="13" spans="2:9" x14ac:dyDescent="0.25">
      <c r="B13">
        <v>5</v>
      </c>
      <c r="C13">
        <v>8.6999999999999993</v>
      </c>
      <c r="D13">
        <v>3.18</v>
      </c>
    </row>
    <row r="14" spans="2:9" x14ac:dyDescent="0.25">
      <c r="B14">
        <v>6</v>
      </c>
      <c r="C14">
        <v>3.18</v>
      </c>
      <c r="D14">
        <v>7.58</v>
      </c>
      <c r="G14" t="s">
        <v>63</v>
      </c>
      <c r="H14" t="s">
        <v>69</v>
      </c>
      <c r="I14">
        <f>H11+H12*COS(2*I10)</f>
        <v>4.5625000000000009</v>
      </c>
    </row>
    <row r="15" spans="2:9" x14ac:dyDescent="0.25">
      <c r="B15">
        <v>7</v>
      </c>
      <c r="C15">
        <v>8.7100000000000009</v>
      </c>
      <c r="D15">
        <v>3.18</v>
      </c>
      <c r="G15" t="s">
        <v>64</v>
      </c>
      <c r="H15" t="s">
        <v>70</v>
      </c>
      <c r="I15">
        <f>H11-H12*COS(2*I10)</f>
        <v>7.3274999999999997</v>
      </c>
    </row>
    <row r="16" spans="2:9" x14ac:dyDescent="0.25">
      <c r="B16">
        <v>8</v>
      </c>
      <c r="C16">
        <v>3.27</v>
      </c>
      <c r="D16">
        <v>7.5</v>
      </c>
    </row>
    <row r="17" spans="3:6" x14ac:dyDescent="0.25">
      <c r="C17">
        <v>8.5500000000000007</v>
      </c>
      <c r="D17">
        <v>3.2</v>
      </c>
    </row>
    <row r="18" spans="3:6" x14ac:dyDescent="0.25">
      <c r="D18" s="8"/>
    </row>
    <row r="19" spans="3:6" x14ac:dyDescent="0.25">
      <c r="F19" t="s">
        <v>71</v>
      </c>
    </row>
    <row r="20" spans="3:6" x14ac:dyDescent="0.25">
      <c r="C20" t="s">
        <v>72</v>
      </c>
      <c r="D20" t="s">
        <v>73</v>
      </c>
      <c r="E20" t="s">
        <v>74</v>
      </c>
      <c r="F20" t="s">
        <v>75</v>
      </c>
    </row>
    <row r="21" spans="3:6" x14ac:dyDescent="0.25">
      <c r="C21" t="s">
        <v>76</v>
      </c>
      <c r="D21">
        <v>2.1</v>
      </c>
      <c r="E21">
        <v>0.84</v>
      </c>
      <c r="F21">
        <v>4.24</v>
      </c>
    </row>
    <row r="22" spans="3:6" x14ac:dyDescent="0.25">
      <c r="C22" t="s">
        <v>77</v>
      </c>
      <c r="D22">
        <v>2.1</v>
      </c>
      <c r="E22">
        <v>0.85</v>
      </c>
      <c r="F22">
        <v>4.34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487789CC5AC604E91D5EBEB484429BE" ma:contentTypeVersion="15" ma:contentTypeDescription="Crear nuevo documento." ma:contentTypeScope="" ma:versionID="14909ee4a586ac3cc525c870ac9aef4e">
  <xsd:schema xmlns:xsd="http://www.w3.org/2001/XMLSchema" xmlns:xs="http://www.w3.org/2001/XMLSchema" xmlns:p="http://schemas.microsoft.com/office/2006/metadata/properties" xmlns:ns3="aa88cc24-b887-419d-934c-1b6f0984c29c" xmlns:ns4="d0c6f6e3-590c-4f0c-a7bd-e672108dc817" targetNamespace="http://schemas.microsoft.com/office/2006/metadata/properties" ma:root="true" ma:fieldsID="b7fcb7960339e6a778c878754d11f049" ns3:_="" ns4:_="">
    <xsd:import namespace="aa88cc24-b887-419d-934c-1b6f0984c29c"/>
    <xsd:import namespace="d0c6f6e3-590c-4f0c-a7bd-e672108dc817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ObjectDetectorVersions" minOccurs="0"/>
                <xsd:element ref="ns3:MediaServiceSystemTag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a88cc24-b887-419d-934c-1b6f0984c29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12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Location" ma:index="13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_activity" ma:index="17" nillable="true" ma:displayName="_activity" ma:hidden="true" ma:internalName="_activity">
      <xsd:simpleType>
        <xsd:restriction base="dms:Note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0c6f6e3-590c-4f0c-a7bd-e672108dc817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20" nillable="true" ma:displayName="Hash de la sugerencia para compartir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aa88cc24-b887-419d-934c-1b6f0984c29c" xsi:nil="true"/>
  </documentManagement>
</p:properties>
</file>

<file path=customXml/itemProps1.xml><?xml version="1.0" encoding="utf-8"?>
<ds:datastoreItem xmlns:ds="http://schemas.openxmlformats.org/officeDocument/2006/customXml" ds:itemID="{449E56CA-8E58-4457-9A0E-360F02D93EE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a88cc24-b887-419d-934c-1b6f0984c29c"/>
    <ds:schemaRef ds:uri="d0c6f6e3-590c-4f0c-a7bd-e672108dc81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49C4EC74-C178-447D-93D8-9F56A01EF45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71DD08E-3BCD-4AE4-A663-F208F9B5A69D}">
  <ds:schemaRefs>
    <ds:schemaRef ds:uri="http://schemas.microsoft.com/office/2006/metadata/properties"/>
    <ds:schemaRef ds:uri="http://purl.org/dc/dcmitype/"/>
    <ds:schemaRef ds:uri="http://www.w3.org/XML/1998/namespac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d0c6f6e3-590c-4f0c-a7bd-e672108dc817"/>
    <ds:schemaRef ds:uri="aa88cc24-b887-419d-934c-1b6f0984c29c"/>
    <ds:schemaRef ds:uri="http://purl.org/dc/terms/"/>
    <ds:schemaRef ds:uri="http://purl.org/dc/elements/1.1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Sheet1</vt:lpstr>
      <vt:lpstr>Cálculo motores</vt:lpstr>
      <vt:lpstr>Saliencia motor1</vt:lpstr>
      <vt:lpstr>Chart1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Valentina Javiera Ignacia  Saavedra Muñoz</dc:creator>
  <cp:lastModifiedBy>Valentina Javiera Ignacia  Saavedra Muñoz</cp:lastModifiedBy>
  <dcterms:created xsi:type="dcterms:W3CDTF">2026-03-23T23:30:12Z</dcterms:created>
  <dcterms:modified xsi:type="dcterms:W3CDTF">2026-06-17T19:19:37Z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0x0101003487789CC5AC604E91D5EBEB484429BE</vt:lpwstr>
  </property>
</Properties>
</file>