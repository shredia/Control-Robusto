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Utal\Memoria_Clinostato\Memoria-clinostato\Control Robusto\Documento\"/>
    </mc:Choice>
  </mc:AlternateContent>
  <xr:revisionPtr revIDLastSave="0" documentId="13_ncr:1_{C21C3201-F5D6-422C-BF2A-E9102CC7EAD9}" xr6:coauthVersionLast="47" xr6:coauthVersionMax="47" xr10:uidLastSave="{00000000-0000-0000-0000-000000000000}"/>
  <bookViews>
    <workbookView xWindow="18990" yWindow="10335" windowWidth="19410" windowHeight="10545" firstSheet="1" activeTab="5" xr2:uid="{87E48CC2-0D14-463D-A50A-50C59891EDA0}"/>
  </bookViews>
  <sheets>
    <sheet name="papers_tags (3)" sheetId="7" r:id="rId1"/>
    <sheet name="papers_tags (5)" sheetId="9" r:id="rId2"/>
    <sheet name="papers_tags (4)" sheetId="8" r:id="rId3"/>
    <sheet name="papers_tags (2)" sheetId="4" r:id="rId4"/>
    <sheet name="papers_tags" sheetId="1" r:id="rId5"/>
    <sheet name="Primer filtro" sheetId="2" r:id="rId6"/>
    <sheet name="Gap" sheetId="3" r:id="rId7"/>
    <sheet name="Matemáticas" sheetId="5" r:id="rId8"/>
    <sheet name="Estructura" sheetId="6" r:id="rId9"/>
  </sheets>
  <definedNames>
    <definedName name="DatosExternos_1" localSheetId="3" hidden="1">'papers_tags (2)'!$A$1:$CI$65</definedName>
    <definedName name="DatosExternos_2" localSheetId="0" hidden="1">'papers_tags (3)'!$A$1:$CI$72</definedName>
    <definedName name="DatosExternos_2" localSheetId="2" hidden="1">'papers_tags (4)'!$A$1:$CI$75</definedName>
    <definedName name="DatosExternos_3" localSheetId="1" hidden="1">'papers_tags (5)'!$A$1:$CI$85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2" l="1"/>
  <c r="B7" i="2"/>
  <c r="B25" i="2"/>
  <c r="B27" i="2"/>
  <c r="B9" i="2"/>
  <c r="B46" i="2"/>
  <c r="B23" i="2"/>
  <c r="B26" i="2"/>
  <c r="B24" i="2"/>
  <c r="C8" i="2"/>
  <c r="C7" i="2"/>
  <c r="C25" i="2"/>
  <c r="C27" i="2"/>
  <c r="C9" i="2"/>
  <c r="C46" i="2"/>
  <c r="C23" i="2"/>
  <c r="C26" i="2"/>
  <c r="C24" i="2"/>
  <c r="CJ115" i="1"/>
  <c r="CJ116" i="1"/>
  <c r="CJ117" i="1"/>
  <c r="CJ118" i="1"/>
  <c r="CJ119" i="1"/>
  <c r="CJ120" i="1"/>
  <c r="CJ121" i="1"/>
  <c r="CJ122" i="1"/>
  <c r="CJ123" i="1"/>
  <c r="CJ124" i="1"/>
  <c r="CJ125" i="1"/>
  <c r="CJ126" i="1"/>
  <c r="CJ127" i="1"/>
  <c r="CJ128" i="1"/>
  <c r="CJ112" i="1"/>
  <c r="CJ113" i="1"/>
  <c r="CJ114" i="1"/>
  <c r="A45" i="3" a="1"/>
  <c r="A45" i="3" s="1"/>
  <c r="A44" i="3" a="1"/>
  <c r="A44" i="3" s="1"/>
  <c r="J44" i="3" s="1"/>
  <c r="B3" i="2"/>
  <c r="B38" i="2"/>
  <c r="B42" i="2"/>
  <c r="C3" i="2"/>
  <c r="C38" i="2"/>
  <c r="C42" i="2"/>
  <c r="B47" i="2"/>
  <c r="C47" i="2"/>
  <c r="CJ73" i="1"/>
  <c r="CJ74" i="1"/>
  <c r="CJ75" i="1"/>
  <c r="A39" i="3" a="1"/>
  <c r="A39" i="3" s="1"/>
  <c r="A40" i="3" a="1"/>
  <c r="A40" i="3" s="1"/>
  <c r="A41" i="3" a="1"/>
  <c r="A41" i="3" s="1"/>
  <c r="A42" i="3" a="1"/>
  <c r="A42" i="3" s="1"/>
  <c r="A43" i="3" a="1"/>
  <c r="A43" i="3" s="1"/>
  <c r="A36" i="3" a="1"/>
  <c r="A36" i="3" s="1"/>
  <c r="J36" i="3" s="1"/>
  <c r="A37" i="3" a="1"/>
  <c r="A37" i="3" s="1"/>
  <c r="J37" i="3" s="1"/>
  <c r="A38" i="3" a="1"/>
  <c r="A38" i="3" s="1"/>
  <c r="K6" i="2"/>
  <c r="J17" i="2"/>
  <c r="K18" i="2"/>
  <c r="K12" i="2"/>
  <c r="B55" i="2"/>
  <c r="B81" i="2"/>
  <c r="B12" i="2"/>
  <c r="B18" i="2"/>
  <c r="B17" i="2"/>
  <c r="B14" i="2"/>
  <c r="B6" i="2"/>
  <c r="C55" i="2"/>
  <c r="C81" i="2"/>
  <c r="C12" i="2"/>
  <c r="C18" i="2"/>
  <c r="C17" i="2"/>
  <c r="C14" i="2"/>
  <c r="C6" i="2"/>
  <c r="CJ105" i="1"/>
  <c r="CJ106" i="1"/>
  <c r="CJ107" i="1"/>
  <c r="CJ108" i="1"/>
  <c r="CJ109" i="1"/>
  <c r="CJ110" i="1"/>
  <c r="CJ111" i="1"/>
  <c r="CJ83" i="1"/>
  <c r="CJ84" i="1"/>
  <c r="CJ85" i="1"/>
  <c r="CJ86" i="1"/>
  <c r="CJ87" i="1"/>
  <c r="CJ88" i="1"/>
  <c r="CJ89" i="1"/>
  <c r="CJ90" i="1"/>
  <c r="CJ91" i="1"/>
  <c r="CJ92" i="1"/>
  <c r="CJ93" i="1"/>
  <c r="CJ94" i="1"/>
  <c r="CJ95" i="1"/>
  <c r="CJ96" i="1"/>
  <c r="CJ97" i="1"/>
  <c r="CJ98" i="1"/>
  <c r="CJ99" i="1"/>
  <c r="CJ100" i="1"/>
  <c r="CJ101" i="1"/>
  <c r="CJ102" i="1"/>
  <c r="CJ103" i="1"/>
  <c r="CJ104" i="1"/>
  <c r="CJ66" i="1"/>
  <c r="CJ67" i="1"/>
  <c r="CJ68" i="1"/>
  <c r="CJ69" i="1"/>
  <c r="CJ70" i="1"/>
  <c r="CJ71" i="1"/>
  <c r="CJ72" i="1"/>
  <c r="CJ76" i="1"/>
  <c r="CJ77" i="1"/>
  <c r="CJ78" i="1"/>
  <c r="CJ79" i="1"/>
  <c r="CJ80" i="1"/>
  <c r="CJ81" i="1"/>
  <c r="CJ82" i="1"/>
  <c r="A2" i="6" a="1"/>
  <c r="A2" i="6" s="1"/>
  <c r="A3" i="6" a="1"/>
  <c r="A3" i="6" s="1"/>
  <c r="A4" i="6" a="1"/>
  <c r="A4" i="6" s="1"/>
  <c r="A5" i="6" a="1"/>
  <c r="A5" i="6" s="1"/>
  <c r="A6" i="6" a="1"/>
  <c r="A6" i="6" s="1"/>
  <c r="I6" i="6" s="1"/>
  <c r="A7" i="6" a="1"/>
  <c r="A7" i="6" s="1"/>
  <c r="A8" i="6" a="1"/>
  <c r="A8" i="6" s="1"/>
  <c r="A9" i="6" a="1"/>
  <c r="A9" i="6" s="1"/>
  <c r="A10" i="6" a="1"/>
  <c r="A10" i="6" s="1"/>
  <c r="A11" i="6" a="1"/>
  <c r="A11" i="6" s="1"/>
  <c r="A12" i="6" a="1"/>
  <c r="A12" i="6" s="1"/>
  <c r="A13" i="6" a="1"/>
  <c r="A13" i="6" s="1"/>
  <c r="A14" i="6" a="1"/>
  <c r="A14" i="6" s="1"/>
  <c r="G14" i="6" s="1"/>
  <c r="A15" i="6" a="1"/>
  <c r="A15" i="6" s="1"/>
  <c r="A16" i="6" a="1"/>
  <c r="A16" i="6" s="1"/>
  <c r="A17" i="6" a="1"/>
  <c r="A17" i="6" s="1"/>
  <c r="A18" i="6" a="1"/>
  <c r="A18" i="6" s="1"/>
  <c r="A19" i="6" a="1"/>
  <c r="A19" i="6" s="1"/>
  <c r="A20" i="6" a="1"/>
  <c r="A20" i="6" s="1"/>
  <c r="A21" i="6" a="1"/>
  <c r="A21" i="6" s="1"/>
  <c r="A22" i="6" a="1"/>
  <c r="A22" i="6" s="1"/>
  <c r="A23" i="6" a="1"/>
  <c r="A23" i="6" s="1"/>
  <c r="A24" i="6" a="1"/>
  <c r="A24" i="6" s="1"/>
  <c r="A25" i="6" a="1"/>
  <c r="A25" i="6" s="1"/>
  <c r="A26" i="6" a="1"/>
  <c r="A26" i="6" s="1"/>
  <c r="A27" i="6" a="1"/>
  <c r="A27" i="6" s="1"/>
  <c r="A28" i="6" a="1"/>
  <c r="A28" i="6" s="1"/>
  <c r="A29" i="6" a="1"/>
  <c r="A29" i="6" s="1"/>
  <c r="A30" i="6" a="1"/>
  <c r="A30" i="6" s="1"/>
  <c r="A31" i="6" a="1"/>
  <c r="A31" i="6" s="1"/>
  <c r="A32" i="6" a="1"/>
  <c r="A32" i="6" s="1"/>
  <c r="A33" i="6" a="1"/>
  <c r="A33" i="6" s="1"/>
  <c r="H33" i="6" s="1"/>
  <c r="A34" i="6" a="1"/>
  <c r="A34" i="6" s="1"/>
  <c r="A35" i="6" a="1"/>
  <c r="A35" i="6" s="1"/>
  <c r="A3" i="5" a="1"/>
  <c r="A3" i="5" s="1"/>
  <c r="A4" i="5" a="1"/>
  <c r="A4" i="5" s="1"/>
  <c r="F4" i="5" s="1"/>
  <c r="A5" i="5" a="1"/>
  <c r="A5" i="5" s="1"/>
  <c r="A6" i="5" a="1"/>
  <c r="A6" i="5" s="1"/>
  <c r="A7" i="5" a="1"/>
  <c r="A7" i="5" s="1"/>
  <c r="A8" i="5" a="1"/>
  <c r="A8" i="5" s="1"/>
  <c r="A9" i="5" a="1"/>
  <c r="A9" i="5" s="1"/>
  <c r="A10" i="5" a="1"/>
  <c r="A10" i="5" s="1"/>
  <c r="A11" i="5" a="1"/>
  <c r="A11" i="5" s="1"/>
  <c r="A12" i="5" a="1"/>
  <c r="A12" i="5" s="1"/>
  <c r="G12" i="5" s="1"/>
  <c r="A13" i="5" a="1"/>
  <c r="A13" i="5" s="1"/>
  <c r="A14" i="5" a="1"/>
  <c r="A14" i="5" s="1"/>
  <c r="A15" i="5" a="1"/>
  <c r="A15" i="5" s="1"/>
  <c r="A16" i="5" a="1"/>
  <c r="A16" i="5" s="1"/>
  <c r="A17" i="5" a="1"/>
  <c r="A17" i="5" s="1"/>
  <c r="A18" i="5" a="1"/>
  <c r="A18" i="5" s="1"/>
  <c r="A19" i="5" a="1"/>
  <c r="A19" i="5" s="1"/>
  <c r="A20" i="5" a="1"/>
  <c r="A20" i="5" s="1"/>
  <c r="G20" i="5" s="1"/>
  <c r="A21" i="5" a="1"/>
  <c r="A21" i="5" s="1"/>
  <c r="A22" i="5" a="1"/>
  <c r="A22" i="5" s="1"/>
  <c r="A23" i="5" a="1"/>
  <c r="A23" i="5" s="1"/>
  <c r="A24" i="5" a="1"/>
  <c r="A24" i="5" s="1"/>
  <c r="A25" i="5" a="1"/>
  <c r="A25" i="5" s="1"/>
  <c r="A26" i="5" a="1"/>
  <c r="A26" i="5" s="1"/>
  <c r="A27" i="5" a="1"/>
  <c r="A27" i="5" s="1"/>
  <c r="A28" i="5" a="1"/>
  <c r="A28" i="5" s="1"/>
  <c r="G28" i="5" s="1"/>
  <c r="A29" i="5" a="1"/>
  <c r="A29" i="5" s="1"/>
  <c r="A30" i="5" a="1"/>
  <c r="A30" i="5" s="1"/>
  <c r="J30" i="5" s="1"/>
  <c r="A31" i="5" a="1"/>
  <c r="A31" i="5" s="1"/>
  <c r="J31" i="5" s="1"/>
  <c r="A32" i="5" a="1"/>
  <c r="A32" i="5" s="1"/>
  <c r="J32" i="5" s="1"/>
  <c r="A33" i="5" a="1"/>
  <c r="A33" i="5" s="1"/>
  <c r="J33" i="5" s="1"/>
  <c r="A34" i="5" a="1"/>
  <c r="A34" i="5" s="1"/>
  <c r="J34" i="5" s="1"/>
  <c r="A35" i="5" a="1"/>
  <c r="A35" i="5" s="1"/>
  <c r="J35" i="5" s="1"/>
  <c r="A2" i="5" a="1"/>
  <c r="A2" i="5" s="1"/>
  <c r="A32" i="3" a="1"/>
  <c r="A32" i="3" s="1"/>
  <c r="B32" i="3" s="1"/>
  <c r="A33" i="3" a="1"/>
  <c r="A33" i="3" s="1"/>
  <c r="B33" i="3" s="1"/>
  <c r="A21" i="3" a="1"/>
  <c r="A21" i="3" s="1"/>
  <c r="B21" i="3" s="1"/>
  <c r="A22" i="3" a="1"/>
  <c r="A22" i="3" s="1"/>
  <c r="A23" i="3" a="1"/>
  <c r="A23" i="3" s="1"/>
  <c r="B23" i="3" s="1"/>
  <c r="A34" i="3" a="1"/>
  <c r="A34" i="3" s="1"/>
  <c r="B34" i="3" s="1"/>
  <c r="A4" i="3" a="1"/>
  <c r="A4" i="3" s="1"/>
  <c r="B4" i="3" s="1"/>
  <c r="A24" i="3" a="1"/>
  <c r="A24" i="3" s="1"/>
  <c r="A35" i="3" a="1"/>
  <c r="A35" i="3" s="1"/>
  <c r="B35" i="3" s="1"/>
  <c r="A5" i="3" a="1"/>
  <c r="A5" i="3" s="1"/>
  <c r="B5" i="3" s="1"/>
  <c r="A6" i="3" a="1"/>
  <c r="A6" i="3" s="1"/>
  <c r="B6" i="3" s="1"/>
  <c r="A7" i="3" a="1"/>
  <c r="A7" i="3" s="1"/>
  <c r="A8" i="3" a="1"/>
  <c r="A8" i="3" s="1"/>
  <c r="B8" i="3" s="1"/>
  <c r="A9" i="3" a="1"/>
  <c r="A9" i="3" s="1"/>
  <c r="B9" i="3" s="1"/>
  <c r="A10" i="3" a="1"/>
  <c r="A10" i="3" s="1"/>
  <c r="B10" i="3" s="1"/>
  <c r="A11" i="3" a="1"/>
  <c r="A11" i="3" s="1"/>
  <c r="B11" i="3" s="1"/>
  <c r="A2" i="3" a="1"/>
  <c r="A2" i="3" s="1"/>
  <c r="J2" i="3" s="1"/>
  <c r="A26" i="3" a="1"/>
  <c r="A26" i="3" s="1"/>
  <c r="J26" i="3" s="1"/>
  <c r="A12" i="3" a="1"/>
  <c r="A12" i="3" s="1"/>
  <c r="J12" i="3" s="1"/>
  <c r="A13" i="3" a="1"/>
  <c r="A13" i="3" s="1"/>
  <c r="D13" i="3" s="1"/>
  <c r="A27" i="3" a="1"/>
  <c r="A27" i="3" s="1"/>
  <c r="J27" i="3" s="1"/>
  <c r="A14" i="3" a="1"/>
  <c r="A14" i="3" s="1"/>
  <c r="I14" i="3" s="1"/>
  <c r="A15" i="3" a="1"/>
  <c r="A15" i="3" s="1"/>
  <c r="I15" i="3" s="1"/>
  <c r="A28" i="3" a="1"/>
  <c r="A28" i="3" s="1"/>
  <c r="H28" i="3" s="1"/>
  <c r="A29" i="3" a="1"/>
  <c r="A29" i="3" s="1"/>
  <c r="E29" i="3" s="1"/>
  <c r="A16" i="3" a="1"/>
  <c r="A16" i="3" s="1"/>
  <c r="J16" i="3" s="1"/>
  <c r="A17" i="3" a="1"/>
  <c r="A17" i="3" s="1"/>
  <c r="D17" i="3" s="1"/>
  <c r="A18" i="3" a="1"/>
  <c r="A18" i="3" s="1"/>
  <c r="J18" i="3" s="1"/>
  <c r="A19" i="3" a="1"/>
  <c r="A19" i="3" s="1"/>
  <c r="J19" i="3" s="1"/>
  <c r="A30" i="3" a="1"/>
  <c r="A30" i="3" s="1"/>
  <c r="I30" i="3" s="1"/>
  <c r="A20" i="3" a="1"/>
  <c r="A20" i="3" s="1"/>
  <c r="I20" i="3" s="1"/>
  <c r="A31" i="3" a="1"/>
  <c r="A31" i="3" s="1"/>
  <c r="J31" i="3" s="1"/>
  <c r="A3" i="3" a="1"/>
  <c r="A3" i="3" s="1"/>
  <c r="J3" i="3" s="1"/>
  <c r="A25" i="3" a="1"/>
  <c r="A25" i="3" s="1"/>
  <c r="G25" i="3" s="1"/>
  <c r="K11" i="2"/>
  <c r="B48" i="2"/>
  <c r="B67" i="2"/>
  <c r="B10" i="2"/>
  <c r="B11" i="2"/>
  <c r="B49" i="2"/>
  <c r="B13" i="2"/>
  <c r="B71" i="2"/>
  <c r="B34" i="2"/>
  <c r="B30" i="2"/>
  <c r="B36" i="2"/>
  <c r="B54" i="2"/>
  <c r="B4" i="2"/>
  <c r="B75" i="2"/>
  <c r="B15" i="2"/>
  <c r="B16" i="2"/>
  <c r="B77" i="2"/>
  <c r="B82" i="2"/>
  <c r="B20" i="2"/>
  <c r="B83" i="2"/>
  <c r="B66" i="2"/>
  <c r="B22" i="2"/>
  <c r="C67" i="2"/>
  <c r="C10" i="2"/>
  <c r="C11" i="2"/>
  <c r="C49" i="2"/>
  <c r="C13" i="2"/>
  <c r="C71" i="2"/>
  <c r="C34" i="2"/>
  <c r="C30" i="2"/>
  <c r="C36" i="2"/>
  <c r="C54" i="2"/>
  <c r="C4" i="2"/>
  <c r="C75" i="2"/>
  <c r="C15" i="2"/>
  <c r="C16" i="2"/>
  <c r="C77" i="2"/>
  <c r="C82" i="2"/>
  <c r="C20" i="2"/>
  <c r="C83" i="2"/>
  <c r="C66" i="2"/>
  <c r="C22" i="2"/>
  <c r="CJ43" i="1"/>
  <c r="CJ16" i="1"/>
  <c r="CJ5" i="1"/>
  <c r="CJ18" i="1"/>
  <c r="CJ42" i="1"/>
  <c r="CJ39" i="1"/>
  <c r="CJ9" i="1"/>
  <c r="CJ20" i="1"/>
  <c r="CJ32" i="1"/>
  <c r="CJ30" i="1"/>
  <c r="CJ31" i="1"/>
  <c r="CJ40" i="1"/>
  <c r="CJ7" i="1"/>
  <c r="CJ3" i="1"/>
  <c r="CJ15" i="1"/>
  <c r="CJ25" i="1"/>
  <c r="CJ13" i="1"/>
  <c r="CJ17" i="1"/>
  <c r="CJ27" i="1"/>
  <c r="CJ24" i="1"/>
  <c r="CJ41" i="1"/>
  <c r="CJ35" i="1"/>
  <c r="CJ29" i="1"/>
  <c r="CJ6" i="1"/>
  <c r="CJ14" i="1"/>
  <c r="CJ22" i="1"/>
  <c r="CJ11" i="1"/>
  <c r="CJ33" i="1"/>
  <c r="CJ4" i="1"/>
  <c r="CJ37" i="1"/>
  <c r="CJ19" i="1"/>
  <c r="CJ10" i="1"/>
  <c r="CJ2" i="1"/>
  <c r="CJ34" i="1"/>
  <c r="CJ26" i="1"/>
  <c r="CJ28" i="1"/>
  <c r="CJ8" i="1"/>
  <c r="CJ38" i="1"/>
  <c r="CJ36" i="1"/>
  <c r="CJ23" i="1"/>
  <c r="CJ12" i="1"/>
  <c r="CJ21" i="1"/>
  <c r="CJ63" i="1"/>
  <c r="CJ60" i="1"/>
  <c r="CJ53" i="1"/>
  <c r="CJ62" i="1"/>
  <c r="CJ47" i="1"/>
  <c r="CJ46" i="1"/>
  <c r="CJ51" i="1"/>
  <c r="CJ54" i="1"/>
  <c r="CJ52" i="1"/>
  <c r="CJ57" i="1"/>
  <c r="CJ64" i="1"/>
  <c r="CJ45" i="1"/>
  <c r="CJ61" i="1"/>
  <c r="CJ65" i="1"/>
  <c r="CJ44" i="1"/>
  <c r="CJ48" i="1"/>
  <c r="CJ50" i="1"/>
  <c r="CJ56" i="1"/>
  <c r="CJ59" i="1"/>
  <c r="CJ49" i="1"/>
  <c r="CJ58" i="1"/>
  <c r="CJ55" i="1"/>
  <c r="K76" i="2"/>
  <c r="C48" i="2"/>
  <c r="K50" i="2"/>
  <c r="K41" i="2"/>
  <c r="C85" i="2"/>
  <c r="C56" i="2"/>
  <c r="C45" i="2"/>
  <c r="C84" i="2"/>
  <c r="C76" i="2"/>
  <c r="C63" i="2"/>
  <c r="C31" i="2"/>
  <c r="C62" i="2"/>
  <c r="C70" i="2"/>
  <c r="C69" i="2"/>
  <c r="C73" i="2"/>
  <c r="C61" i="2"/>
  <c r="C72" i="2"/>
  <c r="C74" i="2"/>
  <c r="C40" i="2"/>
  <c r="C60" i="2"/>
  <c r="C44" i="2"/>
  <c r="C80" i="2"/>
  <c r="C41" i="2"/>
  <c r="C28" i="2"/>
  <c r="C53" i="2"/>
  <c r="C59" i="2"/>
  <c r="C2" i="2"/>
  <c r="C64" i="2"/>
  <c r="C50" i="2"/>
  <c r="C21" i="2"/>
  <c r="C57" i="2"/>
  <c r="C68" i="2"/>
  <c r="C79" i="2"/>
  <c r="C39" i="2"/>
  <c r="C78" i="2"/>
  <c r="C51" i="2"/>
  <c r="C43" i="2"/>
  <c r="C19" i="2"/>
  <c r="C37" i="2"/>
  <c r="C35" i="2"/>
  <c r="C58" i="2"/>
  <c r="B85" i="2"/>
  <c r="B5" i="2"/>
  <c r="B33" i="2"/>
  <c r="B56" i="2"/>
  <c r="B45" i="2"/>
  <c r="B84" i="2"/>
  <c r="B29" i="2"/>
  <c r="B76" i="2"/>
  <c r="B63" i="2"/>
  <c r="B31" i="2"/>
  <c r="B62" i="2"/>
  <c r="B65" i="2"/>
  <c r="B70" i="2"/>
  <c r="B69" i="2"/>
  <c r="B73" i="2"/>
  <c r="B61" i="2"/>
  <c r="B72" i="2"/>
  <c r="B74" i="2"/>
  <c r="B40" i="2"/>
  <c r="B60" i="2"/>
  <c r="B44" i="2"/>
  <c r="B80" i="2"/>
  <c r="B41" i="2"/>
  <c r="B28" i="2"/>
  <c r="B53" i="2"/>
  <c r="B59" i="2"/>
  <c r="B2" i="2"/>
  <c r="B64" i="2"/>
  <c r="B50" i="2"/>
  <c r="B21" i="2"/>
  <c r="B57" i="2"/>
  <c r="B52" i="2"/>
  <c r="B68" i="2"/>
  <c r="B79" i="2"/>
  <c r="B39" i="2"/>
  <c r="B78" i="2"/>
  <c r="B51" i="2"/>
  <c r="B43" i="2"/>
  <c r="B19" i="2"/>
  <c r="B37" i="2"/>
  <c r="B35" i="2"/>
  <c r="B58" i="2"/>
  <c r="F45" i="3" l="1"/>
  <c r="J45" i="3"/>
  <c r="G45" i="3"/>
  <c r="D45" i="3"/>
  <c r="H45" i="3"/>
  <c r="I45" i="3"/>
  <c r="C45" i="3"/>
  <c r="B45" i="3"/>
  <c r="E45" i="3"/>
  <c r="G44" i="3"/>
  <c r="H44" i="3"/>
  <c r="I44" i="3"/>
  <c r="B44" i="3"/>
  <c r="C44" i="3"/>
  <c r="D44" i="3"/>
  <c r="E44" i="3"/>
  <c r="F44" i="3"/>
  <c r="I42" i="3"/>
  <c r="C42" i="3"/>
  <c r="D42" i="3"/>
  <c r="D43" i="3"/>
  <c r="I43" i="3"/>
  <c r="F43" i="3"/>
  <c r="J43" i="3"/>
  <c r="C43" i="3"/>
  <c r="H43" i="3"/>
  <c r="E43" i="3"/>
  <c r="B43" i="3"/>
  <c r="G43" i="3"/>
  <c r="B38" i="3"/>
  <c r="D38" i="3"/>
  <c r="J38" i="3"/>
  <c r="I38" i="3"/>
  <c r="C40" i="3"/>
  <c r="H40" i="3"/>
  <c r="E40" i="3"/>
  <c r="B40" i="3"/>
  <c r="G40" i="3"/>
  <c r="D40" i="3"/>
  <c r="J40" i="3"/>
  <c r="I40" i="3"/>
  <c r="F40" i="3"/>
  <c r="F41" i="3"/>
  <c r="C41" i="3"/>
  <c r="H41" i="3"/>
  <c r="E41" i="3"/>
  <c r="B41" i="3"/>
  <c r="J41" i="3"/>
  <c r="G41" i="3"/>
  <c r="D41" i="3"/>
  <c r="I41" i="3"/>
  <c r="H39" i="3"/>
  <c r="E39" i="3"/>
  <c r="B39" i="3"/>
  <c r="G39" i="3"/>
  <c r="D39" i="3"/>
  <c r="I39" i="3"/>
  <c r="F39" i="3"/>
  <c r="J39" i="3"/>
  <c r="C39" i="3"/>
  <c r="G42" i="3"/>
  <c r="B42" i="3"/>
  <c r="E42" i="3"/>
  <c r="J42" i="3"/>
  <c r="H42" i="3"/>
  <c r="F42" i="3"/>
  <c r="E37" i="3"/>
  <c r="H37" i="3"/>
  <c r="C37" i="3"/>
  <c r="D37" i="3"/>
  <c r="F37" i="3"/>
  <c r="I37" i="3"/>
  <c r="G37" i="3"/>
  <c r="B37" i="3"/>
  <c r="H36" i="3"/>
  <c r="C36" i="3"/>
  <c r="F36" i="3"/>
  <c r="G36" i="3"/>
  <c r="I36" i="3"/>
  <c r="D36" i="3"/>
  <c r="E36" i="3"/>
  <c r="B36" i="3"/>
  <c r="G38" i="3"/>
  <c r="F38" i="3"/>
  <c r="C38" i="3"/>
  <c r="H38" i="3"/>
  <c r="E38" i="3"/>
  <c r="G10" i="3"/>
  <c r="C10" i="3"/>
  <c r="E10" i="3"/>
  <c r="I10" i="3"/>
  <c r="D21" i="6"/>
  <c r="E21" i="6"/>
  <c r="E5" i="6"/>
  <c r="D5" i="6"/>
  <c r="D13" i="6"/>
  <c r="E13" i="6"/>
  <c r="I25" i="6"/>
  <c r="H25" i="6"/>
  <c r="I17" i="6"/>
  <c r="H17" i="6"/>
  <c r="J14" i="6"/>
  <c r="J6" i="6"/>
  <c r="E29" i="6"/>
  <c r="D29" i="6"/>
  <c r="G23" i="6"/>
  <c r="D23" i="6"/>
  <c r="C23" i="6"/>
  <c r="F23" i="6"/>
  <c r="H9" i="6"/>
  <c r="I9" i="6"/>
  <c r="D31" i="6"/>
  <c r="C31" i="6"/>
  <c r="F31" i="6"/>
  <c r="G31" i="6"/>
  <c r="G30" i="6"/>
  <c r="F30" i="6"/>
  <c r="B30" i="6"/>
  <c r="I30" i="6"/>
  <c r="J30" i="6"/>
  <c r="B6" i="6"/>
  <c r="G6" i="6"/>
  <c r="C14" i="6"/>
  <c r="F6" i="6"/>
  <c r="B14" i="6"/>
  <c r="C6" i="6"/>
  <c r="I14" i="6"/>
  <c r="F14" i="6"/>
  <c r="G4" i="6"/>
  <c r="H4" i="6"/>
  <c r="F4" i="6"/>
  <c r="E4" i="6"/>
  <c r="D4" i="6"/>
  <c r="C4" i="6"/>
  <c r="I4" i="6"/>
  <c r="J4" i="6"/>
  <c r="B4" i="6"/>
  <c r="E10" i="6"/>
  <c r="C10" i="6"/>
  <c r="J10" i="6"/>
  <c r="B10" i="6"/>
  <c r="F10" i="6"/>
  <c r="D10" i="6"/>
  <c r="I10" i="6"/>
  <c r="H10" i="6"/>
  <c r="G10" i="6"/>
  <c r="G12" i="6"/>
  <c r="D12" i="6"/>
  <c r="H12" i="6"/>
  <c r="F12" i="6"/>
  <c r="E12" i="6"/>
  <c r="C12" i="6"/>
  <c r="J12" i="6"/>
  <c r="B12" i="6"/>
  <c r="I12" i="6"/>
  <c r="E18" i="6"/>
  <c r="D18" i="6"/>
  <c r="C18" i="6"/>
  <c r="F18" i="6"/>
  <c r="J18" i="6"/>
  <c r="B18" i="6"/>
  <c r="I18" i="6"/>
  <c r="H18" i="6"/>
  <c r="G18" i="6"/>
  <c r="E26" i="6"/>
  <c r="D26" i="6"/>
  <c r="C26" i="6"/>
  <c r="J26" i="6"/>
  <c r="B26" i="6"/>
  <c r="I26" i="6"/>
  <c r="H26" i="6"/>
  <c r="G26" i="6"/>
  <c r="F26" i="6"/>
  <c r="F7" i="6"/>
  <c r="G7" i="6"/>
  <c r="E7" i="6"/>
  <c r="D7" i="6"/>
  <c r="C7" i="6"/>
  <c r="J7" i="6"/>
  <c r="B7" i="6"/>
  <c r="I7" i="6"/>
  <c r="H7" i="6"/>
  <c r="J19" i="6"/>
  <c r="B19" i="6"/>
  <c r="I19" i="6"/>
  <c r="H19" i="6"/>
  <c r="C19" i="6"/>
  <c r="G19" i="6"/>
  <c r="F19" i="6"/>
  <c r="E19" i="6"/>
  <c r="D19" i="6"/>
  <c r="J27" i="6"/>
  <c r="B27" i="6"/>
  <c r="I27" i="6"/>
  <c r="H27" i="6"/>
  <c r="G27" i="6"/>
  <c r="F27" i="6"/>
  <c r="E27" i="6"/>
  <c r="D27" i="6"/>
  <c r="C27" i="6"/>
  <c r="C32" i="6"/>
  <c r="J32" i="6"/>
  <c r="B32" i="6"/>
  <c r="I32" i="6"/>
  <c r="H32" i="6"/>
  <c r="G32" i="6"/>
  <c r="D32" i="6"/>
  <c r="F32" i="6"/>
  <c r="E32" i="6"/>
  <c r="C8" i="6"/>
  <c r="I8" i="6"/>
  <c r="H8" i="6"/>
  <c r="D8" i="6"/>
  <c r="J8" i="6"/>
  <c r="B8" i="6"/>
  <c r="G8" i="6"/>
  <c r="F8" i="6"/>
  <c r="E8" i="6"/>
  <c r="G20" i="6"/>
  <c r="F20" i="6"/>
  <c r="E20" i="6"/>
  <c r="H20" i="6"/>
  <c r="D20" i="6"/>
  <c r="C20" i="6"/>
  <c r="J20" i="6"/>
  <c r="B20" i="6"/>
  <c r="I20" i="6"/>
  <c r="G28" i="6"/>
  <c r="F28" i="6"/>
  <c r="E28" i="6"/>
  <c r="D28" i="6"/>
  <c r="C28" i="6"/>
  <c r="H28" i="6"/>
  <c r="J28" i="6"/>
  <c r="B28" i="6"/>
  <c r="I28" i="6"/>
  <c r="J11" i="6"/>
  <c r="B11" i="6"/>
  <c r="G11" i="6"/>
  <c r="C11" i="6"/>
  <c r="I11" i="6"/>
  <c r="H11" i="6"/>
  <c r="F11" i="6"/>
  <c r="E11" i="6"/>
  <c r="D11" i="6"/>
  <c r="F15" i="6"/>
  <c r="E15" i="6"/>
  <c r="D15" i="6"/>
  <c r="C15" i="6"/>
  <c r="G15" i="6"/>
  <c r="J15" i="6"/>
  <c r="B15" i="6"/>
  <c r="I15" i="6"/>
  <c r="H15" i="6"/>
  <c r="C16" i="6"/>
  <c r="J16" i="6"/>
  <c r="B16" i="6"/>
  <c r="I16" i="6"/>
  <c r="D16" i="6"/>
  <c r="H16" i="6"/>
  <c r="G16" i="6"/>
  <c r="F16" i="6"/>
  <c r="E16" i="6"/>
  <c r="C24" i="6"/>
  <c r="J24" i="6"/>
  <c r="B24" i="6"/>
  <c r="I24" i="6"/>
  <c r="H24" i="6"/>
  <c r="G24" i="6"/>
  <c r="F24" i="6"/>
  <c r="E24" i="6"/>
  <c r="D24" i="6"/>
  <c r="E34" i="6"/>
  <c r="D34" i="6"/>
  <c r="C34" i="6"/>
  <c r="J34" i="6"/>
  <c r="B34" i="6"/>
  <c r="I34" i="6"/>
  <c r="F34" i="6"/>
  <c r="H34" i="6"/>
  <c r="G34" i="6"/>
  <c r="I22" i="6"/>
  <c r="H22" i="6"/>
  <c r="B22" i="6"/>
  <c r="G22" i="6"/>
  <c r="J22" i="6"/>
  <c r="F22" i="6"/>
  <c r="E22" i="6"/>
  <c r="D22" i="6"/>
  <c r="C22" i="6"/>
  <c r="E2" i="6"/>
  <c r="C2" i="6"/>
  <c r="F2" i="6"/>
  <c r="D2" i="6"/>
  <c r="J2" i="6"/>
  <c r="B2" i="6"/>
  <c r="I2" i="6"/>
  <c r="G2" i="6"/>
  <c r="H2" i="6"/>
  <c r="J3" i="6"/>
  <c r="B3" i="6"/>
  <c r="I3" i="6"/>
  <c r="H3" i="6"/>
  <c r="G3" i="6"/>
  <c r="F3" i="6"/>
  <c r="D3" i="6"/>
  <c r="E3" i="6"/>
  <c r="C3" i="6"/>
  <c r="J35" i="6"/>
  <c r="B35" i="6"/>
  <c r="I35" i="6"/>
  <c r="H35" i="6"/>
  <c r="G35" i="6"/>
  <c r="F35" i="6"/>
  <c r="C35" i="6"/>
  <c r="E35" i="6"/>
  <c r="D35" i="6"/>
  <c r="B9" i="6"/>
  <c r="J9" i="6"/>
  <c r="F13" i="6"/>
  <c r="B17" i="6"/>
  <c r="J17" i="6"/>
  <c r="F21" i="6"/>
  <c r="H23" i="6"/>
  <c r="B25" i="6"/>
  <c r="J25" i="6"/>
  <c r="F29" i="6"/>
  <c r="C30" i="6"/>
  <c r="H31" i="6"/>
  <c r="B33" i="6"/>
  <c r="J33" i="6"/>
  <c r="G5" i="6"/>
  <c r="D6" i="6"/>
  <c r="C9" i="6"/>
  <c r="G13" i="6"/>
  <c r="D14" i="6"/>
  <c r="C17" i="6"/>
  <c r="G21" i="6"/>
  <c r="I23" i="6"/>
  <c r="C25" i="6"/>
  <c r="G29" i="6"/>
  <c r="D30" i="6"/>
  <c r="I31" i="6"/>
  <c r="C33" i="6"/>
  <c r="I33" i="6"/>
  <c r="F5" i="6"/>
  <c r="H5" i="6"/>
  <c r="E6" i="6"/>
  <c r="D9" i="6"/>
  <c r="H13" i="6"/>
  <c r="E14" i="6"/>
  <c r="D17" i="6"/>
  <c r="H21" i="6"/>
  <c r="B23" i="6"/>
  <c r="J23" i="6"/>
  <c r="D25" i="6"/>
  <c r="H29" i="6"/>
  <c r="E30" i="6"/>
  <c r="B31" i="6"/>
  <c r="J31" i="6"/>
  <c r="D33" i="6"/>
  <c r="E17" i="6"/>
  <c r="I21" i="6"/>
  <c r="E25" i="6"/>
  <c r="I29" i="6"/>
  <c r="E33" i="6"/>
  <c r="I5" i="6"/>
  <c r="B13" i="6"/>
  <c r="J13" i="6"/>
  <c r="F17" i="6"/>
  <c r="B21" i="6"/>
  <c r="J21" i="6"/>
  <c r="F25" i="6"/>
  <c r="B29" i="6"/>
  <c r="J29" i="6"/>
  <c r="F33" i="6"/>
  <c r="B5" i="6"/>
  <c r="J5" i="6"/>
  <c r="F9" i="6"/>
  <c r="C5" i="6"/>
  <c r="H6" i="6"/>
  <c r="G9" i="6"/>
  <c r="C13" i="6"/>
  <c r="H14" i="6"/>
  <c r="G17" i="6"/>
  <c r="C21" i="6"/>
  <c r="E23" i="6"/>
  <c r="G25" i="6"/>
  <c r="C29" i="6"/>
  <c r="H30" i="6"/>
  <c r="E31" i="6"/>
  <c r="G33" i="6"/>
  <c r="E9" i="6"/>
  <c r="I13" i="6"/>
  <c r="E8" i="5"/>
  <c r="J8" i="5"/>
  <c r="E32" i="5"/>
  <c r="C32" i="5"/>
  <c r="E24" i="5"/>
  <c r="C24" i="5"/>
  <c r="C16" i="5"/>
  <c r="E16" i="5"/>
  <c r="G6" i="5"/>
  <c r="C6" i="5"/>
  <c r="H6" i="5"/>
  <c r="G30" i="5"/>
  <c r="C30" i="5"/>
  <c r="I30" i="5"/>
  <c r="C14" i="5"/>
  <c r="I14" i="5"/>
  <c r="G14" i="5"/>
  <c r="J29" i="5"/>
  <c r="G29" i="5"/>
  <c r="F29" i="5"/>
  <c r="D29" i="5"/>
  <c r="B29" i="5"/>
  <c r="C29" i="5"/>
  <c r="G22" i="5"/>
  <c r="C22" i="5"/>
  <c r="I22" i="5"/>
  <c r="H25" i="5"/>
  <c r="G25" i="5"/>
  <c r="F25" i="5"/>
  <c r="E25" i="5"/>
  <c r="D25" i="5"/>
  <c r="C25" i="5"/>
  <c r="J25" i="5"/>
  <c r="B25" i="5"/>
  <c r="I25" i="5"/>
  <c r="F31" i="5"/>
  <c r="E31" i="5"/>
  <c r="D31" i="5"/>
  <c r="C31" i="5"/>
  <c r="H31" i="5"/>
  <c r="B31" i="5"/>
  <c r="I31" i="5"/>
  <c r="G31" i="5"/>
  <c r="D21" i="5"/>
  <c r="C21" i="5"/>
  <c r="J21" i="5"/>
  <c r="B21" i="5"/>
  <c r="I21" i="5"/>
  <c r="H21" i="5"/>
  <c r="G21" i="5"/>
  <c r="F21" i="5"/>
  <c r="E21" i="5"/>
  <c r="B3" i="5"/>
  <c r="I3" i="5"/>
  <c r="G3" i="5"/>
  <c r="F3" i="5"/>
  <c r="E3" i="5"/>
  <c r="C3" i="5"/>
  <c r="J3" i="5"/>
  <c r="H3" i="5"/>
  <c r="D3" i="5"/>
  <c r="E7" i="5"/>
  <c r="D7" i="5"/>
  <c r="H7" i="5"/>
  <c r="C7" i="5"/>
  <c r="J7" i="5"/>
  <c r="B7" i="5"/>
  <c r="I7" i="5"/>
  <c r="G7" i="5"/>
  <c r="F7" i="5"/>
  <c r="D13" i="5"/>
  <c r="C13" i="5"/>
  <c r="J13" i="5"/>
  <c r="B13" i="5"/>
  <c r="F13" i="5"/>
  <c r="I13" i="5"/>
  <c r="H13" i="5"/>
  <c r="G13" i="5"/>
  <c r="E13" i="5"/>
  <c r="E26" i="5"/>
  <c r="D26" i="5"/>
  <c r="C26" i="5"/>
  <c r="J26" i="5"/>
  <c r="B26" i="5"/>
  <c r="I26" i="5"/>
  <c r="H26" i="5"/>
  <c r="G26" i="5"/>
  <c r="F26" i="5"/>
  <c r="C2" i="5"/>
  <c r="D2" i="5"/>
  <c r="J2" i="5"/>
  <c r="B2" i="5"/>
  <c r="H2" i="5"/>
  <c r="I2" i="5"/>
  <c r="F2" i="5"/>
  <c r="E2" i="5"/>
  <c r="G2" i="5"/>
  <c r="H17" i="5"/>
  <c r="G17" i="5"/>
  <c r="J17" i="5"/>
  <c r="F17" i="5"/>
  <c r="E17" i="5"/>
  <c r="D17" i="5"/>
  <c r="C17" i="5"/>
  <c r="B17" i="5"/>
  <c r="I17" i="5"/>
  <c r="J27" i="5"/>
  <c r="B27" i="5"/>
  <c r="I27" i="5"/>
  <c r="H27" i="5"/>
  <c r="G27" i="5"/>
  <c r="F27" i="5"/>
  <c r="E27" i="5"/>
  <c r="D27" i="5"/>
  <c r="C27" i="5"/>
  <c r="C5" i="5"/>
  <c r="I5" i="5"/>
  <c r="G5" i="5"/>
  <c r="H5" i="5"/>
  <c r="E5" i="5"/>
  <c r="D5" i="5"/>
  <c r="J5" i="5"/>
  <c r="B5" i="5"/>
  <c r="F5" i="5"/>
  <c r="E18" i="5"/>
  <c r="D18" i="5"/>
  <c r="C18" i="5"/>
  <c r="J18" i="5"/>
  <c r="B18" i="5"/>
  <c r="I18" i="5"/>
  <c r="H18" i="5"/>
  <c r="G18" i="5"/>
  <c r="F18" i="5"/>
  <c r="H33" i="5"/>
  <c r="G33" i="5"/>
  <c r="F33" i="5"/>
  <c r="E33" i="5"/>
  <c r="B33" i="5"/>
  <c r="D33" i="5"/>
  <c r="C33" i="5"/>
  <c r="I33" i="5"/>
  <c r="H9" i="5"/>
  <c r="G9" i="5"/>
  <c r="F9" i="5"/>
  <c r="B9" i="5"/>
  <c r="E9" i="5"/>
  <c r="D9" i="5"/>
  <c r="C9" i="5"/>
  <c r="I9" i="5"/>
  <c r="J9" i="5"/>
  <c r="J19" i="5"/>
  <c r="B19" i="5"/>
  <c r="I19" i="5"/>
  <c r="D19" i="5"/>
  <c r="H19" i="5"/>
  <c r="G19" i="5"/>
  <c r="F19" i="5"/>
  <c r="E19" i="5"/>
  <c r="C19" i="5"/>
  <c r="F23" i="5"/>
  <c r="E23" i="5"/>
  <c r="H23" i="5"/>
  <c r="D23" i="5"/>
  <c r="C23" i="5"/>
  <c r="J23" i="5"/>
  <c r="B23" i="5"/>
  <c r="I23" i="5"/>
  <c r="G23" i="5"/>
  <c r="E10" i="5"/>
  <c r="D10" i="5"/>
  <c r="C10" i="5"/>
  <c r="J10" i="5"/>
  <c r="B10" i="5"/>
  <c r="G10" i="5"/>
  <c r="I10" i="5"/>
  <c r="H10" i="5"/>
  <c r="F10" i="5"/>
  <c r="E34" i="5"/>
  <c r="D34" i="5"/>
  <c r="C34" i="5"/>
  <c r="B34" i="5"/>
  <c r="I34" i="5"/>
  <c r="H34" i="5"/>
  <c r="G34" i="5"/>
  <c r="F34" i="5"/>
  <c r="J11" i="5"/>
  <c r="B11" i="5"/>
  <c r="I11" i="5"/>
  <c r="H11" i="5"/>
  <c r="D11" i="5"/>
  <c r="G11" i="5"/>
  <c r="F11" i="5"/>
  <c r="E11" i="5"/>
  <c r="C11" i="5"/>
  <c r="F15" i="5"/>
  <c r="E15" i="5"/>
  <c r="D15" i="5"/>
  <c r="C15" i="5"/>
  <c r="J15" i="5"/>
  <c r="B15" i="5"/>
  <c r="I15" i="5"/>
  <c r="H15" i="5"/>
  <c r="G15" i="5"/>
  <c r="B35" i="5"/>
  <c r="I35" i="5"/>
  <c r="H35" i="5"/>
  <c r="G35" i="5"/>
  <c r="D35" i="5"/>
  <c r="F35" i="5"/>
  <c r="E35" i="5"/>
  <c r="C35" i="5"/>
  <c r="I4" i="5"/>
  <c r="E4" i="5"/>
  <c r="G4" i="5"/>
  <c r="I6" i="5"/>
  <c r="C8" i="5"/>
  <c r="H4" i="5"/>
  <c r="B6" i="5"/>
  <c r="J6" i="5"/>
  <c r="D8" i="5"/>
  <c r="H12" i="5"/>
  <c r="B14" i="5"/>
  <c r="J14" i="5"/>
  <c r="D16" i="5"/>
  <c r="H20" i="5"/>
  <c r="B22" i="5"/>
  <c r="J22" i="5"/>
  <c r="D24" i="5"/>
  <c r="H28" i="5"/>
  <c r="E29" i="5"/>
  <c r="B30" i="5"/>
  <c r="D32" i="5"/>
  <c r="I28" i="5"/>
  <c r="B12" i="5"/>
  <c r="J12" i="5"/>
  <c r="D14" i="5"/>
  <c r="F16" i="5"/>
  <c r="B20" i="5"/>
  <c r="J20" i="5"/>
  <c r="D22" i="5"/>
  <c r="F24" i="5"/>
  <c r="B28" i="5"/>
  <c r="J28" i="5"/>
  <c r="D30" i="5"/>
  <c r="F32" i="5"/>
  <c r="J4" i="5"/>
  <c r="C4" i="5"/>
  <c r="E6" i="5"/>
  <c r="G8" i="5"/>
  <c r="C12" i="5"/>
  <c r="E14" i="5"/>
  <c r="G16" i="5"/>
  <c r="C20" i="5"/>
  <c r="E22" i="5"/>
  <c r="G24" i="5"/>
  <c r="C28" i="5"/>
  <c r="H29" i="5"/>
  <c r="E30" i="5"/>
  <c r="G32" i="5"/>
  <c r="B4" i="5"/>
  <c r="D6" i="5"/>
  <c r="F8" i="5"/>
  <c r="D4" i="5"/>
  <c r="F6" i="5"/>
  <c r="H8" i="5"/>
  <c r="D12" i="5"/>
  <c r="F14" i="5"/>
  <c r="H16" i="5"/>
  <c r="D20" i="5"/>
  <c r="F22" i="5"/>
  <c r="H24" i="5"/>
  <c r="D28" i="5"/>
  <c r="I29" i="5"/>
  <c r="F30" i="5"/>
  <c r="H32" i="5"/>
  <c r="I16" i="5"/>
  <c r="E20" i="5"/>
  <c r="I24" i="5"/>
  <c r="E28" i="5"/>
  <c r="I32" i="5"/>
  <c r="I12" i="5"/>
  <c r="I20" i="5"/>
  <c r="I8" i="5"/>
  <c r="E12" i="5"/>
  <c r="B8" i="5"/>
  <c r="F12" i="5"/>
  <c r="H14" i="5"/>
  <c r="B16" i="5"/>
  <c r="J16" i="5"/>
  <c r="F20" i="5"/>
  <c r="H22" i="5"/>
  <c r="B24" i="5"/>
  <c r="J24" i="5"/>
  <c r="F28" i="5"/>
  <c r="H30" i="5"/>
  <c r="B32" i="5"/>
  <c r="I11" i="3"/>
  <c r="G11" i="3"/>
  <c r="E11" i="3"/>
  <c r="C11" i="3"/>
  <c r="I9" i="3"/>
  <c r="G9" i="3"/>
  <c r="E9" i="3"/>
  <c r="C9" i="3"/>
  <c r="I8" i="3"/>
  <c r="G8" i="3"/>
  <c r="E8" i="3"/>
  <c r="C8" i="3"/>
  <c r="J11" i="3"/>
  <c r="H11" i="3"/>
  <c r="F11" i="3"/>
  <c r="D11" i="3"/>
  <c r="J10" i="3"/>
  <c r="H10" i="3"/>
  <c r="F10" i="3"/>
  <c r="D10" i="3"/>
  <c r="J9" i="3"/>
  <c r="H9" i="3"/>
  <c r="F9" i="3"/>
  <c r="D9" i="3"/>
  <c r="J8" i="3"/>
  <c r="H8" i="3"/>
  <c r="F8" i="3"/>
  <c r="D8" i="3"/>
  <c r="B7" i="3"/>
  <c r="C7" i="3"/>
  <c r="D7" i="3"/>
  <c r="E7" i="3"/>
  <c r="F7" i="3"/>
  <c r="G7" i="3"/>
  <c r="H7" i="3"/>
  <c r="I7" i="3"/>
  <c r="J7" i="3"/>
  <c r="B22" i="3"/>
  <c r="C22" i="3"/>
  <c r="D22" i="3"/>
  <c r="E22" i="3"/>
  <c r="F22" i="3"/>
  <c r="G22" i="3"/>
  <c r="H22" i="3"/>
  <c r="I22" i="3"/>
  <c r="J22" i="3"/>
  <c r="B24" i="3"/>
  <c r="C24" i="3"/>
  <c r="D24" i="3"/>
  <c r="E24" i="3"/>
  <c r="F24" i="3"/>
  <c r="G24" i="3"/>
  <c r="H24" i="3"/>
  <c r="I24" i="3"/>
  <c r="J24" i="3"/>
  <c r="J4" i="3"/>
  <c r="I4" i="3"/>
  <c r="H4" i="3"/>
  <c r="G4" i="3"/>
  <c r="F4" i="3"/>
  <c r="E4" i="3"/>
  <c r="D4" i="3"/>
  <c r="C4" i="3"/>
  <c r="J34" i="3"/>
  <c r="I34" i="3"/>
  <c r="H34" i="3"/>
  <c r="G34" i="3"/>
  <c r="F34" i="3"/>
  <c r="E34" i="3"/>
  <c r="D34" i="3"/>
  <c r="C34" i="3"/>
  <c r="J23" i="3"/>
  <c r="I23" i="3"/>
  <c r="H23" i="3"/>
  <c r="G23" i="3"/>
  <c r="F23" i="3"/>
  <c r="E23" i="3"/>
  <c r="D23" i="3"/>
  <c r="C23" i="3"/>
  <c r="J6" i="3"/>
  <c r="J21" i="3"/>
  <c r="I6" i="3"/>
  <c r="I21" i="3"/>
  <c r="H6" i="3"/>
  <c r="H21" i="3"/>
  <c r="G6" i="3"/>
  <c r="G21" i="3"/>
  <c r="F6" i="3"/>
  <c r="F21" i="3"/>
  <c r="E6" i="3"/>
  <c r="E21" i="3"/>
  <c r="D6" i="3"/>
  <c r="D21" i="3"/>
  <c r="C6" i="3"/>
  <c r="C21" i="3"/>
  <c r="J5" i="3"/>
  <c r="J33" i="3"/>
  <c r="I5" i="3"/>
  <c r="I33" i="3"/>
  <c r="H5" i="3"/>
  <c r="H33" i="3"/>
  <c r="G5" i="3"/>
  <c r="G33" i="3"/>
  <c r="F5" i="3"/>
  <c r="F33" i="3"/>
  <c r="E5" i="3"/>
  <c r="E33" i="3"/>
  <c r="D5" i="3"/>
  <c r="D33" i="3"/>
  <c r="C5" i="3"/>
  <c r="C33" i="3"/>
  <c r="J35" i="3"/>
  <c r="J32" i="3"/>
  <c r="I35" i="3"/>
  <c r="I32" i="3"/>
  <c r="H35" i="3"/>
  <c r="H32" i="3"/>
  <c r="G35" i="3"/>
  <c r="G32" i="3"/>
  <c r="F35" i="3"/>
  <c r="F32" i="3"/>
  <c r="E35" i="3"/>
  <c r="E32" i="3"/>
  <c r="D35" i="3"/>
  <c r="D32" i="3"/>
  <c r="C35" i="3"/>
  <c r="C32" i="3"/>
  <c r="I18" i="3"/>
  <c r="I13" i="3"/>
  <c r="J30" i="3"/>
  <c r="J14" i="3"/>
  <c r="I19" i="3"/>
  <c r="I27" i="3"/>
  <c r="J20" i="3"/>
  <c r="J15" i="3"/>
  <c r="I17" i="3"/>
  <c r="I12" i="3"/>
  <c r="I16" i="3"/>
  <c r="I26" i="3"/>
  <c r="J13" i="3"/>
  <c r="I3" i="3"/>
  <c r="I29" i="3"/>
  <c r="I2" i="3"/>
  <c r="J17" i="3"/>
  <c r="I31" i="3"/>
  <c r="I28" i="3"/>
  <c r="I25" i="3"/>
  <c r="J29" i="3"/>
  <c r="J28" i="3"/>
  <c r="J25" i="3"/>
  <c r="E18" i="3"/>
  <c r="H18" i="3"/>
  <c r="F3" i="3"/>
  <c r="G3" i="3"/>
  <c r="H3" i="3"/>
  <c r="B3" i="3"/>
  <c r="C3" i="3"/>
  <c r="E3" i="3"/>
  <c r="D3" i="3"/>
  <c r="F31" i="3"/>
  <c r="G31" i="3"/>
  <c r="E31" i="3"/>
  <c r="H31" i="3"/>
  <c r="D31" i="3"/>
  <c r="B31" i="3"/>
  <c r="C31" i="3"/>
  <c r="F20" i="3"/>
  <c r="G20" i="3"/>
  <c r="H20" i="3"/>
  <c r="E20" i="3"/>
  <c r="B20" i="3"/>
  <c r="C20" i="3"/>
  <c r="D20" i="3"/>
  <c r="E15" i="3"/>
  <c r="B15" i="3"/>
  <c r="D15" i="3"/>
  <c r="H15" i="3"/>
  <c r="F15" i="3"/>
  <c r="C15" i="3"/>
  <c r="G15" i="3"/>
  <c r="F30" i="3"/>
  <c r="G30" i="3"/>
  <c r="E30" i="3"/>
  <c r="H30" i="3"/>
  <c r="B30" i="3"/>
  <c r="C30" i="3"/>
  <c r="D30" i="3"/>
  <c r="E14" i="3"/>
  <c r="B14" i="3"/>
  <c r="H14" i="3"/>
  <c r="F14" i="3"/>
  <c r="C14" i="3"/>
  <c r="G14" i="3"/>
  <c r="D14" i="3"/>
  <c r="G19" i="3"/>
  <c r="C19" i="3"/>
  <c r="D19" i="3"/>
  <c r="E19" i="3"/>
  <c r="B19" i="3"/>
  <c r="H19" i="3"/>
  <c r="F19" i="3"/>
  <c r="G27" i="3"/>
  <c r="F27" i="3"/>
  <c r="E27" i="3"/>
  <c r="C27" i="3"/>
  <c r="H12" i="3"/>
  <c r="E12" i="3"/>
  <c r="G16" i="3"/>
  <c r="E16" i="3"/>
  <c r="B16" i="3"/>
  <c r="F16" i="3"/>
  <c r="C16" i="3"/>
  <c r="D16" i="3"/>
  <c r="C26" i="3"/>
  <c r="E26" i="3"/>
  <c r="H26" i="3"/>
  <c r="B26" i="3"/>
  <c r="D26" i="3"/>
  <c r="C2" i="3"/>
  <c r="E2" i="3"/>
  <c r="B2" i="3"/>
  <c r="E25" i="3"/>
  <c r="H2" i="3"/>
  <c r="D2" i="3"/>
  <c r="G17" i="3"/>
  <c r="G26" i="3"/>
  <c r="B25" i="3"/>
  <c r="G28" i="3"/>
  <c r="E28" i="3"/>
  <c r="F28" i="3"/>
  <c r="D28" i="3"/>
  <c r="B28" i="3"/>
  <c r="C28" i="3"/>
  <c r="C12" i="3"/>
  <c r="F12" i="3"/>
  <c r="C17" i="3"/>
  <c r="F18" i="3"/>
  <c r="F26" i="3"/>
  <c r="H16" i="3"/>
  <c r="H25" i="3"/>
  <c r="C18" i="3"/>
  <c r="H17" i="3"/>
  <c r="B27" i="3"/>
  <c r="D25" i="3"/>
  <c r="D27" i="3"/>
  <c r="F17" i="3"/>
  <c r="F2" i="3"/>
  <c r="B12" i="3"/>
  <c r="D12" i="3"/>
  <c r="F25" i="3"/>
  <c r="G12" i="3"/>
  <c r="E17" i="3"/>
  <c r="B18" i="3"/>
  <c r="D18" i="3"/>
  <c r="B17" i="3"/>
  <c r="G18" i="3"/>
  <c r="H27" i="3"/>
  <c r="F29" i="3"/>
  <c r="H29" i="3"/>
  <c r="D29" i="3"/>
  <c r="G29" i="3"/>
  <c r="B29" i="3"/>
  <c r="C29" i="3"/>
  <c r="H13" i="3"/>
  <c r="B13" i="3"/>
  <c r="F13" i="3"/>
  <c r="E13" i="3"/>
  <c r="G13" i="3"/>
  <c r="C13" i="3"/>
  <c r="G2" i="3"/>
  <c r="C25"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F99A9E8-B983-490B-A429-52773E222B59}" keepAlive="1" name="Consulta - papers_tags" description="Conexión a la consulta 'papers_tags' en el libro." type="5" refreshedVersion="8" background="1" saveData="1">
    <dbPr connection="Provider=Microsoft.Mashup.OleDb.1;Data Source=$Workbook$;Location=papers_tags;Extended Properties=&quot;&quot;" command="SELECT * FROM [papers_tags]"/>
  </connection>
  <connection id="2" xr16:uid="{5BE727CC-7AE8-4498-84ED-50854B46B5E5}" keepAlive="1" name="Consulta - papers_tags (2)" description="Conexión a la consulta 'papers_tags (2)' en el libro." type="5" refreshedVersion="8" background="1" saveData="1">
    <dbPr connection="Provider=Microsoft.Mashup.OleDb.1;Data Source=$Workbook$;Location=&quot;papers_tags (2)&quot;;Extended Properties=&quot;&quot;" command="SELECT * FROM [papers_tags (2)]"/>
  </connection>
  <connection id="3" xr16:uid="{15BA8281-9146-4E9F-9DAB-E547CB1721F6}" keepAlive="1" name="Consulta - papers_tags (3)" description="Conexión a la consulta 'papers_tags (3)' en el libro." type="5" refreshedVersion="8" background="1" saveData="1">
    <dbPr connection="Provider=Microsoft.Mashup.OleDb.1;Data Source=$Workbook$;Location=&quot;papers_tags (3)&quot;;Extended Properties=&quot;&quot;" command="SELECT * FROM [papers_tags (3)]"/>
  </connection>
  <connection id="4" xr16:uid="{6A897257-240F-4E2C-8141-7964C38B16E7}" keepAlive="1" name="Consulta - papers_tags (4)" description="Conexión a la consulta 'papers_tags (4)' en el libro." type="5" refreshedVersion="8" background="1" saveData="1">
    <dbPr connection="Provider=Microsoft.Mashup.OleDb.1;Data Source=$Workbook$;Location=&quot;papers_tags (4)&quot;;Extended Properties=&quot;&quot;" command="SELECT * FROM [papers_tags (4)]"/>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<sst xmlns="http://schemas.openxmlformats.org/spreadsheetml/2006/main" count="28673" uniqueCount="1209">
  <si>
    <t>Key</t>
  </si>
  <si>
    <t>Item Type</t>
  </si>
  <si>
    <t>Publication Year</t>
  </si>
  <si>
    <t>Author</t>
  </si>
  <si>
    <t>Title</t>
  </si>
  <si>
    <t>Publication Title</t>
  </si>
  <si>
    <t>ISBN</t>
  </si>
  <si>
    <t>ISSN</t>
  </si>
  <si>
    <t>DOI</t>
  </si>
  <si>
    <t>Url</t>
  </si>
  <si>
    <t>Abstract Note</t>
  </si>
  <si>
    <t>Date</t>
  </si>
  <si>
    <t>Date Added</t>
  </si>
  <si>
    <t>Date Modified</t>
  </si>
  <si>
    <t>Access Date</t>
  </si>
  <si>
    <t>Pages</t>
  </si>
  <si>
    <t>Num Pages</t>
  </si>
  <si>
    <t>Issue</t>
  </si>
  <si>
    <t>Volume</t>
  </si>
  <si>
    <t>Number Of Volumes</t>
  </si>
  <si>
    <t>Journal Abbreviation</t>
  </si>
  <si>
    <t>Short Title</t>
  </si>
  <si>
    <t>Series</t>
  </si>
  <si>
    <t>Series Number</t>
  </si>
  <si>
    <t>Series Text</t>
  </si>
  <si>
    <t>Series Title</t>
  </si>
  <si>
    <t>Publisher</t>
  </si>
  <si>
    <t>Place</t>
  </si>
  <si>
    <t>Language</t>
  </si>
  <si>
    <t>Rights</t>
  </si>
  <si>
    <t>Type</t>
  </si>
  <si>
    <t>Archive</t>
  </si>
  <si>
    <t>Archive Location</t>
  </si>
  <si>
    <t>Library Catalog</t>
  </si>
  <si>
    <t>Call Number</t>
  </si>
  <si>
    <t>Extra</t>
  </si>
  <si>
    <t>Notes</t>
  </si>
  <si>
    <t>File Attachments</t>
  </si>
  <si>
    <t>Link Attachments</t>
  </si>
  <si>
    <t>Manual Tags</t>
  </si>
  <si>
    <t>Automatic Tags</t>
  </si>
  <si>
    <t>Editor</t>
  </si>
  <si>
    <t>Series Editor</t>
  </si>
  <si>
    <t>Translator</t>
  </si>
  <si>
    <t>Contributor</t>
  </si>
  <si>
    <t>Attorney Agent</t>
  </si>
  <si>
    <t>Book Author</t>
  </si>
  <si>
    <t>Cast Member</t>
  </si>
  <si>
    <t>Commenter</t>
  </si>
  <si>
    <t>Composer</t>
  </si>
  <si>
    <t>Cosponsor</t>
  </si>
  <si>
    <t>Counsel</t>
  </si>
  <si>
    <t>Interviewer</t>
  </si>
  <si>
    <t>Producer</t>
  </si>
  <si>
    <t>Recipient</t>
  </si>
  <si>
    <t>Reviewed Author</t>
  </si>
  <si>
    <t>Scriptwriter</t>
  </si>
  <si>
    <t>Words By</t>
  </si>
  <si>
    <t>Guest</t>
  </si>
  <si>
    <t>Number</t>
  </si>
  <si>
    <t>Edition</t>
  </si>
  <si>
    <t>Running Time</t>
  </si>
  <si>
    <t>Scale</t>
  </si>
  <si>
    <t>Medium</t>
  </si>
  <si>
    <t>Artwork Size</t>
  </si>
  <si>
    <t>Filing Date</t>
  </si>
  <si>
    <t>Application Number</t>
  </si>
  <si>
    <t>Assignee</t>
  </si>
  <si>
    <t>Issuing Authority</t>
  </si>
  <si>
    <t>Country</t>
  </si>
  <si>
    <t>Meeting Name</t>
  </si>
  <si>
    <t>Conference Name</t>
  </si>
  <si>
    <t>Court</t>
  </si>
  <si>
    <t>References</t>
  </si>
  <si>
    <t>Reporter</t>
  </si>
  <si>
    <t>Legal Status</t>
  </si>
  <si>
    <t>Priority Numbers</t>
  </si>
  <si>
    <t>Programming Language</t>
  </si>
  <si>
    <t>Version</t>
  </si>
  <si>
    <t>System</t>
  </si>
  <si>
    <t>Code</t>
  </si>
  <si>
    <t>Code Number</t>
  </si>
  <si>
    <t>Section</t>
  </si>
  <si>
    <t>Session</t>
  </si>
  <si>
    <t>Committee</t>
  </si>
  <si>
    <t>History</t>
  </si>
  <si>
    <t>Legislative Body</t>
  </si>
  <si>
    <t>ZPAH9WZW</t>
  </si>
  <si>
    <t>journalArticle</t>
  </si>
  <si>
    <t>Espinosa, Gerardo; Ortega, Romeo</t>
  </si>
  <si>
    <t>State observers are unnecessary for induction motor control</t>
  </si>
  <si>
    <t>Systems &amp; Control Letters</t>
  </si>
  <si>
    <t>01676911</t>
  </si>
  <si>
    <t>10.1016/0167-6911(94)90063-9</t>
  </si>
  <si>
    <t>https://linkinghub.elsevier.com/retrieve/pii/0167691194900639</t>
  </si>
  <si>
    <t>1994-11</t>
  </si>
  <si>
    <t>315-323</t>
  </si>
  <si>
    <t>en</t>
  </si>
  <si>
    <t>https://www.elsevier.com/tdm/userlicense/1.0/</t>
  </si>
  <si>
    <t>DOI.org (Crossref)</t>
  </si>
  <si>
    <t>C:\Users\damia\Zotero\storage\JVRFJDRW\Espinosa y Ortega - 1994 - State observers are unnecessary for induction motor control.pdf</t>
  </si>
  <si>
    <t>Ecuaciones</t>
  </si>
  <si>
    <t>FFGPRBVU</t>
  </si>
  <si>
    <t>thesis</t>
  </si>
  <si>
    <t>Picatoste Ruilope, Ricardo</t>
  </si>
  <si>
    <t>Modelling and Control of Stepper Motors for HighAccuracy Positioning Systems Used in RadioactiveEnvironments</t>
  </si>
  <si>
    <t>10.20868/UPM.thesis.32464</t>
  </si>
  <si>
    <t>http://oa.upm.es/32464/</t>
  </si>
  <si>
    <t>Universidad Politécnica de Madrid</t>
  </si>
  <si>
    <t>PhD Thesis</t>
  </si>
  <si>
    <t>C:\Users\damia\Zotero\storage\9KZP9VU4\Picatoste Ruilope - 2014 - Modelling and Control of Stepper Motors for HighAccuracy Positioning Systems Used in RadioactiveEnvi.pdf</t>
  </si>
  <si>
    <t>STEPPER; SENSORLESS; Disturbed observer; Cogging; Ecuaciones</t>
  </si>
  <si>
    <t>5Z35LY93</t>
  </si>
  <si>
    <t>Bu, Feifei; Yang, Zhida; Gao, Yu; Pan, Zihao; Pu, Tianyu; Degano, Michele; Gerada, Chris</t>
  </si>
  <si>
    <t>Speed Ripple Reduction of Direct-Drive PMSM Servo System at Low-Speed Operation Using Virtual Cogging Torque Control Method</t>
  </si>
  <si>
    <t>IEEE Transactions on Industrial Electronics</t>
  </si>
  <si>
    <t>0278-0046, 1557-9948</t>
  </si>
  <si>
    <t>10.1109/TIE.2019.2962400</t>
  </si>
  <si>
    <t>https://ieeexplore.ieee.org/document/8949446/</t>
  </si>
  <si>
    <t>2021-01</t>
  </si>
  <si>
    <t>160-174</t>
  </si>
  <si>
    <t>IEEE Trans. Ind. Electron.</t>
  </si>
  <si>
    <t>https://ieeexplore.ieee.org/Xplorehelp/downloads/license-information/IEEE.html</t>
  </si>
  <si>
    <t>C:\Users\damia\Zotero\storage\SMS3UKH2\Bu et al. - 2021 - Speed Ripple Reduction of Direct-Drive PMSM Servo System at Low-Speed Operation Using Virtual Coggin.pdf</t>
  </si>
  <si>
    <t>PMSM; SENSORLESS; Cogging; Low-speed; Ecuaciones</t>
  </si>
  <si>
    <t>FTGUHH3X</t>
  </si>
  <si>
    <t>conferencePaper</t>
  </si>
  <si>
    <t>Houari, A.; Bouabdallah, A.; Djerioui, A.; Machmoum, M.; Benkhoris, M. F.; Tir, Z.</t>
  </si>
  <si>
    <t>Speed Ripples Reduction of PMSM Drives under Low-Speed Working Conditions</t>
  </si>
  <si>
    <t>2022 IEEE International Conference on Electrical Sciences and Technologies in Maghreb (CISTEM)</t>
  </si>
  <si>
    <t>978-1-6654-5168-0</t>
  </si>
  <si>
    <t>10.1109/CISTEM55808.2022.10043889</t>
  </si>
  <si>
    <t>https://ieeexplore.ieee.org/document/10043889/</t>
  </si>
  <si>
    <t>IEEE</t>
  </si>
  <si>
    <t>Tunis, Tunisia</t>
  </si>
  <si>
    <t>https://doi.org/10.15223/policy-029</t>
  </si>
  <si>
    <t>C:\Users\damia\Zotero\storage\XMCJLQFS\Houari et al. - 2022 - Speed Ripples Reduction of PMSM Drives under Low-Speed Working Conditions.pdf</t>
  </si>
  <si>
    <t>PMSM; Cogging; Ecuaciones</t>
  </si>
  <si>
    <t>ZHDQWY7E</t>
  </si>
  <si>
    <t>Guzinski, Jaroslaw; Morawiec, Marcin; Krzeminski, Zbigniew; Luksza, Krzysztof; Strankowski, Patryk; Kouzou, Abdellah</t>
  </si>
  <si>
    <t>Sensorless Low Speed PMSM Motor Control with Cogging Torque Compensation</t>
  </si>
  <si>
    <t>2019 2nd International Conference on Smart Grid and Renewable Energy (SGRE)</t>
  </si>
  <si>
    <t>978-1-7281-2960-0</t>
  </si>
  <si>
    <t>10.1109/SGRE46976.2019.9021019</t>
  </si>
  <si>
    <t>https://ieeexplore.ieee.org/document/9021019/</t>
  </si>
  <si>
    <t>2019-11</t>
  </si>
  <si>
    <t>Doha, Qatar</t>
  </si>
  <si>
    <t>C:\Users\damia\Zotero\storage\KNHCCB56\Guzinski et al. - 2019 - Sensorless Low Speed PMSM Motor Control with Cogging Torque Compensation.pdf</t>
  </si>
  <si>
    <t>PMSM; SENSORLESS; Disturbed observer; Cogging; Low-speed</t>
  </si>
  <si>
    <t>XLFP93HT</t>
  </si>
  <si>
    <t>Maurelia, Eduardo; Espinoza, Jose R.; Silva, Cesar A.; Rojas, Christian A.; Melin, Pedro E.; Espinosa, Eduardo E.</t>
  </si>
  <si>
    <t>An Operating Condition-Based Scheme to Alternate Between Control Strategies for Improved Steady-State and Transient Behavior</t>
  </si>
  <si>
    <t>IEEE Transactions on Industrial Informatics</t>
  </si>
  <si>
    <t>1551-3203, 1941-0050</t>
  </si>
  <si>
    <t>10.1109/TII.2015.2481791</t>
  </si>
  <si>
    <t>http://ieeexplore.ieee.org/document/7275173/</t>
  </si>
  <si>
    <t>2015-12</t>
  </si>
  <si>
    <t>1246-1254</t>
  </si>
  <si>
    <t>IEEE Trans. Ind. Inf.</t>
  </si>
  <si>
    <t>C:\Users\damia\Zotero\storage\52R8SW38\Maurelia et al. - 2015 - An Operating Condition-Based Scheme to Alternate Between Control Strategies for Improved Steady-Stat.pdf</t>
  </si>
  <si>
    <t>7UX7ZU2M</t>
  </si>
  <si>
    <t>Vierbergen, R O</t>
  </si>
  <si>
    <t>Predicting and Improving the Behaviour of Stepping Motors</t>
  </si>
  <si>
    <t>Zotero</t>
  </si>
  <si>
    <t>C:\Users\damia\Zotero\storage\M8HQX658\Vierbergen - Predicting and Improving the Behaviour of Stepping Motors.pdf</t>
  </si>
  <si>
    <t>HL9QZTWC</t>
  </si>
  <si>
    <t>Ferrah, Azzeddine; Bani-Younes, Jehad Al-Khalaf; Bouzguenda, Mounir; Tami, Abdelkader</t>
  </si>
  <si>
    <t>Sensorless speed and position estimation in a stepper motor</t>
  </si>
  <si>
    <t>2007 International Aegean Conference on Electrical Machines and Power Electronics</t>
  </si>
  <si>
    <t>978-1-4244-0890-0 978-1-4244-0891-7</t>
  </si>
  <si>
    <t>10.1109/ACEMP.2007.4510515</t>
  </si>
  <si>
    <t>http://ieeexplore.ieee.org/document/4510515/</t>
  </si>
  <si>
    <t>2007-09</t>
  </si>
  <si>
    <t>297-302</t>
  </si>
  <si>
    <t>Bodrum, Turkey</t>
  </si>
  <si>
    <t>C:\Users\damia\Zotero\storage\FFQN5G5N\Ferrah et al. - 2007 - Sensorless speed and position estimation in a stepper motor.pdf</t>
  </si>
  <si>
    <t>2007 International Aegean Conference on Electrical Machines and Power Electronics (ACEMP) and Electromotion '07</t>
  </si>
  <si>
    <t>QZB3KHEV</t>
  </si>
  <si>
    <t>Luo, Rongfu; Wang, Zenghui; Sun, Yanxia</t>
  </si>
  <si>
    <t>Optimized Luenberger Observer-Based PMSM Sensorless Control by PSO</t>
  </si>
  <si>
    <t>Modelling and Simulation in Engineering</t>
  </si>
  <si>
    <t>1687-5605, 1687-5591</t>
  </si>
  <si>
    <t>10.1155/2022/3328719</t>
  </si>
  <si>
    <t>https://www.hindawi.com/journals/mse/2022/3328719/</t>
  </si>
  <si>
    <t>In the real applications, we found that it is difficult to achieve good control performance through manually tuning proportional–integral (PI) parameters of phase locked loop (PLL) and speed-loop of Luenberger observer (LO) for the PMSM sensorless control system. Therefore, this paper is to use the particle swarm optimization (PSO) algorithm to optimize the PI parameters of PLL and speed-loop of Luenberger observer of the system. Firstly, the ranges of PLL parameters are obtained by analyzing the PLL subsystem stability. Then, the ranges of PI parameters of PLL and speed-loop are set based on theoretical estimation and empirical values. The control system model is realized in MATLAB/Simulink that considers the constraints such as the saturation. The integral time absolute error is the objective function, and the PSO with different topologies is used to optimize the PI parameters. The simulation and experimental results show that the proposed method is feasible, and the optimized parameters can effectively improve the precision of position estimation and speed estimation. Moreover, the simulations and experiments are carried out to verify the robustness of the proposed method, and the results show that the optimized system can achieve good performance when there are uncertainties or disturbances.</t>
  </si>
  <si>
    <t>https://creativecommons.org/licenses/by/4.0/</t>
  </si>
  <si>
    <t>C:\Users\damia\Zotero\storage\PFY569ME\Luo et al. - 2022 - Optimized Luenberger Observer-Based PMSM Sensorless Control by PSO.pdf</t>
  </si>
  <si>
    <t>PMSM; SENSORLESS; Low-speed; Ecuaciones</t>
  </si>
  <si>
    <t>Al Basir, Fahad</t>
  </si>
  <si>
    <t>PYTMLDP8</t>
  </si>
  <si>
    <t>Lascu, Cristian; Andreescu, Gheorghe-Daniel</t>
  </si>
  <si>
    <t>PLL Position and Speed Observer With Integrated Current Observer for Sensorless PMSM Drives</t>
  </si>
  <si>
    <t>10.1109/TIE.2020.2972434</t>
  </si>
  <si>
    <t>https://ieeexplore.ieee.org/document/8998581/</t>
  </si>
  <si>
    <t>2020-07</t>
  </si>
  <si>
    <t>5990-5999</t>
  </si>
  <si>
    <t>C:\Users\damia\Zotero\storage\NHX2P9LS\Lascu y Andreescu - 2020 - PLL Position and Speed Observer With Integrated Current Observer for Sensorless PMSM Drives.pdf</t>
  </si>
  <si>
    <t>PMSM; SENSORLESS; HFI; Disturbed observer; Low-speed</t>
  </si>
  <si>
    <t>QHVIXUIX</t>
  </si>
  <si>
    <t>Nicola, Claudiu-Ionel; Nicola, Marcel; Iacob, Andreea; Pîrvu, Cristian</t>
  </si>
  <si>
    <t>PMSM Sensorless Control System Based on DTC Using FLC and Luenberger-PLL Observer</t>
  </si>
  <si>
    <t>2024 6th Global Power, Energy and Communication Conference (GPECOM)</t>
  </si>
  <si>
    <t>979-8-3503-5108-8</t>
  </si>
  <si>
    <t>10.1109/GPECOM61896.2024.10582597</t>
  </si>
  <si>
    <t>https://ieeexplore.ieee.org/document/10582597/</t>
  </si>
  <si>
    <t>138-143</t>
  </si>
  <si>
    <t>Budapest, Hungary</t>
  </si>
  <si>
    <t>C:\Users\damia\Zotero\storage\YHP9AKEN\Nicola et al. - 2024 - PMSM Sensorless Control System Based on DTC Using FLC and Luenberger-PLL Observer.pdf</t>
  </si>
  <si>
    <t>PMSM; SENSORLESS; Low-speed</t>
  </si>
  <si>
    <t>XSGQ6UHT</t>
  </si>
  <si>
    <t>Lydell, Emil</t>
  </si>
  <si>
    <t>Sensorless Hybrid Field-Oriented Control Two-Phase Stepper Motor Driver</t>
  </si>
  <si>
    <t>C:\Users\damia\Zotero\storage\EPCN35D3\Lydell - Sensorless Hybrid Field-Oriented Control Two-Phase Stepper Motor Driver.pdf</t>
  </si>
  <si>
    <t>STEPPER; SENSORLESS</t>
  </si>
  <si>
    <t>6E5KAKPU</t>
  </si>
  <si>
    <t>Wen, Sicong; Dou, ManFeng; Zhao, Dongdong; Hua, Zhiguang</t>
  </si>
  <si>
    <t>A Current Sensorless Model Predictive Current Control Method With Luenberger Observer For PMSM Drives</t>
  </si>
  <si>
    <t>2024 IEEE 10th International Power Electronics and Motion Control Conference (IPEMC2024-ECCE Asia)</t>
  </si>
  <si>
    <t>979-8-3503-5133-0</t>
  </si>
  <si>
    <t>10.1109/IPEMC-ECCEAsia60879.2024.10567066</t>
  </si>
  <si>
    <t>https://ieeexplore.ieee.org/document/10567066/</t>
  </si>
  <si>
    <t>2572-2577</t>
  </si>
  <si>
    <t>Chengdu, China</t>
  </si>
  <si>
    <t>C:\Users\damia\Zotero\storage\NQBDG66Q\Wen et al. - 2024 - A Current Sensorless Model Predictive Current Control Method With Luenberger Observer For PMSM Drive.pdf</t>
  </si>
  <si>
    <t>PMSM; SENSORLESS</t>
  </si>
  <si>
    <t>4EPIXPXD</t>
  </si>
  <si>
    <t>Zribi, M.; Chiasson, J.</t>
  </si>
  <si>
    <t>Exact Linearization Control of a PM Stepper Motor</t>
  </si>
  <si>
    <t>1989 American Control Conference</t>
  </si>
  <si>
    <t>10.23919/ACC.1989.4790211</t>
  </si>
  <si>
    <t>https://ieeexplore.ieee.org/document/4790211/</t>
  </si>
  <si>
    <t>1989-06</t>
  </si>
  <si>
    <t>320-321</t>
  </si>
  <si>
    <t>Pittsburgh, PA, USA</t>
  </si>
  <si>
    <t>C:\Users\damia\Zotero\storage\GMYUN9DI\Zribi y Chiasson - 1989 - Exact Linearization Control of a PM Stepper Motor.pdf</t>
  </si>
  <si>
    <t>no sirve</t>
  </si>
  <si>
    <t>DU9ZQ4ZU</t>
  </si>
  <si>
    <t>Luenberger state observer rotor position estimation simulink and software library</t>
  </si>
  <si>
    <t>C:\Users\damia\Zotero\storage\JKAG2WPY\Luenberger state observer rotor position estimation simulink and software library.pdf</t>
  </si>
  <si>
    <t>JXEXLBNJ</t>
  </si>
  <si>
    <t>Nicola, Marcel; Nicola, Claudiu-Ionel</t>
  </si>
  <si>
    <t>Improvement Performances of Sensorless Control for PMSM Based on FOC Strategy Using Luenberger Observer, Sine Cosine Algorithm, and RL-TD3 Agent</t>
  </si>
  <si>
    <t>2023 International Conference on Electromechanical and Energy Systems (SIELMEN)</t>
  </si>
  <si>
    <t>979-8-3503-1524-0</t>
  </si>
  <si>
    <t>10.1109/SIELMEN59038.2023.10290813</t>
  </si>
  <si>
    <t>https://ieeexplore.ieee.org/document/10290813/</t>
  </si>
  <si>
    <t>Craiova, Romania</t>
  </si>
  <si>
    <t>C:\Users\damia\Zotero\storage\R4H76TKN\Nicola y Nicola - 2023 - Improvement Performances of Sensorless Control for PMSM Based on FOC Strategy Using Luenberger Obser.pdf</t>
  </si>
  <si>
    <t>PMSM; SENSORLESS; Disturbed observer</t>
  </si>
  <si>
    <t>BEZW3SXB</t>
  </si>
  <si>
    <t>Tomy, Nilu Mary; Francis, Jebin</t>
  </si>
  <si>
    <t>Field oriented sensorless position control of a hybrid stepper motor with extended Kalman filter</t>
  </si>
  <si>
    <t>2016 10th International Conference on Intelligent Systems and Control (ISCO)</t>
  </si>
  <si>
    <t>978-1-4673-7807-9</t>
  </si>
  <si>
    <t>10.1109/ISCO.2016.7727056</t>
  </si>
  <si>
    <t>http://ieeexplore.ieee.org/document/7727056/</t>
  </si>
  <si>
    <t>2016-01</t>
  </si>
  <si>
    <t>Coimbatore, India</t>
  </si>
  <si>
    <t>C:\Users\damia\Zotero\storage\Y79FPJMX\Tomy y Francis - 2016 - Field oriented sensorless position control of a hybrid stepper motor with extended Kalman filter.pdf</t>
  </si>
  <si>
    <t>FH2CNL4I</t>
  </si>
  <si>
    <t>0_tags</t>
  </si>
  <si>
    <t>PMSM; STEPPER; SENSORLESS; HFI; Disturbed observer; Cogging; Low-speed; Ecuaciones</t>
  </si>
  <si>
    <t>MTMK56PE</t>
  </si>
  <si>
    <t>Derammelaere, Stijn; Vervisch, Bram; De Viaene, Jasper; Stockman, Kurt</t>
  </si>
  <si>
    <t>Sensorless load angle control for two-phase hybrid stepper motors</t>
  </si>
  <si>
    <t>Mechatronics</t>
  </si>
  <si>
    <t>09574158</t>
  </si>
  <si>
    <t>10.1016/j.mechatronics.2017.02.003</t>
  </si>
  <si>
    <t>https://linkinghub.elsevier.com/retrieve/pii/S0957415817300168</t>
  </si>
  <si>
    <t>2017-05</t>
  </si>
  <si>
    <t>C:\Users\damia\Zotero\storage\3ACT5GAR\Derammelaere et al. - 2017 - Sensorless load angle control for two-phase hybrid stepper motors.pdf</t>
  </si>
  <si>
    <t>J2MBRJGI</t>
  </si>
  <si>
    <t>Rachev, Emil; Petrov, Vladislav; Stoev, Bozhidar</t>
  </si>
  <si>
    <t>Cogging torque effect on motor start-up in a sensorless motor drive for permanent magnet synchronous motors</t>
  </si>
  <si>
    <t>2017 15th International Conference on Electrical Machines, Drives and Power Systems (ELMA)</t>
  </si>
  <si>
    <t>978-1-5090-6690-2 978-1-5090-6691-9</t>
  </si>
  <si>
    <t>10.1109/ELMA.2017.7955434</t>
  </si>
  <si>
    <t>http://ieeexplore.ieee.org/document/7955434/</t>
  </si>
  <si>
    <t>This paper deals with issues created by the cogging torque exhibited in permanent magnet synchronous motors in a motor drive with field oriented control. Experimental results are shown for both the start-up procedure and the steady-state operation of the used motor. The static and cogging torque are also measured at low speed to optimize the parameters of the start-up algorithm.</t>
  </si>
  <si>
    <t>2017-06</t>
  </si>
  <si>
    <t>211-214</t>
  </si>
  <si>
    <t>Sofia, Bulgaria</t>
  </si>
  <si>
    <t>C:\Users\damia\Zotero\storage\49KDATEP\Rachev et al. - 2017 - Cogging torque effect on motor start-up in a sensorless motor drive for permanent magnet synchronous.pdf</t>
  </si>
  <si>
    <t>ZAIMTBV2</t>
  </si>
  <si>
    <t>Agrawal, Jyoti; Bodkhe, Sanjay</t>
  </si>
  <si>
    <t>Experimental Study of Low Speed Sensorless Control of PMSM Drive Using High Frequency Signal Injection</t>
  </si>
  <si>
    <t>Advances in Electrical and Electronic Engineering</t>
  </si>
  <si>
    <t>1804-3119, 1336-1376</t>
  </si>
  <si>
    <t>10.15598/aeee.v14i1.1564</t>
  </si>
  <si>
    <t>http://advances.utc.sk/index.php/AEEE/article/view/1564</t>
  </si>
  <si>
    <t>29 - 39</t>
  </si>
  <si>
    <t>AEEE</t>
  </si>
  <si>
    <t>C:\Users\damia\Zotero\storage\9NBHW7ZC\Agrawal y Bodkhe - 2016 - Experimental Study of Low Speed Sensorless Control of PMSM Drive Using High Frequency Signal Injecti.pdf</t>
  </si>
  <si>
    <t>PMSM; SENSORLESS; HFI; Low-speed</t>
  </si>
  <si>
    <t>SVI2AZPI</t>
  </si>
  <si>
    <t>Kim, Seok-Kyoon; Kim, Kwan Soo; Lee, Dong Kyu; Ahn, Choon Ki</t>
  </si>
  <si>
    <t>Current sensorless position-tracking control with angular acceleration error observers for hybrid-type stepping motors</t>
  </si>
  <si>
    <t>Scientific Reports</t>
  </si>
  <si>
    <t>2045-2322</t>
  </si>
  <si>
    <t>10.1038/s41598-022-19250-0</t>
  </si>
  <si>
    <t>https://www.nature.com/articles/s41598-022-19250-0</t>
  </si>
  <si>
    <t>Abstract             This paper exhibits an advanced observer-based position-tracking controller for hybrid-type stepping motors with consideration of parameter and load uncertainties. As the main contribution, a current sensorless observer-based pole-zero cancellation speed controller is devised for the outer loop position-tracking controller including the convergence rate boosting mechanism. The features of this study are summarized as follows; first, the pole-zero cancellation angular acceleration error observer for the inner loop speed controller, second, the pole-zero cancellation speed control forcing the order of the controlled speed error dynamics to be 1, and, third, the outer loop position control incorporating the first-order target tracking system with its convergence rate booster. The resultant effectiveness is verified on a 10-W stepping motor control system.</t>
  </si>
  <si>
    <t>Sci Rep</t>
  </si>
  <si>
    <t>C:\Users\damia\Zotero\storage\8VJIVP6J\Kim et al. - 2022 - Current sensorless position-tracking control with angular acceleration error observers for hybrid-ty.pdf</t>
  </si>
  <si>
    <t>NZ8FHWPC</t>
  </si>
  <si>
    <t>Xiaoquan, Lu; Heyun, Lin; Junlin, Han</t>
  </si>
  <si>
    <t>Load disturbance observer‐based control method for sensorless PMSM drive</t>
  </si>
  <si>
    <t>IET Electric Power Applications</t>
  </si>
  <si>
    <t>1751-8660, 1751-8679</t>
  </si>
  <si>
    <t>10.1049/iet-epa.2015.0550</t>
  </si>
  <si>
    <t>https://ietresearch.onlinelibrary.wiley.com/doi/10.1049/iet-epa.2015.0550</t>
  </si>
  <si>
    <t>This study proposes a sensorless control method for the permanent magnet synchronous machine (PMSM) drive that is robust against load torque variations. The proposed method is based on the disturbance observer‐based control (DOBC) method, and involves the use of a back electromotive force observer and a torque observer to estimate rotor position and compensate for load torque disturbance, respectively. This mechanism is simple to implement and requires no state vector derivation. The gains of the two observers are carefully selected to improve estimation accuracy and dynamic performance. The performance of the proposed load DOBC for sensorless PMSM drives was tested through a simulation, where the sensorless estimation error was considered to determine the adjustment laws for the proposed observer gains. Furthermore, results of evaluative experiments verified the effectiveness of the proposed method for high‐performance sensorless control and torque disturbance rejection for the PMSM drive.</t>
  </si>
  <si>
    <t>2016-09</t>
  </si>
  <si>
    <t>735-743</t>
  </si>
  <si>
    <t>IET Electric Power Appl</t>
  </si>
  <si>
    <t>http://onlinelibrary.wiley.com/termsAndConditions#vor</t>
  </si>
  <si>
    <t>C:\Users\damia\Zotero\storage\A9SZCC64\Xiaoquan et al. - 2016 - Load disturbance observer‐based control method for sensorless PMSM drive.pdf</t>
  </si>
  <si>
    <t>PMSM; SENSORLESS; Disturbed observer; Low-speed</t>
  </si>
  <si>
    <t>6AKV5JLJ</t>
  </si>
  <si>
    <t>Mora, Andres; Orellana, Alvaro; Juliet, Jorge; Cardenas, Roberto</t>
  </si>
  <si>
    <t>Model Predictive Torque Control for Torque Ripple Compensation in Variable-Speed PMSMs</t>
  </si>
  <si>
    <t>10.1109/TIE.2016.2536586</t>
  </si>
  <si>
    <t>http://ieeexplore.ieee.org/document/7423767/</t>
  </si>
  <si>
    <t>2016-07</t>
  </si>
  <si>
    <t>4584-4592</t>
  </si>
  <si>
    <t>C:\Users\damia\Zotero\storage\WGDTIC3T\Mora et al. - 2016 - Model Predictive Torque Control for Torque Ripple Compensation in Variable-Speed PMSMs.pdf</t>
  </si>
  <si>
    <t>PMSM; HFI</t>
  </si>
  <si>
    <t>CQRK3FPB</t>
  </si>
  <si>
    <t>Petro, Viktor; Kyslan, Karol; Horváth, Krisztián; Wróbel, Karol; Tarchała, Grzegorz</t>
  </si>
  <si>
    <t>HF Pulse Signal Injection Based Method for Sensorless Control of PMSM with Cogging Torque Compensation</t>
  </si>
  <si>
    <t>2025 7th Global Power, Energy and Communication Conference (GPECOM)</t>
  </si>
  <si>
    <t>979-8-3315-1323-8</t>
  </si>
  <si>
    <t>10.1109/GPECOM65896.2025.11061829</t>
  </si>
  <si>
    <t>https://ieeexplore.ieee.org/document/11061829/</t>
  </si>
  <si>
    <t>257-262</t>
  </si>
  <si>
    <t>Bochum, Germany</t>
  </si>
  <si>
    <t>C:\Users\damia\Zotero\storage\QU7ZPX8A\Petro et al. - 2025 - HF Pulse Signal Injection Based Method for Sensorless Control of PMSM with Cogging Torque Compensati.pdf</t>
  </si>
  <si>
    <t>PMSM; SENSORLESS; HFI; Cogging</t>
  </si>
  <si>
    <t>IAGHG22Q</t>
  </si>
  <si>
    <t>Mandra, Slawomir; Galkowski, Krzysztof; Rogers, Eric; Rauh, Andreas; Aschemann, Harald</t>
  </si>
  <si>
    <t>Performance-Enhanced Robust Iterative Learning Control With Experimental Application to PMSM Position Tracking</t>
  </si>
  <si>
    <t>IEEE Transactions on Control Systems Technology</t>
  </si>
  <si>
    <t>1063-6536, 1558-0865, 2374-0159</t>
  </si>
  <si>
    <t>10.1109/TCST.2018.2816906</t>
  </si>
  <si>
    <t>https://ieeexplore.ieee.org/document/8337090/</t>
  </si>
  <si>
    <t>2019-07</t>
  </si>
  <si>
    <t>1813-1819</t>
  </si>
  <si>
    <t>IEEE Trans. Contr. Syst. Technol.</t>
  </si>
  <si>
    <t>C:\Users\damia\Zotero\storage\ZSHFK2LZ\Mandra et al. - 2019 - Performance-Enhanced Robust Iterative Learning Control With Experimental Application to PMSM Positio.pdf</t>
  </si>
  <si>
    <t>Cogging</t>
  </si>
  <si>
    <t>8ZPQX5EM</t>
  </si>
  <si>
    <t>Arias, Antoni; Caum, Jesus; Ibarra, Edorta; Grino, Robert</t>
  </si>
  <si>
    <t>Reducing the Cogging Torque Effects in Hybrid Stepper Machines by Means of Resonant Controllers</t>
  </si>
  <si>
    <t>10.1109/TIE.2018.2844786</t>
  </si>
  <si>
    <t>https://ieeexplore.ieee.org/document/8382325/</t>
  </si>
  <si>
    <t>2019-04</t>
  </si>
  <si>
    <t>2603-2612</t>
  </si>
  <si>
    <t>C:\Users\damia\Zotero\storage\XSZAIVCK\Arias et al. - 2019 - Reducing the Cogging Torque Effects in Hybrid Stepper Machines by Means of Resonant Controllers.pdf</t>
  </si>
  <si>
    <t>PMSM; Cogging</t>
  </si>
  <si>
    <t>RHX4N8TK</t>
  </si>
  <si>
    <t>Piccoli, Matthew; Yim, Mark</t>
  </si>
  <si>
    <t>Cogging Torque Ripple Minimization via Position Based Characterization</t>
  </si>
  <si>
    <t>Robotics: Science and Systems X</t>
  </si>
  <si>
    <t>978-0-9923747-0-9</t>
  </si>
  <si>
    <t>10.15607/RSS.2014.X.042</t>
  </si>
  <si>
    <t>http://www.roboticsproceedings.org/rss10/p42.pdf</t>
  </si>
  <si>
    <t>Robotics: Science and Systems Foundation</t>
  </si>
  <si>
    <t>C:\Users\damia\Zotero\storage\QYCPW5JH\Piccoli y Yim - 2014 - Cogging Torque Ripple Minimization via Position Based Characterization.pdf</t>
  </si>
  <si>
    <t>Robotics: Science and Systems 2014</t>
  </si>
  <si>
    <t>4Z4STFVN</t>
  </si>
  <si>
    <t>Jul-Ki Seok; Jong-Kun Lee; Dong-Choon Lee</t>
  </si>
  <si>
    <t>Sensorless speed control of nonsalient permanent-magnet synchronous motor using rotor-position-tracking PI controller</t>
  </si>
  <si>
    <t>0278-0046</t>
  </si>
  <si>
    <t>10.1109/TIE.2006.870728</t>
  </si>
  <si>
    <t>http://ieeexplore.ieee.org/document/1614122/</t>
  </si>
  <si>
    <t>2006-04</t>
  </si>
  <si>
    <t>399-405</t>
  </si>
  <si>
    <t>C:\Users\damia\Zotero\storage\AK8HI2LM\Jul-Ki Seok et al. - 2006 - Sensorless speed control of nonsalient permanent-magnet synchronous motor using rotor-position-track.pdf</t>
  </si>
  <si>
    <t>SENSORLESS; Ecuaciones</t>
  </si>
  <si>
    <t>X5L8JIAF</t>
  </si>
  <si>
    <t>Wu, Shuo; Ren, Wu; Tong, Chengde; Zeng, Yaoxin; Sui, Yi; Zheng, Ping</t>
  </si>
  <si>
    <t>Speed Control of Low-Speed PMSM Based on improved Proportional-Resonant and Kalman Filter Strategy</t>
  </si>
  <si>
    <t>2025 28th International Conference on Electrical Machines and Systems (ICEMS)</t>
  </si>
  <si>
    <t>978-89-86510-23-2</t>
  </si>
  <si>
    <t>10.23919/ICEMS66262.2025.11317315</t>
  </si>
  <si>
    <t>https://ieeexplore.ieee.org/document/11317315/</t>
  </si>
  <si>
    <t>2110-2115</t>
  </si>
  <si>
    <t>Busan, Korea, Republic of</t>
  </si>
  <si>
    <t>C:\Users\damia\Zotero\storage\4TGV26CD\Wu et al. - 2025 - Speed Control of Low-Speed PMSM Based on improved Proportional-Resonant and Kalman Filter Strategy.pdf</t>
  </si>
  <si>
    <t>PMSM; SENSORLESS; Cogging; Low-speed</t>
  </si>
  <si>
    <t>GK8Q88RJ</t>
  </si>
  <si>
    <t>Zhang, Wenjuan; Gao, Shicheng; Lyu, Mingcheng; Gao, Jian</t>
  </si>
  <si>
    <t>Smooth Sensorless Startup in PMSM Drives Through Cogging Torque Mitigation</t>
  </si>
  <si>
    <t>2026 IEEE International Magnetic Conference - Short Papers (INTERMAG Short Papers)</t>
  </si>
  <si>
    <t>979-8-3315-5762-1</t>
  </si>
  <si>
    <t>10.1109/INTERMAGShortPapers68882.2026.11596104</t>
  </si>
  <si>
    <t>https://ieeexplore.ieee.org/document/11596104/</t>
  </si>
  <si>
    <t>Manchester, United Kingdom</t>
  </si>
  <si>
    <t>C:\Users\damia\Zotero\storage\YY79E7GT\Zhang et al. - 2026 - Smooth Sensorless Startup in PMSM Drives Through Cogging Torque Mitigation.pdf</t>
  </si>
  <si>
    <t>PMSM; SENSORLESS; HFI; Disturbed observer</t>
  </si>
  <si>
    <t>8AMB3EJF</t>
  </si>
  <si>
    <t>Helsing, Robin; Sanchez, Tobias</t>
  </si>
  <si>
    <t>Modeling and Control of a PMSM Operating in Low Speeds</t>
  </si>
  <si>
    <t>C:\Users\damia\Zotero\storage\PMH8UYC3\Helsing y Sanchez - Modeling and Control of a PMSM Operating in Low Speeds.pdf</t>
  </si>
  <si>
    <t>PMSM; SENSORLESS; HFI; Disturbed observer; Ecuaciones</t>
  </si>
  <si>
    <t>49WATXNG</t>
  </si>
  <si>
    <t>Martinez, Maria; Laborda, Diego F; Reigosa, David; Fernandez, Daniel; Guerrero, J M; Briz, Fernando</t>
  </si>
  <si>
    <t>SynRM Sensorless Torque Estimation Using High Frequency Signal Injection</t>
  </si>
  <si>
    <t>Precise output torque control is often required in applications using synchronous reluctance machines. Direct measurement of torque has drawbacks due to both cost and reliability issues. To overcome these limitations, the development of torque estimation methods has received signiﬁcant research attention. Most of the exiting torque estimation methods require knowledge of machine parameters, suffering therefore from parameter sensitivity. Load and saturation are recognized as the primary source of parameter variation. This paper proposes the use of high frequency signal injection for on-line estimation of the machine parameters required for torque estimation. The improvement in the torque estimation will be especially relevant in deep-saturation regions. The method operates without interfering with the normal operation of the machine.</t>
  </si>
  <si>
    <t>C:\Users\damia\Zotero\storage\WVNT5H7C\Martinez et al. - SynRM Sensorless Torque Estimation Using High Frequency Signal Injection.pdf</t>
  </si>
  <si>
    <t>SENSORLESS; HFI</t>
  </si>
  <si>
    <t>RYSTGZ5J</t>
  </si>
  <si>
    <t>Seilmeier, Markus; Ebersberger, Sebastian; Piepenbreier, Bernhard</t>
  </si>
  <si>
    <t>HF Test Current Injection-Based Self-Sensing Control of PMSM for Low- and Zero-Speed Range Using Two-Degree-of-Freedom Current Control</t>
  </si>
  <si>
    <t>IEEE Transactions on Industry Applications</t>
  </si>
  <si>
    <t>0093-9994, 1939-9367</t>
  </si>
  <si>
    <t>10.1109/TIA.2014.2369828</t>
  </si>
  <si>
    <t>http://ieeexplore.ieee.org/document/6954444/</t>
  </si>
  <si>
    <t>2015-05</t>
  </si>
  <si>
    <t>2268-2278</t>
  </si>
  <si>
    <t>IEEE Trans. on Ind. Applicat.</t>
  </si>
  <si>
    <t>C:\Users\damia\Zotero\storage\P5EKZDT8\Seilmeier et al. - 2015 - HF Test Current Injection-Based Self-Sensing Control of PMSM for Low- and Zero-Speed Range Using Two.pdf</t>
  </si>
  <si>
    <t>SENSORLESS; HFI; Low-speed</t>
  </si>
  <si>
    <t>LSRQFPHR</t>
  </si>
  <si>
    <t>Wen, Xin; Zhang, Yan; Lin, Yahong</t>
  </si>
  <si>
    <t>Observability analysis and EKF-based sensorless control of permanent magnet synchronous machine</t>
  </si>
  <si>
    <t>2017 36th Chinese Control Conference (CCC)</t>
  </si>
  <si>
    <t>978-988-15639-3-4</t>
  </si>
  <si>
    <t>10.23919/ChiCC.2017.8027336</t>
  </si>
  <si>
    <t>http://ieeexplore.ieee.org/document/8027336/</t>
  </si>
  <si>
    <t>2017-07</t>
  </si>
  <si>
    <t>151-156</t>
  </si>
  <si>
    <t>Dalian, China</t>
  </si>
  <si>
    <t>C:\Users\damia\Zotero\storage\R6Z23UIL\Wen et al. - 2017 - Observability analysis and EKF-based sensorless control of permanent magnet synchronous machine.pdf</t>
  </si>
  <si>
    <t>NFFCUV2L</t>
  </si>
  <si>
    <t>Montero, E. Rodriguez; Vogelsberger, M.; Wolbank, T.</t>
  </si>
  <si>
    <t>Robust Saliency-Based Speed Sensorless Control of Induction Machines under Overload Operation</t>
  </si>
  <si>
    <t>2022 International Conference on Electrical Machines (ICEM)</t>
  </si>
  <si>
    <t>978-1-6654-1432-6</t>
  </si>
  <si>
    <t>10.1109/ICEM51905.2022.9910761</t>
  </si>
  <si>
    <t>https://ieeexplore.ieee.org/document/9910761/</t>
  </si>
  <si>
    <t>586-591</t>
  </si>
  <si>
    <t>Valencia, Spain</t>
  </si>
  <si>
    <t>C:\Users\damia\Zotero\storage\5Z3VSKIA\Montero et al. - 2022 - Robust Saliency-Based Speed Sensorless Control of Induction Machines under Overload Operation.pdf</t>
  </si>
  <si>
    <t>PMSM; SENSORLESS; HFI</t>
  </si>
  <si>
    <t>6T8GNZUN</t>
  </si>
  <si>
    <t>Yituo Li; Haifeng Lu; Wenlong Qu; Shuang Sheng; Zhengyu Wang</t>
  </si>
  <si>
    <t>Sensorless control of PMSM based on low frequency voltage injection at low speeds and standstill</t>
  </si>
  <si>
    <t>2013 IEEE ECCE Asia Downunder</t>
  </si>
  <si>
    <t>978-1-4799-0482-2 978-1-4799-0483-9</t>
  </si>
  <si>
    <t>10.1109/ECCE-Asia.2013.6579191</t>
  </si>
  <si>
    <t>http://ieeexplore.ieee.org/document/6579191/</t>
  </si>
  <si>
    <t>2013-06</t>
  </si>
  <si>
    <t>781-787</t>
  </si>
  <si>
    <t>Melbourne, VIC</t>
  </si>
  <si>
    <t>C:\Users\damia\Zotero\storage\WYSEZQA8\Yituo Li et al. - 2013 - Sensorless control of PMSM based on low frequency voltage injection at low speeds and standstill.pdf</t>
  </si>
  <si>
    <t>2013 IEEE ECCE Asia Downunder (ECCE Asia 2013)</t>
  </si>
  <si>
    <t>XGFE4Q25</t>
  </si>
  <si>
    <t>Jin, Tong; Sun, Wei; Zhang, Guoqiang; Wang, Gaolin; Jiang, Dong; Li, Dawei; Xu, Dianguo</t>
  </si>
  <si>
    <t>Zero Speed Sensorless Scheme for PMSM Drives Using Virtual Flux Signal Injection Based Hybrid Active Flux Observer</t>
  </si>
  <si>
    <t>10.1109/TIE.2025.3634413</t>
  </si>
  <si>
    <t>https://ieeexplore.ieee.org/document/11317795/</t>
  </si>
  <si>
    <t>2026-05</t>
  </si>
  <si>
    <t>6657-6668</t>
  </si>
  <si>
    <t>C:\Users\damia\Zotero\storage\HPAIHY38\Jin et al. - 2026 - Zero Speed Sensorless Scheme for PMSM Drives Using Virtual Flux Signal Injection Based Hybrid Active.pdf</t>
  </si>
  <si>
    <t>TJ53AIRB</t>
  </si>
  <si>
    <t>Wang, Dongwen; Wang, Zhuofan; Zhang, Peijun; Niu, Libo</t>
  </si>
  <si>
    <t>Optimized Nonlinear High-Frequency Injection for Sensorless PMSM in Low-Speed Industrial Servo Systems</t>
  </si>
  <si>
    <t>2025 4th International Conference on Energy and Electrical Power Systems (ICEEPS)</t>
  </si>
  <si>
    <t>979-8-3315-9866-2</t>
  </si>
  <si>
    <t>10.1109/ICEEPS66790.2025.11239596</t>
  </si>
  <si>
    <t>https://ieeexplore.ieee.org/document/11239596/</t>
  </si>
  <si>
    <t>982-986</t>
  </si>
  <si>
    <t>Guangzhou, China</t>
  </si>
  <si>
    <t>C:\Users\damia\Zotero\storage\3FBJN85Z\Wang et al. - 2025 - Optimized Nonlinear High-Frequency Injection for Sensorless PMSM in Low-Speed Industrial Servo Syste.pdf</t>
  </si>
  <si>
    <t>PMSM; SENSORLESS; HFI; Low-speed; Ecuaciones</t>
  </si>
  <si>
    <t>INHVHLU5</t>
  </si>
  <si>
    <t>Shahzad, Kashif; Jawad, Muhammad; Ali, Khurram; Akhtar, Jahanzeb; Khosa, Ikramullah; Bajaj, Mohit; Elattar, Ehab E.; Kamel, Salah</t>
  </si>
  <si>
    <t>A Hybrid Approach for an Efficient Estimation and Control of Permanent Magnet Synchronous Motor with Fast Dynamics and Practically Unavailable Measurements</t>
  </si>
  <si>
    <t>Applied Sciences</t>
  </si>
  <si>
    <t>2076-3417</t>
  </si>
  <si>
    <t>10.3390/app12104958</t>
  </si>
  <si>
    <t>https://www.mdpi.com/2076-3417/12/10/4958</t>
  </si>
  <si>
    <t>This paper presents an interesting hybrid solution to a challenging estimation and control problem of the Permanent Magnet Synchronous Motor (PMSM). Apart from the inherently nonlinear nature of the PMSM, which makes this problem particularly challenging, is the unavailability of the measurements, rotor position, and speed. In an effort to efficiently cope with such issues along with the random noise environment, the Unscented Kalman Filter (UKF) is chosen to estimate the states of the PMSM dynamic system and the Model Predictive Control (MPC) is utilized to control the state space vector in Pulse Width Modulation (PWM). Additionally, the MPC has also been implemented in combination with the Extended Kalman Filter (EKF) and also with Sliding Mode Control (SMC), in order to vigorously compare these hybrid approaches in terms of accuracy, robustness, and transient response. The MPC-UKF, a combination that has never been implemented before, outperforms the other two by efficiently dealing with the issues of high nonlinearities, by accurately estimating the states while the measurements were practically unavailable, and coping with the fast dynamics of the PMSM.</t>
  </si>
  <si>
    <t>C:\Users\damia\Zotero\storage\Z9K38B4G\Shahzad et al. - 2022 - A Hybrid Approach for an Efficient Estimation and Control of Permanent Magnet Synchronous Motor with.pdf</t>
  </si>
  <si>
    <t>AQL453KA</t>
  </si>
  <si>
    <t>Trancho, E.; Ibarra, E.; Arias, A.; Salazar, C.; Lopez, I.; Diaz De Guerenu, A.; Pena, A.</t>
  </si>
  <si>
    <t>A novel PMSM hybrid sensorless control strategy for EV applications based on PLL and HFI</t>
  </si>
  <si>
    <t>IECON 2016 - 42nd Annual Conference of the IEEE Industrial Electronics Society</t>
  </si>
  <si>
    <t>978-1-5090-3474-1</t>
  </si>
  <si>
    <t>10.1109/IECON.2016.7793330</t>
  </si>
  <si>
    <t>http://ieeexplore.ieee.org/document/7793330/</t>
  </si>
  <si>
    <t>2016-10</t>
  </si>
  <si>
    <t>6669-6674</t>
  </si>
  <si>
    <t>Florence, Italy</t>
  </si>
  <si>
    <t>C:\Users\damia\Zotero\storage\5IL93IXH\Trancho et al. - 2016 - A novel PMSM hybrid sensorless control strategy for EV applications based on PLL and HFI.pdf</t>
  </si>
  <si>
    <t>I4STCLIY</t>
  </si>
  <si>
    <t>Zhao, Yue; Zhang, Zhe; Qiao, Wei; Wu, Long</t>
  </si>
  <si>
    <t>An Extended Flux Model-Based Rotor Position Estimator for Sensorless Control of Salient-Pole Permanent-Magnet Synchronous Machines</t>
  </si>
  <si>
    <t>IEEE Transactions on Power Electronics</t>
  </si>
  <si>
    <t>0885-8993, 1941-0107</t>
  </si>
  <si>
    <t>10.1109/TPEL.2014.2358621</t>
  </si>
  <si>
    <t>https://ieeexplore.ieee.org/document/6901236/</t>
  </si>
  <si>
    <t>2015-08</t>
  </si>
  <si>
    <t>4412-4422</t>
  </si>
  <si>
    <t>IEEE Trans. Power Electron.</t>
  </si>
  <si>
    <t>C:\Users\damia\Zotero\storage\K82L2SFN\Zhao et al. - 2015 - An Extended Flux Model-Based Rotor Position Estimator for Sensorless Control of Salient-Pole Permane.pdf</t>
  </si>
  <si>
    <t>HFI</t>
  </si>
  <si>
    <t>Título</t>
  </si>
  <si>
    <t>Tipo</t>
  </si>
  <si>
    <t>Tipo de motor</t>
  </si>
  <si>
    <t>Objetivo</t>
  </si>
  <si>
    <t>¿Sensorless?</t>
  </si>
  <si>
    <t>Método de estimación</t>
  </si>
  <si>
    <t>Variables estimadas</t>
  </si>
  <si>
    <t>Velocidad de operación en RPM</t>
  </si>
  <si>
    <t>¿Cogging?</t>
  </si>
  <si>
    <t>Modelo de cogging</t>
  </si>
  <si>
    <t>Compensación?</t>
  </si>
  <si>
    <t>Señal dónde se compensa</t>
  </si>
  <si>
    <t>Comp. Online?</t>
  </si>
  <si>
    <t>Limitación</t>
  </si>
  <si>
    <t>Utilidad para mi memoria</t>
  </si>
  <si>
    <t>Prioridad</t>
  </si>
  <si>
    <t>PMSM</t>
  </si>
  <si>
    <t>reducir cogging
Low-speed
sensorless</t>
  </si>
  <si>
    <t>Si</t>
  </si>
  <si>
    <t xml:space="preserve"> EKF +HFI</t>
  </si>
  <si>
    <t>Wm, theta_e</t>
  </si>
  <si>
    <t xml:space="preserve"> -</t>
  </si>
  <si>
    <t>No</t>
  </si>
  <si>
    <t>3% Ripple</t>
  </si>
  <si>
    <t>Resultado Ripple</t>
  </si>
  <si>
    <t>¿Presenta carga?</t>
  </si>
  <si>
    <t>Buena estrategia de HFI</t>
  </si>
  <si>
    <t>No presenta cogging</t>
  </si>
  <si>
    <t>Stepper</t>
  </si>
  <si>
    <t>Control sensorless posición</t>
  </si>
  <si>
    <t>EKF</t>
  </si>
  <si>
    <t>Ia,Ib,Wm,Theta_e,Tx</t>
  </si>
  <si>
    <t>-</t>
  </si>
  <si>
    <t>Velocidad de operación en p.u.</t>
  </si>
  <si>
    <t>Seno</t>
  </si>
  <si>
    <t>Feedforward</t>
  </si>
  <si>
    <t>Iq</t>
  </si>
  <si>
    <t>No aplica</t>
  </si>
  <si>
    <t xml:space="preserve">No es realmente sensorless?
Cogging muy simple
</t>
  </si>
  <si>
    <t xml:space="preserve"> </t>
  </si>
  <si>
    <t>Modelo Stepper
Diagramas
Control de posición close-loop. No Open-loop</t>
  </si>
  <si>
    <t>PLL</t>
  </si>
  <si>
    <t>Sensorless low-speed control</t>
  </si>
  <si>
    <t>EKF+HFI+PLL</t>
  </si>
  <si>
    <t>Id,Iq,theta_e,Wm</t>
  </si>
  <si>
    <t>0.01</t>
  </si>
  <si>
    <t>No modela</t>
  </si>
  <si>
    <t>No compensa cogging</t>
  </si>
  <si>
    <t>Pll</t>
  </si>
  <si>
    <t>Thesis Master</t>
  </si>
  <si>
    <t>Thesis PHD</t>
  </si>
  <si>
    <t>UKF VS EKF
MPC</t>
  </si>
  <si>
    <t>EKF,UFK</t>
  </si>
  <si>
    <t>Tl,Wm</t>
  </si>
  <si>
    <t>no</t>
  </si>
  <si>
    <t>Preguntas, objetivos</t>
  </si>
  <si>
    <t>Low-speed with torque compensation</t>
  </si>
  <si>
    <t>back-EMF observer</t>
  </si>
  <si>
    <t>theta_e, back_emf,Te,Wm</t>
  </si>
  <si>
    <t>0.2 (error)</t>
  </si>
  <si>
    <t>derivada de reluctancia</t>
  </si>
  <si>
    <t>Te</t>
  </si>
  <si>
    <t>&lt;2%</t>
  </si>
  <si>
    <t>LUT</t>
  </si>
  <si>
    <t>No presenta Carga</t>
  </si>
  <si>
    <t>PLL de Te?</t>
  </si>
  <si>
    <t>Ripple reduction</t>
  </si>
  <si>
    <t>Sensorless control</t>
  </si>
  <si>
    <t>Virtual equilibrium</t>
  </si>
  <si>
    <t xml:space="preserve">No es sensorless, limitado a la potencia máxima que soporta el motor
</t>
  </si>
  <si>
    <t>Analisis de observabilidad</t>
  </si>
  <si>
    <t>HFI + EKF</t>
  </si>
  <si>
    <t>Demostración matemática</t>
  </si>
  <si>
    <t>mitigation cogging</t>
  </si>
  <si>
    <t>Signal processing &amp; observer</t>
  </si>
  <si>
    <t>theta_e,Wm</t>
  </si>
  <si>
    <t>reducido</t>
  </si>
  <si>
    <t>No explica como se aplicó.
Faltan resultados, ecuaciones, observadores</t>
  </si>
  <si>
    <t>control low-speed</t>
  </si>
  <si>
    <t>Hybrid position observer</t>
  </si>
  <si>
    <t>Wm.theta_e</t>
  </si>
  <si>
    <t>no aplica</t>
  </si>
  <si>
    <t>gráficas</t>
  </si>
  <si>
    <t>Load observer</t>
  </si>
  <si>
    <t>Tl,Wm,Theta_e</t>
  </si>
  <si>
    <t>observer</t>
  </si>
  <si>
    <t>Speed control low-speed</t>
  </si>
  <si>
    <t>Fourier</t>
  </si>
  <si>
    <t>PR</t>
  </si>
  <si>
    <t>reducción de 80%</t>
  </si>
  <si>
    <t xml:space="preserve">No es sensorless
</t>
  </si>
  <si>
    <t xml:space="preserve">PR </t>
  </si>
  <si>
    <t>HFI 
cogging
low-speed</t>
  </si>
  <si>
    <t xml:space="preserve">HFI </t>
  </si>
  <si>
    <t>Mapa</t>
  </si>
  <si>
    <t>20%?</t>
  </si>
  <si>
    <t>back-EMF</t>
  </si>
  <si>
    <t>Luenberger+PLL</t>
  </si>
  <si>
    <t>No hay cogging
No es Low-speed</t>
  </si>
  <si>
    <t>zero-speed sensorless</t>
  </si>
  <si>
    <t>Flux observer</t>
  </si>
  <si>
    <t>Theta_e?</t>
  </si>
  <si>
    <t>0-400</t>
  </si>
  <si>
    <t>No cogging</t>
  </si>
  <si>
    <t>No cogging
Dudas respecto si funciona</t>
  </si>
  <si>
    <t>Otro metodo?
Demostraciones matemáticas</t>
  </si>
  <si>
    <t xml:space="preserve">Sensorless Low-speed </t>
  </si>
  <si>
    <t>HFI + observer</t>
  </si>
  <si>
    <t>0.1</t>
  </si>
  <si>
    <t>Si, no modela</t>
  </si>
  <si>
    <t>sensorless</t>
  </si>
  <si>
    <t>HFI+PLL + Hybrid estimator</t>
  </si>
  <si>
    <t>theta_e, Wm</t>
  </si>
  <si>
    <t xml:space="preserve">No es low-speed </t>
  </si>
  <si>
    <t>(MPC) + (EKF VS UKF)</t>
  </si>
  <si>
    <t>si</t>
  </si>
  <si>
    <t>Wm,theta_e</t>
  </si>
  <si>
    <t>Solo comparación entre observadores</t>
  </si>
  <si>
    <t>reduce ripple</t>
  </si>
  <si>
    <t>potencia activa y reactiva</t>
  </si>
  <si>
    <t>[-10,10]</t>
  </si>
  <si>
    <t>Nada</t>
  </si>
  <si>
    <t xml:space="preserve">sensorless </t>
  </si>
  <si>
    <t>Luenberger + MPC</t>
  </si>
  <si>
    <t>si, pero de corrientes</t>
  </si>
  <si>
    <t>Ia,Ib,Wm</t>
  </si>
  <si>
    <t>SI, no modela</t>
  </si>
  <si>
    <t>predice las corrientes con la posición</t>
  </si>
  <si>
    <t>nada</t>
  </si>
  <si>
    <t>reduce ripple torque predictive</t>
  </si>
  <si>
    <t>se reduce</t>
  </si>
  <si>
    <t>Thesis</t>
  </si>
  <si>
    <t>sensorless control speed</t>
  </si>
  <si>
    <t xml:space="preserve">EKF </t>
  </si>
  <si>
    <t>sensorless speed</t>
  </si>
  <si>
    <t>Observer</t>
  </si>
  <si>
    <t>hay zonas limites de observabilidad, no usa HFI</t>
  </si>
  <si>
    <t>no mucha</t>
  </si>
  <si>
    <t>control load angle</t>
  </si>
  <si>
    <t>Load angle estimator</t>
  </si>
  <si>
    <t>load_angle,theta_e</t>
  </si>
  <si>
    <t>Si, la observa</t>
  </si>
  <si>
    <t>velocidad minima?</t>
  </si>
  <si>
    <t>comparación stepper</t>
  </si>
  <si>
    <t>Redduce cogging</t>
  </si>
  <si>
    <t>fourier</t>
  </si>
  <si>
    <t>torque</t>
  </si>
  <si>
    <t>thd: attenuacion 240%</t>
  </si>
  <si>
    <t>No es sensorless</t>
  </si>
  <si>
    <t>Analisis THD
resonant controller
analisis db
comparación de PR para distintos J</t>
  </si>
  <si>
    <t>AN2590 Sensorless FOC for PMSM using Reduced Order Luenberger Observer</t>
  </si>
  <si>
    <t>Manual</t>
  </si>
  <si>
    <t>luenberger</t>
  </si>
  <si>
    <t>Formulas</t>
  </si>
  <si>
    <t>Thesis master</t>
  </si>
  <si>
    <t>Ecuaciones y gráficas</t>
  </si>
  <si>
    <t>iterative learninc control</t>
  </si>
  <si>
    <t>Sensorless</t>
  </si>
  <si>
    <t>Low-speed</t>
  </si>
  <si>
    <t>Compensación</t>
  </si>
  <si>
    <t>Método</t>
  </si>
  <si>
    <t>Carga</t>
  </si>
  <si>
    <t>Gap</t>
  </si>
  <si>
    <t>necesita mucha corriente</t>
  </si>
  <si>
    <t>Rol</t>
  </si>
  <si>
    <t>Matematica</t>
  </si>
  <si>
    <t/>
  </si>
  <si>
    <t>2014-10-17</t>
  </si>
  <si>
    <t>2022-10-26</t>
  </si>
  <si>
    <t>1-6</t>
  </si>
  <si>
    <t>2022-08-22</t>
  </si>
  <si>
    <t>1-17</t>
  </si>
  <si>
    <t>2024-06-04</t>
  </si>
  <si>
    <t>2024-05-17</t>
  </si>
  <si>
    <t>2023-10-11</t>
  </si>
  <si>
    <t>1-7</t>
  </si>
  <si>
    <t>1-5</t>
  </si>
  <si>
    <t>6-17</t>
  </si>
  <si>
    <t>2016-03-23</t>
  </si>
  <si>
    <t>2022-09-02</t>
  </si>
  <si>
    <t>14993</t>
  </si>
  <si>
    <t>2025-06-11</t>
  </si>
  <si>
    <t>2014-07-12</t>
  </si>
  <si>
    <t>2025-11-16</t>
  </si>
  <si>
    <t>2026-04-13</t>
  </si>
  <si>
    <t>1-2</t>
  </si>
  <si>
    <t>C:\Users\damia\Zotero\storage\6F8K57DV\A_Hybrid_Approach_for_an_Efficient_Estimation_and_.pdf; C:\Users\damia\Zotero\storage\YY79E7GT\Zhang et al. - 2026 - Smooth Sensorless Startup in PMSM Drives Through Cogging Torque Mitigation.pdf</t>
  </si>
  <si>
    <t>2022-09-05</t>
  </si>
  <si>
    <t>2025-07-17</t>
  </si>
  <si>
    <t>2022-05-13</t>
  </si>
  <si>
    <t>4958</t>
  </si>
  <si>
    <t>XEJT6X92</t>
  </si>
  <si>
    <t>Galvis-Restrepo, Eduard; Vásquez-Lopez, Virgilio; Ferreira-Jaimes, Julián</t>
  </si>
  <si>
    <t>Motor de reluctancia conmutada: modelado, simulación y control</t>
  </si>
  <si>
    <t>Respuestas</t>
  </si>
  <si>
    <t>2422-5053, 0122-820X</t>
  </si>
  <si>
    <t>10.22463/0122820X.578</t>
  </si>
  <si>
    <t>https://revistas.ufps.edu.co/index.php/respuestas/article/view/578</t>
  </si>
  <si>
    <t>The switched reluctance motor (SRM) is a doubly-salient machine. This means that it has salient poles on both the rotor and stator. A SRM construction is simple as compared to other types of electric motors. The rotor has no windings or magnet; the windings are concentrated in the stator. The purpose of this article is the development of a speed control strategy for this kind of motor. Description of a nonlinear SRM model and its respective simulation in Matlab/Simulink environment is presented. The constant rotor speed control of SRM is achieved from current control perspective with a PI controller.</t>
  </si>
  <si>
    <t>2016-05-19</t>
  </si>
  <si>
    <t>29-37</t>
  </si>
  <si>
    <t>Motor de reluctancia conmutada</t>
  </si>
  <si>
    <t>es</t>
  </si>
  <si>
    <t>C:\Users\damia\Zotero\storage\CP6T862U\Galvis-Restrepo et al. - 2016 - Motor de reluctancia conmutada modelado, simulación y control.pdf</t>
  </si>
  <si>
    <t>/unread</t>
  </si>
  <si>
    <t>PNIW5WRT</t>
  </si>
  <si>
    <t>C:\Users\damia\Zotero\storage\3FI2WIND\Martinez et al. - SynRM Sensorless Torque Estimation Using High Frequency Signal Injection.pdf</t>
  </si>
  <si>
    <t>BKR27Y85</t>
  </si>
  <si>
    <t>Dominica C. Ihem; Rachael I. Ovbiagele; Chidiebere D. Obasi; Uchendu U. Nlerum</t>
  </si>
  <si>
    <t>IMPACT OF SALIENCY RATIO VARIATION ON TORQUE PERFORMANCE IN INTERIOR PERMANENT MAGNET SYNCHRONOUS MOTOR</t>
  </si>
  <si>
    <t>2394-7349</t>
  </si>
  <si>
    <t>10.5281/ZENODO.15727876</t>
  </si>
  <si>
    <t>https://zenodo.org/doi/10.5281/zenodo.15727876</t>
  </si>
  <si>
    <t>Abstract: This paper studies effects of changes in saliency ratio on the electromagnetic torque performance of Interior Permanent Magnet Synchronous Motors (IPMSMs). The saliency ratio (q-axis to d-axis inductance ratio) Lq/Ld has a decisive impact on the formation of both the magnet and reluctance torque in the IPMSM. A MATLAB dq-axis dynamic equations simulation model was developed to assess the torque response with different saliency ratios. The results reveal that as the saliency ratio increases, the average and peak torque increase on the whole, mainly because the contribution of reluctance torque becomes considerable. A motor produces only magnet torque at the saliency ratio of unity, and the reluctance torque becomes dominant as Lq becomes larger than Ld. It can be seen by the time-waveform of the electromagnetic torque higher torque values obtained by larger saliency ratio. Besides the torque improvement, the simulation showed that the torque ripple increased slightly which means a trade-off between performances and smoothness. Additionally, when analyzing the stator current dynamics it was observed that as the saliency value increases iq remains rather the same, although id is outlined with more dynamics, resulting in profound transients in higher saliency ratios. The simulation also generated characteristic curves of saliency ratio versus average torque, peak torque and torque ripple. These results validate that the saliency ratio greatly affects the performance and dynamic characteristic of IPMSMs. This knowledge can be used to optimize rotor design for high performance electric drive applications. The MATLAB model developed in this work is a flexible platform for design assessment and can also be used for testing control strategies or for validating experimental outcomes. Keywords: Electromagnetic torque, interior permanent magnet synchronous motor, MATLAB simulation, saliency ratio, stator currents. Title: IMPACT OF SALIENCY RATIO VARIATION ON TORQUE PERFORMANCE IN INTERIOR PERMANENT MAGNET SYNCHRONOUS MOTOR Author: Dominica C. Ihem, Rachael I. Ovbiagele, Chidiebere D. Obasi, Uchendu U. Nlerum International Journal of Novel Research in Engineering and Science ISSN 2394-7349 Vol. 12, Issue 1, March 2025 - August 2025 Page No: 46-54 Novelty Journals Website: www.noveltyjournals.com Published Date: 24-June-2025 DOI: https://doi.org/10.5281/zenodo.15727876 Paper Download Link (Source) https://www.noveltyjournals.com/upload/paper/IMPACT%20OF%20SALIENCY%20RATIO%20VARIATION-24062025-5.pdf</t>
  </si>
  <si>
    <t>2025-06-24</t>
  </si>
  <si>
    <t>Novelty Journals</t>
  </si>
  <si>
    <t>Creative Commons Attribution 4.0 International</t>
  </si>
  <si>
    <t>DOI.org (Datacite)</t>
  </si>
  <si>
    <t>C:\Users\damia\Zotero\storage\R6MQBAJY\Dominica C. Ihem et al. - 2025 - IMPACT OF SALIENCY RATIO VARIATION ON TORQUE PERFORMANCE IN INTERIOR PERMANENT MAGNET SYNCHRONOUS MO.pdf</t>
  </si>
  <si>
    <t>Electromagnetic torque; interior permanent magnet synchronous motor; MATLAB simulation; saliency ratio; stator currents; /unread</t>
  </si>
  <si>
    <t>W2TEGQU7</t>
  </si>
  <si>
    <t>Koteich, Mohamad; Maloum, Abdelmalek; Duc, Gilles; Sandou, Guillaume</t>
  </si>
  <si>
    <t>Discussion on “AC Drive Observability Analysis”</t>
  </si>
  <si>
    <t>10.1109/TIE.2015.2438777</t>
  </si>
  <si>
    <t>http://ieeexplore.ieee.org/document/7115092/</t>
  </si>
  <si>
    <t>In the paper by Vaclavek et al. (IEEE Trans. Ind. Electron., vol. 60, no. 8, pp. 3047–3059, Aug. 2013), the local observability of both induction machine and permanent-magnet synchronous machine (PMSM) under motion-sensorless operation is studied. In this letter, the “slowly varying” speed assumption is discussed, and the PMSM observability condition at standstill is revisited.</t>
  </si>
  <si>
    <t>2015-11</t>
  </si>
  <si>
    <t>7224-7225</t>
  </si>
  <si>
    <t>C:\Users\damia\Zotero\storage\B9AYX5NG\Koteich et al. - 2015 - Discussion on “AC Drive Observability Analysis”.pdf</t>
  </si>
  <si>
    <t>3AS578SJ</t>
  </si>
  <si>
    <t>Yu, Ke; Xiang, Fuyuan; Su, Jinya; Zhu, Wenwu; Li, Shihua</t>
  </si>
  <si>
    <t>Simultaneous State and Disturbances Estimation for Sensorless PMSM Control: Design and Experiments</t>
  </si>
  <si>
    <t>10.1109/TPEL.2025.3596683</t>
  </si>
  <si>
    <t>https://ieeexplore.ieee.org/document/11119337/</t>
  </si>
  <si>
    <t>Sensorless control for permanent magnet synchronous motor (PMSM) is drawing increasing research interest in both academia and industry. To enhance the robustness of sensorless control schemes, disturbance observers are typically designed for feedforward disturbance compensation. However, the conventional framework, which separately estimates speed/position and disturbances, may lead to system instability, particularly when disturbances signiﬁcantly affect speed/position estimation performance. To address this issue, this article proposes a novel estimation-based control framework that simultaneously estimates system states and disturbances. Within this framework, two simultaneous observers are introduced. First, an augmented extended Kalman ﬁlter that extends disturbances as additional states and second, a composite extended Kalman ﬁlter integrating disturbance observer and extended Kalman ﬁlter. The feasibility and effectiveness of the proposed sensorless control schemes are validated through extensive comparative hardware experiments. Compared with the conventional separate-estimation framework, the proposed approach signiﬁcantly improves speed and positionestimation accuracy under load disturbances in sensorless PMSM drives.</t>
  </si>
  <si>
    <t>2025-12</t>
  </si>
  <si>
    <t>17750-17760</t>
  </si>
  <si>
    <t>Simultaneous State and Disturbances Estimation for Sensorless PMSM Control</t>
  </si>
  <si>
    <t>C:\Users\damia\Zotero\storage\6MDDQPU4\Yu et al. - 2025 - Simultaneous State and Disturbances Estimation for Sensorless PMSM Control Design and Experiments.pdf</t>
  </si>
  <si>
    <t>2LG4MBDY</t>
  </si>
  <si>
    <t>Horváth, Krisztián</t>
  </si>
  <si>
    <t>Load Torque and Permanent Magnet Flux Linkage Estimation of Surface-Mounted PMSM by Using Unscented Kalman Filter</t>
  </si>
  <si>
    <t>2023 International Conference on Electrical Drives and Power Electronics (EDPE)</t>
  </si>
  <si>
    <t>979-8-3503-2275-0</t>
  </si>
  <si>
    <t>10.1109/EDPE58625.2023.10274042</t>
  </si>
  <si>
    <t>https://ieeexplore.ieee.org/document/10274042/</t>
  </si>
  <si>
    <t>In this study, state estimators are designed and compared for surface-mounted permanent magnet synchronous machine (PMSM) drives. The state-space representations used for estimator design are the inﬁnite inertia model, the full model including the equation of motion, and an augmented description extended by the permanent magnet (PM) ﬂux linkage as an additional state variable. By using the latter model, the estimators are less sensitive to the PM ﬂux linkage mismatches due to the online identiﬁcation of this parameter. For each nonlinear models, observability analyses are presented with and without position measurement. Based on all six models, state estimators are implemented using unscented Kalman ﬁlter (UKF) algorithm, and the estimation performances are compared by simulations.</t>
  </si>
  <si>
    <t>2023-09-25</t>
  </si>
  <si>
    <t>1-8</t>
  </si>
  <si>
    <t>The High Tatras, Slovakia</t>
  </si>
  <si>
    <t>C:\Users\damia\Zotero\storage\3SPGLPQD\Horváth - 2023 - Load Torque and Permanent Magnet Flux Linkage Estimation of Surface-Mounted PMSM by Using Unscented.pdf</t>
  </si>
  <si>
    <t>7ZQKQW2S</t>
  </si>
  <si>
    <t>Local weak observability conditions of sensorless AC drives</t>
  </si>
  <si>
    <t>2015 17th European Conference on Power Electronics and Applications (EPE'15 ECCE-Europe)</t>
  </si>
  <si>
    <t>978-90-75815-22-1</t>
  </si>
  <si>
    <t>10.1109/EPE.2015.7309238</t>
  </si>
  <si>
    <t>http://ieeexplore.ieee.org/document/7309238/</t>
  </si>
  <si>
    <t>Alternating current (AC) electrical drive control without mechanical sensors is an active research topic. This paper studies the observability of both induction machine and synchronous machine sensorless drives. Observer-based sensorless techniques are known for their deteriorated performance in some operating conditions. An observability analysis of the machines helps understanding (and improving) the observer’s behavior in the aforementioned conditions.</t>
  </si>
  <si>
    <t>2015-09</t>
  </si>
  <si>
    <t>1-10</t>
  </si>
  <si>
    <t>Geneva</t>
  </si>
  <si>
    <t>C:\Users\damia\Zotero\storage\QK7FT2SY\Koteich et al. - 2015 - Local weak observability conditions of sensorless AC drives.pdf</t>
  </si>
  <si>
    <t>DKE5VMD4</t>
  </si>
  <si>
    <t>Zaltni, Dalila; Abdelkrim, Mohamed Naceur; Ghanes, Malek; Barbot, Jean Pierre</t>
  </si>
  <si>
    <t>Observability analysis of PMSM</t>
  </si>
  <si>
    <t>2009 3rd International Conference on Signals, Circuits and Systems (SCS)</t>
  </si>
  <si>
    <t>978-1-4244-4397-0</t>
  </si>
  <si>
    <t>10.1109/ICSCS.2009.5412536</t>
  </si>
  <si>
    <t>http://ieeexplore.ieee.org/document/5412536/</t>
  </si>
  <si>
    <t>The current problems to successfully apply sensorless control techniques for Permanent Magnet Synchronous Motor (PMSM) are the existence of operating conditions for which the observer performance is remarkably deteriorated. This is due to difﬁculties in estimating correctly the rotor position at low speed. The failure of sensor-less schemes in some particular operating conditions has been always recognized in experimental settings. However, there are no sufﬁcient theoretical observability analysis for the PMSM. In the literature, only the sufﬁcient observability condition has been presented. Therefore, the current work is aimed specially to necessary observability condition analysis. Thus, we give here the necessary and sufﬁcient states observability condition for the PMSM. An example is presented to illustrate the results.</t>
  </si>
  <si>
    <t>2009-11</t>
  </si>
  <si>
    <t>Medenine, Tunisia</t>
  </si>
  <si>
    <t>C:\Users\damia\Zotero\storage\84JDDTKW\Zaltni et al. - 2009 - Observability analysis of PMSM.pdf</t>
  </si>
  <si>
    <t>2009 3rd International Conference on Signals, Circuits and Systems (SCS 2009)</t>
  </si>
  <si>
    <t>ACUGHL8Z</t>
  </si>
  <si>
    <t>Permanent magnet synchronous drives observability analysis for motion-sensorless control</t>
  </si>
  <si>
    <t>2015 IEEE Symposium on Sensorless Control for Electrical Drives (SLED)</t>
  </si>
  <si>
    <t>10.1109/SLED.2015.7339264</t>
  </si>
  <si>
    <t>http://arxiv.org/abs/1601.06130</t>
  </si>
  <si>
    <t>Motion-sensorless control techniques of electrical drives are attracting more attention in different industries. The local observability of sensorless permanent magnet synchronous drives is studied in this paper. A special interest is given to the standstill operation condition, where sensorless drives suffer of poor performance. Both, salient and non-salient machines are considered. The results are illustrated using numerical simulations.</t>
  </si>
  <si>
    <t>2015-06</t>
  </si>
  <si>
    <t>arXiv.org</t>
  </si>
  <si>
    <t>arXiv:1601.06130 [math.CA]</t>
  </si>
  <si>
    <t>C:\Users\damia\Zotero\storage\SFI7IHWS\Koteich et al. - 2015 - Permanent magnet synchronous drives observability analysis for motion-sensorless control.pdf</t>
  </si>
  <si>
    <t>/unread; Mathematics - Classical Analysis and ODEs</t>
  </si>
  <si>
    <t>HACMZIE5</t>
  </si>
  <si>
    <t>Wang, Gaolin; Valla, Maria; Solsona, Jorge</t>
  </si>
  <si>
    <t>Position Sensorless Permanent Magnet Synchronous Machine Drives—A Review</t>
  </si>
  <si>
    <t>10.1109/TIE.2019.2955409</t>
  </si>
  <si>
    <t>https://ieeexplore.ieee.org/document/8917922/</t>
  </si>
  <si>
    <t>Owing to the competitive advantages of cost reduction, system downsizing, and reliability enhancement, position sensorless control methods for permanent magnet synchronous machine drives have drawn increasing attention from academia to industrial applications. In this article, a survey of the major sensorless control techniques for a wide speed range from low to high speeds is presented. The different high frequency signal injection schemes, fundamental pulsewidth modulation excitation methods, and model-based sensorless control are displayed and compared, which is able to facilitate the sensorless control implementation.</t>
  </si>
  <si>
    <t>5830-5842</t>
  </si>
  <si>
    <t>C:\Users\damia\Zotero\storage\B6FIT9B8\Wang et al. - 2020 - Position Sensorless Permanent Magnet Synchronous Machine Drives—A Review.pdf</t>
  </si>
  <si>
    <t>YTC9RBXJ</t>
  </si>
  <si>
    <t>Li, Liyi; Tan, Guangjun; Liu, Jiaxi; Kou, Baoquan</t>
  </si>
  <si>
    <t>Sensorless control of PMSM based on state observer and the parameter error analysis</t>
  </si>
  <si>
    <t>2012 IEEE International Conference on Power Electronics, Drives and Energy Systems (PEDES)</t>
  </si>
  <si>
    <t>978-1-4673-4506-4 978-1-4673-4508-8</t>
  </si>
  <si>
    <t>10.1109/PEDES.2012.6484255</t>
  </si>
  <si>
    <t>https://ieeexplore.ieee.org/document/6484255/</t>
  </si>
  <si>
    <t>As state observer has the advantages of simple structure and low noise, this paper proposes a sensorless control method based on the state observer for the permanent magnet synchronous motor (PMSM) and analyzes the impact of the parameter errors. The state observer is ﬁrstly designed for the PMSM, and the frequency pre-warping bilinear transform method is adopted simultaneously in the discretization of the state observer. Then, the observation errors are analyzed when the stator resistance error or inductance error exists. Finally, Simulation results are presented, and verify the effectiveness of the paper’s design and analysis.</t>
  </si>
  <si>
    <t>2012-12</t>
  </si>
  <si>
    <t>Bengaluru, India</t>
  </si>
  <si>
    <t>C:\Users\damia\Zotero\storage\FKEI3L67\Li et al. - 2012 - Sensorless control of PMSM based on state observer and the parameter error analysis.pdf</t>
  </si>
  <si>
    <t>2J3PQ4GY</t>
  </si>
  <si>
    <t>Gu, Shan-Mao; He, Feng-You; Zhang, Hui</t>
  </si>
  <si>
    <t>Study on Extend Kalman Filter at Low Speed in Sensorless PMSM Drives</t>
  </si>
  <si>
    <t>2009 International Conference on Electronic Computer Technology</t>
  </si>
  <si>
    <t>978-0-7695-3559-3</t>
  </si>
  <si>
    <t>10.1109/ICECT.2009.17</t>
  </si>
  <si>
    <t>https://ieeexplore.ieee.org/document/4795973/</t>
  </si>
  <si>
    <t>The application of an Extended Kalman Filter(EKF) as nonlinear speed and position observer in PMSM drives has been a mature research project. However, one significant problem still unsolved is the weakly performance at low speed of PMSM drive system that yield to the best estimation performance on high speed range(&gt;5Hz). This paper proposes a novel method － Adjustable DC bus voltage, for low speed EKF sensorless control of permanent magnet synchronous motor (PMSM)drives. The findings from the experiment that the better performance at low speed (&gt;2Hz) by adjusting the DC Bus voltage according to the system reference speed are also presented. Simulation and Experimental results are given to confirm the effectiveness of the proposed method.</t>
  </si>
  <si>
    <t>2009-02</t>
  </si>
  <si>
    <t>311-316</t>
  </si>
  <si>
    <t>Macau</t>
  </si>
  <si>
    <t>C:\Users\damia\Zotero\storage\ZRDDV3YV\Gu et al. - 2009 - Study on Extend Kalman Filter at Low Speed in Sensorless PMSM Drives.pdf</t>
  </si>
  <si>
    <t>2009 International Conference on Electronic Computer Technology. ICECT 2009</t>
  </si>
  <si>
    <t>UGEAJ8K9</t>
  </si>
  <si>
    <t>Vaclavek, Pavel; Blaha, Petr</t>
  </si>
  <si>
    <t>Synchronous machine drive observability analysis and sensorless control design</t>
  </si>
  <si>
    <t>2008 IEEE 2nd International Power and Energy Conference</t>
  </si>
  <si>
    <t>978-1-4244-2404-7</t>
  </si>
  <si>
    <t>10.1109/PECON.2008.4762482</t>
  </si>
  <si>
    <t>http://ieeexplore.ieee.org/document/4762482/</t>
  </si>
  <si>
    <t>Permanent magnet synchronous (PMSM) drives become very popular in many industrial applications. Their construction provides better performance and reliability than DC drives. But there is also one signiﬁcant disadvantage - actual rotor position knowledge is necessary to control the drive even in the case when only speed control is required. A position sensor has to be used increasing the drive cost. Algorithms for rotor position and speed estimation from electrical quantities have been developed by many authors. This paper presents PMSM observability analysis to be able to deﬁne conditions under which it is possible to compute rotor speed and position. Following the observability analysis results a simple PMSM rotor position estimation algorithm is proposed using a MRAS concept.</t>
  </si>
  <si>
    <t>2008-12</t>
  </si>
  <si>
    <t>265-270</t>
  </si>
  <si>
    <t>Johor Bahru, Malaysia</t>
  </si>
  <si>
    <t>C:\Users\damia\Zotero\storage\AXWHQDIG\Vaclavek y Blaha - 2008 - Synchronous machine drive observability analysis and sensorless control design.pdf</t>
  </si>
  <si>
    <t>2008 IEEE 2nd International Power and Energy Conference (PECon)</t>
  </si>
  <si>
    <t>ZEJEKV9F</t>
  </si>
  <si>
    <t>Vaclavek, Pavel; Blaha, Petr; Herman, Ivo</t>
  </si>
  <si>
    <t>AC Drive Observability Analysis</t>
  </si>
  <si>
    <t>10.1109/TIE.2012.2203775</t>
  </si>
  <si>
    <t>http://ieeexplore.ieee.org/document/6213546/</t>
  </si>
  <si>
    <t>AC induction motors and permanent magnet synchronous drives became very popular for motion control applications due to their simple and reliable construction. Sensorless drive control is required in many applications to reduce drive production costs. While many approaches to magnetic ﬂux, rotor speed, or other quantities needed to control electrical machine were proposed, conditions under which these quantities can be estimated are not often sufﬁciently investigated. In this paper, induction machine and permanent-magnet-synchronous-machine drive state observability analysis is presented, together with conditions allowing reliable rotor speed and position estimation. A method based on the nonlinear dynamical system state observability theory is proposed, resulting in a uniﬁed approach to the ac drive observability analysis.</t>
  </si>
  <si>
    <t>2013-08</t>
  </si>
  <si>
    <t>3047-3059</t>
  </si>
  <si>
    <t>C:\Users\damia\Zotero\storage\JUGSNQND\Vaclavek et al. - 2013 - AC Drive Observability Analysis.pdf</t>
  </si>
  <si>
    <t>27DUUHK6</t>
  </si>
  <si>
    <t>Than, Hoang; Kung, Ying-Shieh; Huang, Liang-Chiao</t>
  </si>
  <si>
    <t>Digital hardware implementation of a sensorless speed controller for PMSM drives using HF signal injection and EKF</t>
  </si>
  <si>
    <t>2016 International Conference on Advanced Materials for Science and Engineering (ICAMSE)</t>
  </si>
  <si>
    <t>978-1-5090-3869-5</t>
  </si>
  <si>
    <t>10.1109/ICAMSE.2016.7840277</t>
  </si>
  <si>
    <t>http://ieeexplore.ieee.org/document/7840277/</t>
  </si>
  <si>
    <t>Among the sensorless PMSM speed control algorithms, the non-model based approach, such as high frequency (HF) signal injection (HFSI), is usually taken as to estimate the rotor position of PMSM at standstill and very low speed condition, but the model based approach, such as extended Kalman filter (EKF) is suitable to the low/medium/high speed condition for PMSM drive. Therefore, to obtain a wide-speed range control from a low speed to a medium/high speed region, combining the aforementioned two approaches - HF signal injection and EKF in sensorless PMSM drive is necessary. In this paper, firstly, the mathematical modeling of PMSM and the rotor estimation algorithms of HFSI and EKF are derived. Secondly, a very high speed IC hardware description language (VHDL) is presented to describe the behavior of the adopted estimation algorithm. Thirdly, to verify the correctness of the designed VHDL code of the adopted estimation algorithm, based on electronic design automation (EDA) simulator link, a co-simulation work is constructed by Simulink and ModelSim which the input stimuli and output responses are run in Simulink and the estimation approach and controller are performed in ModelSim. Finally, some simulation results validate the effectiveness of the proposed sensorless PMSM speed control system.</t>
  </si>
  <si>
    <t>2016-11</t>
  </si>
  <si>
    <t>192-195</t>
  </si>
  <si>
    <t>Tainan, Taiwan</t>
  </si>
  <si>
    <t>C:\Users\damia\Zotero\storage\EDPYWMEI\Than et al. - 2016 - Digital hardware implementation of a sensorless speed controller for PMSM drives using HF signal inj.pdf</t>
  </si>
  <si>
    <t>4QGG7YRS</t>
  </si>
  <si>
    <t>Ghaouti, Laaredj</t>
  </si>
  <si>
    <t>Sensorless field oriented control of PMSM based on the extended KALMAN filter observer</t>
  </si>
  <si>
    <t>PRZEGLĄD ELEKTROTECHNICZNY</t>
  </si>
  <si>
    <t>0033-2097</t>
  </si>
  <si>
    <t>10.15199/48.2016.12.64</t>
  </si>
  <si>
    <t>http://sigma-not.pl/publikacja-102648-2016-12.html</t>
  </si>
  <si>
    <t>2016-12-05</t>
  </si>
  <si>
    <t>251-256</t>
  </si>
  <si>
    <t>ELECTROTECHNICAL  REVIEW</t>
  </si>
  <si>
    <t>C:\Users\damia\Zotero\storage\YWYP8CTY\Ghaouti - 2016 - Sensorless field oriented control of PMSM based on the extended KALMAN filter observer.pdf</t>
  </si>
  <si>
    <t>77X2K2YC</t>
  </si>
  <si>
    <t>García, Cristián</t>
  </si>
  <si>
    <t>Unidad 2: Accionamientos no Controlados - Accionamientos Eléctricos</t>
  </si>
  <si>
    <t>C:\Users\damia\Zotero\storage\5QZ8WAMZ\García - Unidad 2 Accionamientos no Controlados - Accionamientos Eléctricos.pdf</t>
  </si>
  <si>
    <t>H954JRFL</t>
  </si>
  <si>
    <t>Unidad 3: Introducción al Control Realimentado - Accionamientos Eléctricos</t>
  </si>
  <si>
    <t>C:\Users\damia\Zotero\storage\UN8CAWXZ\García - Unidad 3 Introducción al Control Realimentado - Accionamientos Eléctricos.pdf</t>
  </si>
  <si>
    <t>J6YT3EPP</t>
  </si>
  <si>
    <t>Unidad 4: Control de Accionamientos en Lazo Abierto - Accionamientos Eléctricos</t>
  </si>
  <si>
    <t>C:\Users\damia\Zotero\storage\KZCBBG53\García - Unidad 4 Control de Accionamientos en Lazo Abierto - Accionamientos Eléctricos.pdf</t>
  </si>
  <si>
    <t>75DBZ49D</t>
  </si>
  <si>
    <t>Wang, Hangjie; Sun, Wei; Jin, Tong; Li, Dawei; Qu, Ronghai</t>
  </si>
  <si>
    <t>Parameter Robustness Improvement of Hybrid Flux Observer for Low-Speed Sensorless Drive of PMSM</t>
  </si>
  <si>
    <t>10.1109/TPEL.2025.3635045</t>
  </si>
  <si>
    <t>https://ieeexplore.ieee.org/document/11261855/</t>
  </si>
  <si>
    <t>This letter proposes an improved hybrid flux observer (HFO) for sensorless control scheme of permanent magnet synchronous motor (PMSM). The proposed method is robust against stator resistance mismatch, which is the primary factor affecting the performance of the observer at low speed. An compensation angle has been added to the correction part of the current model and voltage model in HFO, in order to reduce errors in the q-axis direction introduced by stator resistance mismatch. The proposed method modifies the characteristic matrix of the observer, resulting in a larger stable operating speed range and better load-carrying capability. Stability proof and parameter tuning method based on small-signal method is also provided. With only one parameter requiring design, the proposed sensorless scheme is simple to implement. The effectiveness of this method is verified by experiments on a 1.0-kW SPMSM (Surface PMSM) drive platform and a 5.2-kW IPMSM (Interior PMSM) drive platform, demonstrating its good generality.</t>
  </si>
  <si>
    <t>2026-04</t>
  </si>
  <si>
    <t>4541-4545</t>
  </si>
  <si>
    <t>C:\Users\damia\Zotero\storage\UZCFWBM8\Wang et al. - 2026 - Parameter Robustness Improvement of Hybrid Flux Observer for Low-Speed Sensorless Drive of PMSM.pdf</t>
  </si>
  <si>
    <t>HTF38LLW</t>
  </si>
  <si>
    <t>book</t>
  </si>
  <si>
    <t>Plett, Gregory L.</t>
  </si>
  <si>
    <t>Battery management systems</t>
  </si>
  <si>
    <t>978-1-63081-027-6</t>
  </si>
  <si>
    <t>2016</t>
  </si>
  <si>
    <t>Artech House Power engineering series</t>
  </si>
  <si>
    <t>Artech house</t>
  </si>
  <si>
    <t>Boston</t>
  </si>
  <si>
    <t>BnF ISBN</t>
  </si>
  <si>
    <t>F86QFM92</t>
  </si>
  <si>
    <t>De Angelo, Cristian Hernán</t>
  </si>
  <si>
    <t>Control para máquinas de CA de imanes permanentes con FEM arbitraria, sin sensores mecánicos</t>
  </si>
  <si>
    <t>10.35537/10915/1357</t>
  </si>
  <si>
    <t>http://sedici.unlp.edu.ar/handle/10915/1357</t>
  </si>
  <si>
    <t>New solutions for two permanent magnet AC machines control issues are proposed in this thesis. These issues are: ripple torque minimization and elimination of mechanical speed and/or position sensors.</t>
  </si>
  <si>
    <t>2004</t>
  </si>
  <si>
    <t>Universidad Nacional de La Plata</t>
  </si>
  <si>
    <t>http://creativecommons.org/licenses/by/4.0/</t>
  </si>
  <si>
    <t>Doctor en Ingeniería</t>
  </si>
  <si>
    <t>C:\Users\damia\Zotero\storage\3ISD5I7K\De Angelo - 2004 - Control para máquinas de CA de imanes permanentes con FEM arbitraria, sin sensores mecánicos.pdf</t>
  </si>
  <si>
    <t>Aporta a la estructura de mi tesis?</t>
  </si>
  <si>
    <t>Se parece demasiado a mi tesis</t>
  </si>
  <si>
    <t>Aporta con RI controller
Aporta con THD análisis</t>
  </si>
  <si>
    <t>Aporta con gráficas de como se comporta un motor</t>
  </si>
  <si>
    <t>Se puede referenciar los distintos tipos de HFI
Análisis de sensibilidad</t>
  </si>
  <si>
    <t>Aporta con PR frente a cogging
Realiza un análisis minimo de sampling error</t>
  </si>
  <si>
    <t xml:space="preserve">Imágenes referenciales de un motor
Ecuaciones MTPA
</t>
  </si>
  <si>
    <t>Sirve como referencia de otro tipo de control para reducir cogging</t>
  </si>
  <si>
    <t>Menciona el cogging, intenta compensarlo mediante LUT</t>
  </si>
  <si>
    <t>Habla sobre steppers y un observador
Calculos de algunas ganancias Kp y Ti</t>
  </si>
  <si>
    <t>Usa HFI
Estructura de distintos modos de sensorless control of PMSM</t>
  </si>
  <si>
    <t>Análisis de estabilidad del error?</t>
  </si>
  <si>
    <t>Análisis de observabilidad en función de las corrientes</t>
  </si>
  <si>
    <t>más analisis de observabilidad (Jacobiano)</t>
  </si>
  <si>
    <t>Compara EKF vs UFK usando MPC</t>
  </si>
  <si>
    <t>Sólo muestra algo de HFI</t>
  </si>
  <si>
    <t>Usa potencia activa y reactiva para controlar y compensar</t>
  </si>
  <si>
    <t>no presenta cogging</t>
  </si>
  <si>
    <t>solo controla corrientes observando velocidad</t>
  </si>
  <si>
    <t>Presenta algunas definiciones de HFI
usa cogging pero mapeado</t>
  </si>
  <si>
    <t>define un área pequeña de baja observabilidad</t>
  </si>
  <si>
    <t>Usa LF y HF para compensar cogging y sensorless.
No explica como*</t>
  </si>
  <si>
    <t>Realiza algunas buenas preguntas y objetivos respecto a la tesis</t>
  </si>
  <si>
    <t>Estructura referencial de gráfica de corrientes</t>
  </si>
  <si>
    <t>Observa carga y velocidad
Usa fuzzy logic</t>
  </si>
  <si>
    <t>sensorless control</t>
  </si>
  <si>
    <t>Doble observador</t>
  </si>
  <si>
    <t>Wm,Tl,theta_e</t>
  </si>
  <si>
    <t>Usa un método alternativo para corregir velocidad</t>
  </si>
  <si>
    <t>Habla sobre el cogging</t>
  </si>
  <si>
    <t>Usa encoder</t>
  </si>
  <si>
    <t>Existe</t>
  </si>
  <si>
    <t>SI</t>
  </si>
  <si>
    <t>Demostración de la derivada de Lie
Estima Pm flux linkage, Tx</t>
  </si>
  <si>
    <t>Estimar velocidad frente a perturbaciones</t>
  </si>
  <si>
    <t>extendido</t>
  </si>
  <si>
    <t>PM flux linkage
Tx</t>
  </si>
  <si>
    <t>Tabla comparativa de modelos extendidos de UKF</t>
  </si>
  <si>
    <t>Estima carga con sensorless</t>
  </si>
  <si>
    <t>EKF + DOB</t>
  </si>
  <si>
    <t>Tx,Wm,theta_e</t>
  </si>
  <si>
    <t>Estima cargas
Demuestra como la ley de control puede tender a 0
Tabla que me gusta</t>
  </si>
  <si>
    <t>Control de velocidad sensorless</t>
  </si>
  <si>
    <t xml:space="preserve">Intenta demostrar que es localmente no-observable a velocidad 0
</t>
  </si>
  <si>
    <t>control velocidad sensorless</t>
  </si>
  <si>
    <t>No muestra velocidad</t>
  </si>
  <si>
    <t>No muestra la velocidad minima.
Demuestra calculo de como calcular la velocida minima (y cómo depende del ángulo) y cómo este depende de la corriente Id y Iq</t>
  </si>
  <si>
    <t>Estudio de observabilidad</t>
  </si>
  <si>
    <t>Observabilidad considerando el HFI</t>
  </si>
  <si>
    <t>Habla de aprovechar la saliencia para aumentar el torque (MTPA)</t>
  </si>
  <si>
    <t>Análisis de observabilidad</t>
  </si>
  <si>
    <t>Reducir ripple sensorless</t>
  </si>
  <si>
    <t>Observador</t>
  </si>
  <si>
    <t>fem</t>
  </si>
  <si>
    <t>Usa velocidad media, no la "real"</t>
  </si>
  <si>
    <t>Thesis que se acerca bastante a la mia. Reduce el ripple de FEM. Propone reducir el ripple de cogging.
Muy buena estructura</t>
  </si>
  <si>
    <t>Review de sensorless
vale la pena hecharle una mirada para referencias</t>
  </si>
  <si>
    <t>Mi santo grial de mi EKF</t>
  </si>
  <si>
    <t>No entiendo lo que dice</t>
  </si>
  <si>
    <t>Demuestra que la observabilidad no depende solo de la velocidad</t>
  </si>
  <si>
    <t>sensorless velocidad</t>
  </si>
  <si>
    <t>Presenta algunas ecuaciones</t>
  </si>
  <si>
    <t>paper favorito que demuestra que mientras haya derivadas en Id y Iq (con saliencia) existirá observabilidad</t>
  </si>
  <si>
    <t>Utilidad</t>
  </si>
  <si>
    <t>PSMSM</t>
  </si>
  <si>
    <t>velocidad sensorless</t>
  </si>
  <si>
    <t>iterative learning</t>
  </si>
  <si>
    <t>Estructura del HFI que utilizo</t>
  </si>
  <si>
    <t>F4D6ZWHC</t>
  </si>
  <si>
    <t>Wu, Chun-Ju; Tsai, Mi-Ching; Cheng, Lon-Jay</t>
  </si>
  <si>
    <t>Design and Implementation of Position-Based Repetitive Control Torque Observer for Cogging Torque Compensation in PMSM</t>
  </si>
  <si>
    <t>10.3390/app10010096</t>
  </si>
  <si>
    <t>https://www.mdpi.com/2076-3417/10/1/96</t>
  </si>
  <si>
    <t>In permanent magnet machines, the cogging torque caused by reluctance variations in the air gap may degrade the speed control performance in low speed and will undoubtedly limit its operational range. In order to reduce the cogging torque, this paper proposes a position-based repetitive control observer aiming at cogging torque estimation and further rejection. This new scheme of observer design possesses the capability of repeatedly learning the observed clogging torque in each rotation to achieve higher estimation accuracy. An online/oﬄine feedforward compensation strategy that employs the forgetting factor principle and position-based average generates the cogging torque compensation lookup table learned from the position-based repetitive control observer. To verify the overall control performance of the proposed observed design technique, a hardware in the loop control device is employed, and then an experimental setup with a permanent magnet synchronous motor and its power drive was adopted.</t>
  </si>
  <si>
    <t>2019-12-20</t>
  </si>
  <si>
    <t>96</t>
  </si>
  <si>
    <t>C:\Users\damia\Zotero\storage\76QXDNLY\Wu et al. - 2019 - Design and Implementation of Position-Based Repetitive Control Torque Observer for Cogging Torque Co.pdf</t>
  </si>
  <si>
    <t>TQHW9T5Q</t>
  </si>
  <si>
    <t>Xiang, Fuyuan; Yu, Ke; Chen, Congyan; Li, Shihua</t>
  </si>
  <si>
    <t>Sensorless Control of PMSM Drives Using Octant Newton–Raphson Method and Reduced-Order EKF Considering Speed Reversal and Noise</t>
  </si>
  <si>
    <t>10.1109/TPEL.2025.3556963</t>
  </si>
  <si>
    <t>https://ieeexplore.ieee.org/document/10946691/</t>
  </si>
  <si>
    <t>For back electromotive force-based sensorless control in permanent magnet synchronous motor (PMSM) drives, the conventional phase-locked loop (PLL) exhibits a ±π position estimation error during speed reversal. This article presents an octant Newton–Raphson method (ONRM)-based PLL, which employs a newly deﬁned objective function and a position octant method. It not only ensures the position estimation converges correctly during speed reversal but also improves dynamic performance compared to the conventional PLL. The applicability condition of the ONRM in the presence of noise is also analyzed in detail. Subsequently, due to the noise sensitivity of the ONRM, a reduced-order extended Kalman ﬁlter is designed to ﬁlter out the nonGaussian noise in the position estimation while simultaneously estimating the speed. The effectiveness of the proposed sensorless control scheme is veriﬁed on a 1.5 kW PMSM drive platform.</t>
  </si>
  <si>
    <t>2025-08</t>
  </si>
  <si>
    <t>10793-10803</t>
  </si>
  <si>
    <t>C:\Users\damia\Zotero\storage\QM2XQIPL\Xiang et al. - 2025 - Sensorless Control of PMSM Drives Using Octant Newton–Raphson Method and Reduced-Order EKF Consideri.pdf</t>
  </si>
  <si>
    <t>59DCMGKU</t>
  </si>
  <si>
    <t>Sekine, Naohiko; Kubota, Hisao</t>
  </si>
  <si>
    <t>Suppression of Velocity Pulsations with Resonant Controllers in Sensorless Vector Control of Permanent Magnet Synchronous Motors</t>
  </si>
  <si>
    <t>2024 27th International Conference on Electrical Machines and Systems (ICEMS)</t>
  </si>
  <si>
    <t>978-4-88686-440-6</t>
  </si>
  <si>
    <t>10.23919/ICEMS60997.2024.10920894</t>
  </si>
  <si>
    <t>https://ieeexplore.ieee.org/document/10920894/</t>
  </si>
  <si>
    <t>This paper proposes control methods to suppress periodic velocity pulsations caused by load torque in a rotary compressor during sensorless field-oriented control (FOC) of an interior permanent magnet synchronous motor (IPMSM). A primary contribution of this work is the introduction of two types of resonant controllers into the speed control system. These controllers effectively mitigate the periodic velocity pulsations caused by the fundamental and second harmonic components of the compressor's load torque. Stability analysis, where the dominant poles of the proposed sensorless control systems are determined at various speeds, demonstrates that the systems are internally stable over a wide speed range. Experimental results validate the suggested systems’ effectiveness in suppressing the periodic velocity pulsations by evaluating both steady-state and transient responses.</t>
  </si>
  <si>
    <t>2024-11-26</t>
  </si>
  <si>
    <t>524-531</t>
  </si>
  <si>
    <t>Fukuoka, Japan</t>
  </si>
  <si>
    <t>C:\Users\damia\Zotero\storage\WEWTS88K\Sekine y Kubota - 2024 - Suppression of Velocity Pulsations with Resonant Controllers in Sensorless Vector Control of Permane.pdf</t>
  </si>
  <si>
    <t>QYWR7S5G</t>
  </si>
  <si>
    <t>Sangeetha, Elango; Ramachandran, Vijaya Priya</t>
  </si>
  <si>
    <t>Speed and current harmonics reduction using an adaptive proportional integral resonant controller for PMSM based electric vehicle drives</t>
  </si>
  <si>
    <t>10.1038/s41598-025-09981-1</t>
  </si>
  <si>
    <t>https://www.nature.com/articles/s41598-025-09981-1</t>
  </si>
  <si>
    <t>Abstract             The use of permanent magnet synchronous machine (PMSM) in vehicle propulsion systems is growing in prominence. The machines provide greater torque density and efficiency as a result of PMSM pre-excitation. However, because of their poor torsional vibration dampening, their intrinsic torque ripple may provide a challenge for electric vehicles (EVs) and degrade passenger comfort. This may prohibit the utilization of PMSM to increase the energy economy of vehicles. This paper proposed a speed-current adaptive proportional-integral-resonant (PIR) control strategy to reduce periodic torque harmonics and provide smooth speed control of the PMSM drive system. The effects of several non-ideal components on speed and current components are analyzed according to their location in the system. The components include rotor flux harmonics, cogging torque, inaccurate current measurement including offset error and scaling error, and inverter dead time error, these components all lead to periodic torque harmonics. In order to determine the best phase adjustment parameters for the resonant item to minimize speed-torque harmonics and ensure system stability, stability analysis is carried out to take into account the delays brought on by the current loop and speed loop. Consequently, the PMSM drive system’s stability, overall performance, and efficiency are enhanced due to the decreased harmonics in the speed and current loop. Ultimately, the findings of the simulation and real-time simulator utilizing the OPAL-RT OP5700 platform show that the proposed adaptive PIR control method successfully lowers the periodic speed-current harmonics THD values of the PMSM drive when compared to conventional control strategies. The proposed control system is more stable and efficient as a result of lower THD values.</t>
  </si>
  <si>
    <t>2025-07-22</t>
  </si>
  <si>
    <t>26514</t>
  </si>
  <si>
    <t>C:\Users\damia\Zotero\storage\BV5TRM7K\Sangeetha y Ramachandran - 2025 - Speed and current harmonics reduction using an adaptive proportional integral resonant controller fo.pdf</t>
  </si>
  <si>
    <t>K6I2Z6B2</t>
  </si>
  <si>
    <t>Bai, Xiyue; Huang, Weiguang; Gao, Chuang; Wu, Yingna</t>
  </si>
  <si>
    <t>Sensorless Control of Ultra-High-Speed PMSM via Improved PR and Adaptive Position Observer</t>
  </si>
  <si>
    <t>Sensors</t>
  </si>
  <si>
    <t>1424-8220</t>
  </si>
  <si>
    <t>10.3390/s25051290</t>
  </si>
  <si>
    <t>https://www.mdpi.com/1424-8220/25/5/1290</t>
  </si>
  <si>
    <t>To improve the precision of the position and speed estimation in ultra-high-speed (UHS) permanent magnet synchronous motors (PMSM) without position sensors, multiple refinements to the traditional extended electromotive force (EEMF) estimation algorithm are proposed in this paper. The key improvements include discretization compensation, high-frequency harmonic filtering, and the real-time adjustment of the phase-locked loop (PLL) bandwidth. Firstly, a discrete model is introduced to address EMF cross-coupling issues. Secondly, an improved proportional resonant (IPR) controller eliminating static errors is utilized in place of the conventional proportional-integral (PI) controller and low-pass filter (LPF) to enable precise electromotive force extraction, effectively filtering high-frequency harmonics that arise in low carrier ratio conditions. Based on a standard PR design, the IPR controller offers a streamlined calculation for target leading angles in delay compensation schemes to effectively mitigate discretization and delay errors. Additionally, an adaptive phase-locked loop (AQPLL) dynamically adjusts its bandwidth during acceleration to balance noise rejection and phase delay, reducing position estimation errors and optimizing torque. Simulations and experimental analyses on a motor (90,000 rpm, 30 kW) validate the effectiveness of the proposed sensorless driving techniques and demonstrate enhanced performance in position and velocity estimation, compared to the conventional EEMF approach.</t>
  </si>
  <si>
    <t>2025-02-20</t>
  </si>
  <si>
    <t>1290</t>
  </si>
  <si>
    <t>C:\Users\damia\Zotero\storage\F2WD62IQ\Bai et al. - 2025 - Sensorless Control of Ultra-High-Speed PMSM via Improved PR and Adaptive Position Observer.pdf</t>
  </si>
  <si>
    <t>BF96HX3B</t>
  </si>
  <si>
    <t>Wang, Jieqiong; Liu, Bin; Fransson, Peter; Norrlof, Mikael</t>
  </si>
  <si>
    <t>Torque Ripple Minimization of PMSM Using Resonant Controller in Robot Applications</t>
  </si>
  <si>
    <t>2025 IEEE International Conference on Mechatronics and Automation (ICMA)</t>
  </si>
  <si>
    <t>979-8-3315-1426-6</t>
  </si>
  <si>
    <t>10.1109/ICMA65362.2025.11120791</t>
  </si>
  <si>
    <t>https://ieeexplore.ieee.org/document/11120791/</t>
  </si>
  <si>
    <t>Torque ripples in Permanent Magnet Synchronous Motors (PMSMs) are a significant challenge in high-precision applications, as it limits servo control accuracy and speed stability. A novel scheme is proposed to minimize torque ripples by a resonant controller based on speed harmonic minimization in this paper. This scheme leverages the relationship between speed harmonics and injected voltage harmonics, where the voltage harmonics are directly generated by the speed resonant controller responding to the detected speed harmonics. Compared to stateof-the-art methods for reducing torque ripple, the proposed scheme is simpler to implement in robotic systems, as it abandoned current harmonic compensation link and does not depend on specific motor parameters or motor control parameters. It has been simulated and experimentally validated under two test benches. The results demonstrate that the proposed scheme enhances servo system control accuracy.</t>
  </si>
  <si>
    <t>2025-08-03</t>
  </si>
  <si>
    <t>408-413</t>
  </si>
  <si>
    <t>Beijing, China</t>
  </si>
  <si>
    <t>C:\Users\damia\Zotero\storage\V8UAWHVQ\Wang et al. - 2025 - Torque Ripple Minimization of PMSM Using Resonant Controller in Robot Applications.pdf</t>
  </si>
  <si>
    <t>HZMPHCAI</t>
  </si>
  <si>
    <t>Rafaq, M. S.; Midgley, W.; Steffen, T.</t>
  </si>
  <si>
    <t>Proportional-integral-resonant control for the periodic disturbance minimization of the PMSM</t>
  </si>
  <si>
    <t>IET Conference Proceedings</t>
  </si>
  <si>
    <t>2732-4494</t>
  </si>
  <si>
    <t>10.1049/icp.2022.1054</t>
  </si>
  <si>
    <t>http://digital-library.theiet.org/doi/10.1049/icp.2022.1054</t>
  </si>
  <si>
    <t>This paper presents the periodic disturbance minimization technique by using the proportional-integral-resonant (PIR) control scheme for the permanent magnet synchronous motors (PMSM). Flux harmonics, cogging torque, and the current sampling errors are the prominent sources of the periodic disturbances in the PMSM. The conventional proportional-integral (PI) control scheme is widely employed in the cascaded control structure to regulate the PMSM for the specified speed and control references. However, the conventional PI controllers cannot effectively minimize the periodic disturbances which produce the speed and torque ripples. Therefore, the resonant controller is coupled with the PI controller in the current control loop to minimize the periodic disturbances of the PMSM. The bandwidth of the resonant controllers is determined by the selection of the suitable gains by using the bode plot analysis. In addition, the impact of the speed change on the bandwidth of the resonant controllers is also investigated in detail by using the bode plot analysis. Finally, the comparative results of the conventional PI controller are compared with the proposed PIR current control to highlight its control efficacy. The simulation results demonstrate the better performance of the PIR control for the wide operating range compared to the conventional PI controller.</t>
  </si>
  <si>
    <t>2022-07-05</t>
  </si>
  <si>
    <t>240-244</t>
  </si>
  <si>
    <t>IET Conf. Proc.</t>
  </si>
  <si>
    <t>C:\Users\damia\Zotero\storage\I4YHUKLA\Rafaq et al. - 2022 - Proportional-integral-resonant control for the periodic disturbance minimization of the PMSM.pdf</t>
  </si>
  <si>
    <t>reduce ripple cogging</t>
  </si>
  <si>
    <t>Solo LUT cogging</t>
  </si>
  <si>
    <t>Resonant controller</t>
  </si>
  <si>
    <t>resonant controller</t>
  </si>
  <si>
    <t>Torque</t>
  </si>
  <si>
    <t>90 +- 5 -&gt; 90 +- 1</t>
  </si>
  <si>
    <t>No es low-speed 
No presenta carga
¿Cómo observa perturbaciones tan rápidas?</t>
  </si>
  <si>
    <t>Se acerca bastante a mi tema</t>
  </si>
  <si>
    <t>corriente</t>
  </si>
  <si>
    <t>50% aprox</t>
  </si>
  <si>
    <t>tiene bastantes ecuaciones que me servirian
tiene bastantes gráficas comparativas</t>
  </si>
  <si>
    <t>PR reduce ripple</t>
  </si>
  <si>
    <t>extended back-emf</t>
  </si>
  <si>
    <t>back-emf,theta_e,Wm</t>
  </si>
  <si>
    <t>Compensa otras perturbaciones, como harmónicos de alta frecuencia</t>
  </si>
  <si>
    <t>IPR, AQPLL,</t>
  </si>
  <si>
    <t>theta_e?</t>
  </si>
  <si>
    <t>100+- to nearby 0</t>
  </si>
  <si>
    <t>Utiliza PR, y varias técnicas que reducen el error
No es Low-speed</t>
  </si>
  <si>
    <t>Hartas gráficas
ecuaciones y PLL
reduce harmónicos de otras perturbaciones</t>
  </si>
  <si>
    <t>voltaje</t>
  </si>
  <si>
    <t>0.0938 -&gt; 0.0023</t>
  </si>
  <si>
    <t>Utiliza RC en voltaje</t>
  </si>
  <si>
    <t>Se parece a mi tesis, no es sensorless</t>
  </si>
  <si>
    <t>reducir distintos tipos de harmónicos</t>
  </si>
  <si>
    <t>se reduce, no hay datos</t>
  </si>
  <si>
    <t>No se vé reducción de la velocidad. Creo que usó las mismas gráficas. No es sensorless, No es low-speed</t>
  </si>
  <si>
    <t>Usa distintos PIR tanto en velocidad como corriente</t>
  </si>
  <si>
    <t>Me baso en su diagrama de PR
reduce harmónicos de corriente, deadtime, y cogging</t>
  </si>
  <si>
    <t>Electromagnetic torque; interior permanent magnet synchronous motor; MATLAB simulation; saliency ratio; stator currents</t>
  </si>
  <si>
    <t>Mathematics - Classical Analysis and ODEs</t>
  </si>
  <si>
    <t>P7DVJCBQ</t>
  </si>
  <si>
    <t>Nam, Kyung-Tae; Kim, Hyungjong; Lee, Seung-Joon; Kuc, Tae-Yong</t>
  </si>
  <si>
    <t>Observer-Based Rejection of Cogging Torque Disturbance for Permanent Magnet Motors</t>
  </si>
  <si>
    <t>10.3390/app7090867</t>
  </si>
  <si>
    <t>https://www.mdpi.com/2076-3417/7/9/867</t>
  </si>
  <si>
    <t>In order to prove the speed regulation for permanent magnet motor systems, a control method is proposed to reject the disturbance by cogging torque, which arises from the interaction of the rotor magnets with the steel teeth on the stator. Toward this aim, we present a state observer with an internal model which has harmonics of sinusoids, and it follows from the proposed observer that the information of the cogging disturbance is obtained. It shows that the disturbance is efﬁciently compensated by a suitable additional control input based on the estimated information. Simulation and experimental results with an actual permanent magnet motor verify the effectiveness of the proposed observer-based algorithm.</t>
  </si>
  <si>
    <t>2017-08-25</t>
  </si>
  <si>
    <t>867</t>
  </si>
  <si>
    <t>C:\Users\damia\Zotero\storage\MJFZ5BGX\Nam et al. - 2017 - Observer-Based Rejection of Cogging Torque Disturbance for Permanent Magnet Motors.pdf</t>
  </si>
  <si>
    <t>L8L8X8IK</t>
  </si>
  <si>
    <t>C:\Users\damia\Zotero\storage\UX8H4AA8\Wu et al. - 2019 - Design and Implementation of Position-Based Repetitive Control Torque Observer for Cogging Torque Co.pdf</t>
  </si>
  <si>
    <t>F28DY3B6</t>
  </si>
  <si>
    <t>Hu, Mingjin; Hua, Wei; Wang, Zuo; Li, Shihua; Wang, Peixin; Wang, Yuchen</t>
  </si>
  <si>
    <t>Selective Periodic Disturbance Elimination Using Extended Harmonic State Observer for Smooth Speed Control in PMSM Drives</t>
  </si>
  <si>
    <t>10.1109/TPEL.2022.3187125</t>
  </si>
  <si>
    <t>https://ieeexplore.ieee.org/document/9810524/</t>
  </si>
  <si>
    <t>The elimination of periodic torque disturbance in permanent magnet synchronous machine (PMSM) drives is a multifrequency control task, and adding resonant parts to the controller has an impact on the robustness of the system. This article aims to address the torque-ripple reduction in PMSM drives for smooth speed control, where an extended harmonic state observer (EHSO) is designed for estimation and attenuation of the selective periodic disturbance. The defects of applying the conventional bandwidthparameterization method to the harmonic disturbance observer are explored. To improve the disturbance-rejection capability and the relative stability, a pole-placement strategy is proposed and analyzed through sensitivity function, which can preserve the comparable dynamic performance as the conventional extended state observer at the low-frequency range. The proposed EHSO also features easy parameter tuning and a modular structure for multiple harmonic disturbance rejection. Finally, the proposed method is evaluated on a laboratory PMSM platform.</t>
  </si>
  <si>
    <t>2022-11</t>
  </si>
  <si>
    <t>13288-13298</t>
  </si>
  <si>
    <t>C:\Users\damia\Zotero\storage\SYFS27A7\Hu et al. - 2022 - Selective Periodic Disturbance Elimination Using Extended Harmonic State Observer for Smooth Speed C.pdf</t>
  </si>
  <si>
    <t>ESO</t>
  </si>
  <si>
    <t>Utilidad de estados extendidos, no es sensorless</t>
  </si>
  <si>
    <t>Sumatorias</t>
  </si>
  <si>
    <t>Harmónicos? Polos zeros?</t>
  </si>
  <si>
    <t>Cogging,Tx</t>
  </si>
  <si>
    <t>3KVXWD64</t>
  </si>
  <si>
    <t>Bolognani, S.; Tubiana, L.; Zigliotto, M.</t>
  </si>
  <si>
    <t>EKF-based sensorless IPM synchronous motor drive for flux-weakening applications</t>
  </si>
  <si>
    <t>Conference Record of the 2002 IEEE Industry Applications Conference. 37th IAS Annual Meeting (Cat. No.02CH37344)</t>
  </si>
  <si>
    <t>978-0-7803-7420-1</t>
  </si>
  <si>
    <t>10.1109/IAS.2002.1044075</t>
  </si>
  <si>
    <t>http://ieeexplore.ieee.org/document/1044075/</t>
  </si>
  <si>
    <t>The paper deals with the experimental realisation of a sensorless interior permanent magnet (IPM) synchronous motor drive. The motor has been specifically designed to get a wide fluxweakening region, to minimise the drive power rating in spite of a wide speed range. Position and angular speed of the rotor are obtained through an Extended Kalman Filter (EKF). The estimation algorithm requires neither the knowledge of the mechanical parameters, nor the initial rotor position. In the paper, particular emphasis is placed on control algorithms, that are complicated by the motor anisotropy and that have been specifically studied to enhance the overall system performance.</t>
  </si>
  <si>
    <t>2002</t>
  </si>
  <si>
    <t>112-119</t>
  </si>
  <si>
    <t>C:\Users\damia\Zotero\storage\44MSBLQV\Bolognani et al. - 2002 - EKF-based sensorless IPM synchronous motor drive for flux-weakening applications.pdf</t>
  </si>
  <si>
    <t>2002 IEEE Industry Applications Society Annual Meeting</t>
  </si>
  <si>
    <t>62GKKTZI</t>
  </si>
  <si>
    <t>Chen, Wen-Hua; Yang, Jun; Guo, Lei; Li, Shihua</t>
  </si>
  <si>
    <t>Disturbance-Observer-Based Control and Related Methods—An Overview</t>
  </si>
  <si>
    <t>10.1109/TIE.2015.2478397</t>
  </si>
  <si>
    <t>http://ieeexplore.ieee.org/document/7265050/</t>
  </si>
  <si>
    <t>Disturbance-observer-based control (DOBC) and related methods have been researched and applied in various industrial sectors in the last four decades. This survey, at ﬁrst time, gives a systematic and comprehensive tutorial and summary on the existing disturbance/ uncertainty estimation and attenuation techniques, most notably, DOBC, active disturbance rejection control, disturbance accommodation control, and composite hierarchical antidisturbance control. In all of these methods, disturbance and uncertainty are, in general, lumped together, and an observation mechanism is employed to estimate the total disturbance. This paper ﬁrst reviews a number of widely used linear and nonlinear disturbance/uncertainty estimation techniques and then discusses and compares various compensation techniques and the procedures of integrating disturbance/uncertainty compensation with a (predesigned) linear/nonlinear controller. It also provides concise tutorials of the main methods in this area with clear descriptions of their features. The application of this group of methods in various industrial sections is reviewed, with emphasis on the commercialization of some algorithms. The survey is ended with the discussion of future directions.</t>
  </si>
  <si>
    <t>2016-02</t>
  </si>
  <si>
    <t>1083-1095</t>
  </si>
  <si>
    <t>https://creativecommons.org/licenses/by/3.0/legalcode</t>
  </si>
  <si>
    <t>C:\Users\damia\Zotero\storage\IM76ZD6A\Chen et al. - 2016 - Disturbance-Observer-Based Control and Related Methods—An Overview.pdf</t>
  </si>
  <si>
    <t>3GPPPQWG</t>
  </si>
  <si>
    <t>Extended kalman filter tuning in sensorless PMSM drives</t>
  </si>
  <si>
    <t>0093-9994</t>
  </si>
  <si>
    <t>10.1109/TIA.2003.818991</t>
  </si>
  <si>
    <t>http://ieeexplore.ieee.org/document/1248259/</t>
  </si>
  <si>
    <t>The use of an extended Kalman filter (EKF) as a nonlinear speed and position observer for permanent-magnet synchronous motor drives is a mature research topic. Notwithstanding, the shift from research prototype to a market-ready product still calls for a solution to some implementation pitfalls. The major and still unsolved topic is the choice of the EKF covariance matrices. This paper replaces the usual trial-and-error method with a straightforward matrices choice. These matrices, possibly combined with a novel self-tuning procedure, should put the EKF drive much closer to an off-the-shelf product. The proposed method is based on the complete normalization of the EKF algorithm representation. Successful experimental results are included in the paper.</t>
  </si>
  <si>
    <t>2003-11</t>
  </si>
  <si>
    <t>1741-1747</t>
  </si>
  <si>
    <t>C:\Users\damia\Zotero\storage\TS4TP46E\Bolognani et al. - 2003 - Extended kalman filter tuning in sensorless PMSM drives.pdf</t>
  </si>
  <si>
    <t>L3DEKKWX</t>
  </si>
  <si>
    <t>Zgorski, A.; Lin-Shi, X.; Gauthier, J.Y.</t>
  </si>
  <si>
    <t>Sensorless Position Control for Surface Permanent Magnet Synchronous Motors at Zero Speed and Acceleration</t>
  </si>
  <si>
    <t>IFAC Proceedings Volumes</t>
  </si>
  <si>
    <t>14746670</t>
  </si>
  <si>
    <t>10.3182/20130703-3-FR-4038.00084</t>
  </si>
  <si>
    <t>https://linkinghub.elsevier.com/retrieve/pii/S1474667016329329</t>
  </si>
  <si>
    <t>This paper proposes a position, speed and load torque observation technique for position control of a non-salient Permanent Magnet Synchronous Motor (PMSM). Unlike the speed control, the position control implies that the motor is often in low speed and standstill conditions. Observability analyze is done to show that the motor is not observable in standstill condition. A high-frequency signal injection is introduced to get round this unobservability. An Extended Kalman Filter is then used to observe the rotor position, speed and load torque by taking into account the injected signal into the observation model. Position tracking and load torque influence are studied on a test bench. Experimental results are provided to confirm the performance and efficiency of the proposed solution.</t>
  </si>
  <si>
    <t>2013</t>
  </si>
  <si>
    <t>122-127</t>
  </si>
  <si>
    <t>C:\Users\damia\Zotero\storage\XR9XYLRM\Zgorski et al. - 2013 - Sensorless Position Control for Surface Permanent Magnet Synchronous Motors at Zero Speed and Accele.pdf</t>
  </si>
  <si>
    <t>JW8WFTL2</t>
  </si>
  <si>
    <t>Wilcken, Nils; Grotjahn, Martin</t>
  </si>
  <si>
    <t>Rotor Position Estimation for Permanent Magnet Synchronous Machines using Electromotive Force and Anisotropy Using Extended-Kalman-Filter</t>
  </si>
  <si>
    <t>Forschung im Ingenieurwesen</t>
  </si>
  <si>
    <t>0015-7899, 1434-0860</t>
  </si>
  <si>
    <t>10.1007/s10010-023-00660-z</t>
  </si>
  <si>
    <t>https://link.springer.com/10.1007/s10010-023-00660-z</t>
  </si>
  <si>
    <t>In this paper a new rotor position observer for permanent magnet synchronous machines (PMSM) based on an Extended-Kalman-Filter (EKF) is presented. With this method, just one single EKF is sufﬁcent to evaluate the position information from electromotive force (EMF) and anisotropy. Thus, the PMSM can be controlled for the entire speed range without a position sensor and without the need to switch or synchronize between different observers. The approach covers online estimation of permanent magnetic ﬁeld and mechanical load. The resulting EKF-based rotor position estimator is embedded in the existing cascaded control concept of the PMSM without need of additional angle trackers or signal ﬁlters. The experimental validation for the position sensorless control shows optimized dynamic behaviour.</t>
  </si>
  <si>
    <t>2023-06</t>
  </si>
  <si>
    <t>767-776</t>
  </si>
  <si>
    <t>Forsch Ingenieurwes</t>
  </si>
  <si>
    <t>C:\Users\damia\Zotero\storage\BZ49HGYS\Wilcken y Grotjahn - 2023 - Rotor Position Estimation for Permanent Magnet Synchronous Machines using Electromotive Force and An.pdf</t>
  </si>
  <si>
    <t>AQ7LMA27</t>
  </si>
  <si>
    <t>Petrovic, V.; Ortega, R.; Stankovic, A.M.; Tadmor, G.</t>
  </si>
  <si>
    <t>Design and implementation of an adaptive controller for torque ripple minimization in PM synchronous motors</t>
  </si>
  <si>
    <t>10.1109/63.867676</t>
  </si>
  <si>
    <t>https://ieeexplore.ieee.org/document/867676/</t>
  </si>
  <si>
    <t>This paper addresses the problem of torque ripple minimization in Permanent Magnet Synchronous Motors (PMSMs) and proposes an adaptive feedback structure as a solution. A model of PMSM that includes a torque ripple phenomenon is first developed and tested. While slightly different from the conventional one, our model is still compact and suitable for control. All parameters of the model have physical interpretation, and can either be measured directly or estimated in a numerically reliable procedure. An adaptive control algorithm is then described, enabling speed tracking while minimizing the torque ripple. Finally, the proposed algorithm is verified in simulations and implemented in a hardware setup. Experimental results show significant reduction of torque ripple (by 27 dB). Extensive analysis and simulations of hardware imposed limitations were performed as well, revealing and quantifying the issues that might affect practical ripple minimization performance.</t>
  </si>
  <si>
    <t>2000-09</t>
  </si>
  <si>
    <t>871-880</t>
  </si>
  <si>
    <t>C:\Users\damia\Zotero\storage\R5YZJ6AX\Petrovic et al. - 2000 - Design and implementation of an adaptive controller for torque ripple minimization in PM synchronous.pdf</t>
  </si>
  <si>
    <t>3UB4NH4S</t>
  </si>
  <si>
    <t>Young-Hoon Kim; In-Joong Ha</t>
  </si>
  <si>
    <t>A learning approach to precision speed control of servomotors and its application to a VCR</t>
  </si>
  <si>
    <t>10636536</t>
  </si>
  <si>
    <t>10.1109/87.772162</t>
  </si>
  <si>
    <t>http://ieeexplore.ieee.org/document/772162/</t>
  </si>
  <si>
    <t>This paper describes a learning control method that gives a low-cost solution to the high-precision speed regulation problem for servomotors in the presence of unknown and unstructured disturbance torque. The highlight of the learning control method is a “functional” update strategy based on steadystate oscillations of speed error. To show the generality of our work, we mathematically characterize the steady-state properties of the proposed learning system and then give a rigorous analysis for the convergence of the proposed update scheme. Furthermore, our experimental results using a commercial home-use VCR show that the proposed learning control method can be implemented at a low cost but can remarkably reduce the speed error.</t>
  </si>
  <si>
    <t>1999-07</t>
  </si>
  <si>
    <t>466-477</t>
  </si>
  <si>
    <t>C:\Users\damia\Zotero\storage\GS63VEU9\Young-Hoon Kim y In-Joong Ha - 1999 - A learning approach to precision speed control of servomotors and its application to a VCR.pdf</t>
  </si>
  <si>
    <t>TQ3VS5U9</t>
  </si>
  <si>
    <t>C:\Users\damia\Zotero\storage\AKA4FG77\Hu et al. - 2022 - Selective Periodic Disturbance Elimination Using Extended Harmonic State Observer for Smooth Speed C.pdf</t>
  </si>
  <si>
    <t>8CRRB7SQ</t>
  </si>
  <si>
    <t>Janiszewski, Dariusz</t>
  </si>
  <si>
    <t>Extended Kalman Filter Based Speed Sensorless PMSM Control with Load Reconstruction</t>
  </si>
  <si>
    <t>This paper describes a study and experimental verification of sensorless control of Permanent Magnet Synchronous Motor. This structure bases on the extended Kalman filter theory using only the measurement of the motor current for on-line estimation of speed, rotor position and load torque reconstruction. Control structure such as Kalman filtering, in real time requires a very fast signal processor in special way, adapted to perform complex mathematical calculations. The Digital Signal Processors have become cheaper and their performance greater. Without using position and torque sensors, it has become possible to apply described control structure as a cost-effective solution.</t>
  </si>
  <si>
    <t>C:\Users\damia\Zotero\storage\DX2MS8RR\Janiszewski - Extended Kalman Filter Based Speed Sensorless PMSM Control with Load Reconstruction.pdf</t>
  </si>
  <si>
    <t>CLQCX5JI</t>
  </si>
  <si>
    <t>Position sensorless extended and unscented Kalman filters with permanent magnet flux linkage and load torque estimation for surface-mounted PMSM</t>
  </si>
  <si>
    <t>Automatika</t>
  </si>
  <si>
    <t>0005-1144, 1848-3380</t>
  </si>
  <si>
    <t>10.1080/00051144.2024.2354643</t>
  </si>
  <si>
    <t>https://www.tandfonline.com/doi/full/10.1080/00051144.2024.2354643</t>
  </si>
  <si>
    <t>In this paper, novel position sensorless state estimators with improved robustness to permanent magnet (PM) flux linkage variations in permanent magnet synchronous machines (PMSMs) are presented. Unlike state estimators using conventional infinite inertia or electromechanical models, the estimators presented here can also estimate the PM flux linkage, so they are not sensitive to its uncertainty. For each models used for state estimation, a detailed observability study is presented. Due to the nonlinear models, extended and unscented Kalman filter algorithms are used for the implementation. To compare the sensitivity of conventional and proposed state estimators to uncertainty in electrical parameters, numerical simulations are carried out. In addition, the computational burden of the estimators is compared by real-time execution.</t>
  </si>
  <si>
    <t>2024-07-02</t>
  </si>
  <si>
    <t>1201-1212</t>
  </si>
  <si>
    <t>C:\Users\damia\Zotero\storage\7KJYAXUI\Horváth - 2024 - Position sensorless extended and unscented Kalman filters with permanent magnet flux linkage and loa.pdf</t>
  </si>
  <si>
    <t>Tunneo de PMSM</t>
  </si>
  <si>
    <t>Valores de matrices de EKF</t>
  </si>
  <si>
    <t xml:space="preserve">Solo para Ld = Lq </t>
  </si>
  <si>
    <t>review de observadores de perturbaciones</t>
  </si>
  <si>
    <t>Propone alguna solución para la velocidad instantánea</t>
  </si>
  <si>
    <t>Aumenta el estado para observar perturbaciones sensorless</t>
  </si>
  <si>
    <t>Modela/compensa cogging, no funciona a baja velocidad</t>
  </si>
  <si>
    <t>Compara muchos estados, analiza observabilidad
Tablas comparativas
No considera saliencia</t>
  </si>
  <si>
    <t xml:space="preserve">implementa el HFI voltaje como entrada adicional, evita usar LPF para el HFI
</t>
  </si>
  <si>
    <t>Resuelve ciertos problemas de oobservabilidad a zero velocidad, usa estados extendidos</t>
  </si>
  <si>
    <t>Propone estimar sensorless parámetros del motor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</si>
</sst>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u/>
      <sz val="11"/>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22" fontId="0" fillId="0" borderId="0" xfId="0" applyNumberFormat="1"/>
    <xf numFmtId="0" fontId="0" fillId="0" borderId="0" xfId="0" applyAlignment="1">
      <alignment wrapText="1"/>
    </xf>
    <xf numFmtId="0" fontId="0" fillId="0" borderId="0" xfId="0" quotePrefix="1" applyAlignment="1">
      <alignment wrapText="1"/>
    </xf>
    <xf numFmtId="22" fontId="0" fillId="0" borderId="0" xfId="0" applyNumberFormat="1" applyAlignment="1">
      <alignment wrapText="1"/>
    </xf>
    <xf numFmtId="14" fontId="0" fillId="0" borderId="0" xfId="0" applyNumberFormat="1" applyAlignment="1">
      <alignment wrapText="1"/>
    </xf>
    <xf numFmtId="16" fontId="0" fillId="0" borderId="0" xfId="0" applyNumberFormat="1" applyAlignment="1">
      <alignment wrapText="1"/>
    </xf>
    <xf numFmtId="17" fontId="0" fillId="0" borderId="0" xfId="0" applyNumberFormat="1" applyAlignment="1">
      <alignment wrapText="1"/>
    </xf>
    <xf numFmtId="0" fontId="0" fillId="0" borderId="0" xfId="0" applyAlignment="1">
      <alignment horizontal="center" vertical="center" wrapText="1"/>
    </xf>
    <xf numFmtId="9" fontId="0" fillId="0" borderId="0" xfId="0" applyNumberFormat="1" applyAlignment="1">
      <alignment horizontal="center" vertical="center" wrapText="1"/>
    </xf>
    <xf numFmtId="0" fontId="19" fillId="0" borderId="0" xfId="0" applyFont="1" applyAlignment="1">
      <alignment horizontal="center" vertical="center" wrapText="1"/>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518">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27" formatCode="dd/mm/yyyy\ h:mm"/>
      <alignment horizontal="general" vertical="bottom" textRotation="0" wrapText="1" indent="0" justifyLastLine="0" shrinkToFit="0" readingOrder="0"/>
    </dxf>
    <dxf>
      <numFmt numFmtId="27" formatCode="dd/mm/yyyy\ h:mm"/>
      <alignment horizontal="general" vertical="bottom" textRotation="0" wrapText="1" indent="0" justifyLastLine="0" shrinkToFit="0" readingOrder="0"/>
    </dxf>
    <dxf>
      <numFmt numFmtId="27" formatCode="dd/mm/yyyy\ h:mm"/>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mm"/>
    </dxf>
    <dxf>
      <numFmt numFmtId="27" formatCode="dd/mm/yyyy\ h:mm"/>
    </dxf>
    <dxf>
      <numFmt numFmtId="27" formatCode="dd/mm/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mm"/>
    </dxf>
    <dxf>
      <numFmt numFmtId="27" formatCode="dd/mm/yyyy\ h:mm"/>
    </dxf>
    <dxf>
      <numFmt numFmtId="27" formatCode="dd/mm/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mm"/>
    </dxf>
    <dxf>
      <numFmt numFmtId="27" formatCode="dd/mm/yyyy\ h:mm"/>
    </dxf>
    <dxf>
      <numFmt numFmtId="27" formatCode="dd/mm/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mm"/>
    </dxf>
    <dxf>
      <numFmt numFmtId="27" formatCode="dd/mm/yyyy\ h:mm"/>
    </dxf>
    <dxf>
      <numFmt numFmtId="27" formatCode="dd/mm/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2" connectionId="2" xr16:uid="{92D6707F-3101-479C-B0B6-F8B0A5A66A5F}" autoFormatId="16" applyNumberFormats="0" applyBorderFormats="0" applyFontFormats="0" applyPatternFormats="0" applyAlignmentFormats="0" applyWidthHeightFormats="0">
  <queryTableRefresh nextId="88">
    <queryTableFields count="87">
      <queryTableField id="1" name="Key" tableColumnId="1"/>
      <queryTableField id="2" name="Item Type" tableColumnId="2"/>
      <queryTableField id="3" name="Publication Year" tableColumnId="3"/>
      <queryTableField id="4" name="Author" tableColumnId="4"/>
      <queryTableField id="5" name="Title" tableColumnId="5"/>
      <queryTableField id="6" name="Publication Title" tableColumnId="6"/>
      <queryTableField id="7" name="ISBN" tableColumnId="7"/>
      <queryTableField id="8" name="ISSN" tableColumnId="8"/>
      <queryTableField id="9" name="DOI" tableColumnId="9"/>
      <queryTableField id="10" name="Url" tableColumnId="10"/>
      <queryTableField id="11" name="Abstract Note" tableColumnId="11"/>
      <queryTableField id="12" name="Date" tableColumnId="12"/>
      <queryTableField id="13" name="Date Added" tableColumnId="13"/>
      <queryTableField id="14" name="Date Modified" tableColumnId="14"/>
      <queryTableField id="15" name="Access Date" tableColumnId="15"/>
      <queryTableField id="16" name="Pages" tableColumnId="16"/>
      <queryTableField id="17" name="Num Pages" tableColumnId="17"/>
      <queryTableField id="18" name="Issue" tableColumnId="18"/>
      <queryTableField id="19" name="Volume" tableColumnId="19"/>
      <queryTableField id="20" name="Number Of Volumes" tableColumnId="20"/>
      <queryTableField id="21" name="Journal Abbreviation" tableColumnId="21"/>
      <queryTableField id="22" name="Short Title" tableColumnId="22"/>
      <queryTableField id="23" name="Series" tableColumnId="23"/>
      <queryTableField id="24" name="Series Number" tableColumnId="24"/>
      <queryTableField id="25" name="Series Text" tableColumnId="25"/>
      <queryTableField id="26" name="Series Title" tableColumnId="26"/>
      <queryTableField id="27" name="Publisher" tableColumnId="27"/>
      <queryTableField id="28" name="Place" tableColumnId="28"/>
      <queryTableField id="29" name="Language" tableColumnId="29"/>
      <queryTableField id="30" name="Rights" tableColumnId="30"/>
      <queryTableField id="31" name="Type" tableColumnId="31"/>
      <queryTableField id="32" name="Archive" tableColumnId="32"/>
      <queryTableField id="33" name="Archive Location" tableColumnId="33"/>
      <queryTableField id="34" name="Library Catalog" tableColumnId="34"/>
      <queryTableField id="35" name="Call Number" tableColumnId="35"/>
      <queryTableField id="36" name="Extra" tableColumnId="36"/>
      <queryTableField id="37" name="Notes" tableColumnId="37"/>
      <queryTableField id="38" name="File Attachments" tableColumnId="38"/>
      <queryTableField id="39" name="Link Attachments" tableColumnId="39"/>
      <queryTableField id="40" name="Manual Tags" tableColumnId="40"/>
      <queryTableField id="41" name="Automatic Tags" tableColumnId="41"/>
      <queryTableField id="42" name="Editor" tableColumnId="42"/>
      <queryTableField id="43" name="Series Editor" tableColumnId="43"/>
      <queryTableField id="44" name="Translator" tableColumnId="44"/>
      <queryTableField id="45" name="Contributor" tableColumnId="45"/>
      <queryTableField id="46" name="Attorney Agent" tableColumnId="46"/>
      <queryTableField id="47" name="Book Author" tableColumnId="47"/>
      <queryTableField id="48" name="Cast Member" tableColumnId="48"/>
      <queryTableField id="49" name="Commenter" tableColumnId="49"/>
      <queryTableField id="50" name="Composer" tableColumnId="50"/>
      <queryTableField id="51" name="Cosponsor" tableColumnId="51"/>
      <queryTableField id="52" name="Counsel" tableColumnId="52"/>
      <queryTableField id="53" name="Interviewer" tableColumnId="53"/>
      <queryTableField id="54" name="Producer" tableColumnId="54"/>
      <queryTableField id="55" name="Recipient" tableColumnId="55"/>
      <queryTableField id="56" name="Reviewed Author" tableColumnId="56"/>
      <queryTableField id="57" name="Scriptwriter" tableColumnId="57"/>
      <queryTableField id="58" name="Words By" tableColumnId="58"/>
      <queryTableField id="59" name="Guest" tableColumnId="59"/>
      <queryTableField id="60" name="Number" tableColumnId="60"/>
      <queryTableField id="61" name="Edition" tableColumnId="61"/>
      <queryTableField id="62" name="Running Time" tableColumnId="62"/>
      <queryTableField id="63" name="Scale" tableColumnId="63"/>
      <queryTableField id="64" name="Medium" tableColumnId="64"/>
      <queryTableField id="65" name="Artwork Size" tableColumnId="65"/>
      <queryTableField id="66" name="Filing Date" tableColumnId="66"/>
      <queryTableField id="67" name="Application Number" tableColumnId="67"/>
      <queryTableField id="68" name="Assignee" tableColumnId="68"/>
      <queryTableField id="69" name="Issuing Authority" tableColumnId="69"/>
      <queryTableField id="70" name="Country" tableColumnId="70"/>
      <queryTableField id="71" name="Meeting Name" tableColumnId="71"/>
      <queryTableField id="72" name="Conference Name" tableColumnId="72"/>
      <queryTableField id="73" name="Court" tableColumnId="73"/>
      <queryTableField id="74" name="References" tableColumnId="74"/>
      <queryTableField id="75" name="Reporter" tableColumnId="75"/>
      <queryTableField id="76" name="Legal Status" tableColumnId="76"/>
      <queryTableField id="77" name="Priority Numbers" tableColumnId="77"/>
      <queryTableField id="78" name="Programming Language" tableColumnId="78"/>
      <queryTableField id="79" name="Version" tableColumnId="79"/>
      <queryTableField id="80" name="System" tableColumnId="80"/>
      <queryTableField id="81" name="Code" tableColumnId="81"/>
      <queryTableField id="82" name="Code Number" tableColumnId="82"/>
      <queryTableField id="83" name="Section" tableColumnId="83"/>
      <queryTableField id="84" name="Session" tableColumnId="84"/>
      <queryTableField id="85" name="Committee" tableColumnId="85"/>
      <queryTableField id="86" name="History" tableColumnId="86"/>
      <queryTableField id="87" name="Legislative Body" tableColumnId="8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osExternos_3" connectionId="4" xr16:uid="{2A0D8511-A56B-4915-B754-87FF0661FD81}" autoFormatId="16" applyNumberFormats="0" applyBorderFormats="0" applyFontFormats="0" applyPatternFormats="0" applyAlignmentFormats="0" applyWidthHeightFormats="0">
  <queryTableRefresh nextId="88">
    <queryTableFields count="87">
      <queryTableField id="1" name="Key" tableColumnId="1"/>
      <queryTableField id="2" name="Item Type" tableColumnId="2"/>
      <queryTableField id="3" name="Publication Year" tableColumnId="3"/>
      <queryTableField id="4" name="Author" tableColumnId="4"/>
      <queryTableField id="5" name="Title" tableColumnId="5"/>
      <queryTableField id="6" name="Publication Title" tableColumnId="6"/>
      <queryTableField id="7" name="ISBN" tableColumnId="7"/>
      <queryTableField id="8" name="ISSN" tableColumnId="8"/>
      <queryTableField id="9" name="DOI" tableColumnId="9"/>
      <queryTableField id="10" name="Url" tableColumnId="10"/>
      <queryTableField id="11" name="Abstract Note" tableColumnId="11"/>
      <queryTableField id="12" name="Date" tableColumnId="12"/>
      <queryTableField id="13" name="Date Added" tableColumnId="13"/>
      <queryTableField id="14" name="Date Modified" tableColumnId="14"/>
      <queryTableField id="15" name="Access Date" tableColumnId="15"/>
      <queryTableField id="16" name="Pages" tableColumnId="16"/>
      <queryTableField id="17" name="Num Pages" tableColumnId="17"/>
      <queryTableField id="18" name="Issue" tableColumnId="18"/>
      <queryTableField id="19" name="Volume" tableColumnId="19"/>
      <queryTableField id="20" name="Number Of Volumes" tableColumnId="20"/>
      <queryTableField id="21" name="Journal Abbreviation" tableColumnId="21"/>
      <queryTableField id="22" name="Short Title" tableColumnId="22"/>
      <queryTableField id="23" name="Series" tableColumnId="23"/>
      <queryTableField id="24" name="Series Number" tableColumnId="24"/>
      <queryTableField id="25" name="Series Text" tableColumnId="25"/>
      <queryTableField id="26" name="Series Title" tableColumnId="26"/>
      <queryTableField id="27" name="Publisher" tableColumnId="27"/>
      <queryTableField id="28" name="Place" tableColumnId="28"/>
      <queryTableField id="29" name="Language" tableColumnId="29"/>
      <queryTableField id="30" name="Rights" tableColumnId="30"/>
      <queryTableField id="31" name="Type" tableColumnId="31"/>
      <queryTableField id="32" name="Archive" tableColumnId="32"/>
      <queryTableField id="33" name="Archive Location" tableColumnId="33"/>
      <queryTableField id="34" name="Library Catalog" tableColumnId="34"/>
      <queryTableField id="35" name="Call Number" tableColumnId="35"/>
      <queryTableField id="36" name="Extra" tableColumnId="36"/>
      <queryTableField id="37" name="Notes" tableColumnId="37"/>
      <queryTableField id="38" name="File Attachments" tableColumnId="38"/>
      <queryTableField id="39" name="Link Attachments" tableColumnId="39"/>
      <queryTableField id="40" name="Manual Tags" tableColumnId="40"/>
      <queryTableField id="41" name="Automatic Tags" tableColumnId="41"/>
      <queryTableField id="42" name="Editor" tableColumnId="42"/>
      <queryTableField id="43" name="Series Editor" tableColumnId="43"/>
      <queryTableField id="44" name="Translator" tableColumnId="44"/>
      <queryTableField id="45" name="Contributor" tableColumnId="45"/>
      <queryTableField id="46" name="Attorney Agent" tableColumnId="46"/>
      <queryTableField id="47" name="Book Author" tableColumnId="47"/>
      <queryTableField id="48" name="Cast Member" tableColumnId="48"/>
      <queryTableField id="49" name="Commenter" tableColumnId="49"/>
      <queryTableField id="50" name="Composer" tableColumnId="50"/>
      <queryTableField id="51" name="Cosponsor" tableColumnId="51"/>
      <queryTableField id="52" name="Counsel" tableColumnId="52"/>
      <queryTableField id="53" name="Interviewer" tableColumnId="53"/>
      <queryTableField id="54" name="Producer" tableColumnId="54"/>
      <queryTableField id="55" name="Recipient" tableColumnId="55"/>
      <queryTableField id="56" name="Reviewed Author" tableColumnId="56"/>
      <queryTableField id="57" name="Scriptwriter" tableColumnId="57"/>
      <queryTableField id="58" name="Words By" tableColumnId="58"/>
      <queryTableField id="59" name="Guest" tableColumnId="59"/>
      <queryTableField id="60" name="Number" tableColumnId="60"/>
      <queryTableField id="61" name="Edition" tableColumnId="61"/>
      <queryTableField id="62" name="Running Time" tableColumnId="62"/>
      <queryTableField id="63" name="Scale" tableColumnId="63"/>
      <queryTableField id="64" name="Medium" tableColumnId="64"/>
      <queryTableField id="65" name="Artwork Size" tableColumnId="65"/>
      <queryTableField id="66" name="Filing Date" tableColumnId="66"/>
      <queryTableField id="67" name="Application Number" tableColumnId="67"/>
      <queryTableField id="68" name="Assignee" tableColumnId="68"/>
      <queryTableField id="69" name="Issuing Authority" tableColumnId="69"/>
      <queryTableField id="70" name="Country" tableColumnId="70"/>
      <queryTableField id="71" name="Meeting Name" tableColumnId="71"/>
      <queryTableField id="72" name="Conference Name" tableColumnId="72"/>
      <queryTableField id="73" name="Court" tableColumnId="73"/>
      <queryTableField id="74" name="References" tableColumnId="74"/>
      <queryTableField id="75" name="Reporter" tableColumnId="75"/>
      <queryTableField id="76" name="Legal Status" tableColumnId="76"/>
      <queryTableField id="77" name="Priority Numbers" tableColumnId="77"/>
      <queryTableField id="78" name="Programming Language" tableColumnId="78"/>
      <queryTableField id="79" name="Version" tableColumnId="79"/>
      <queryTableField id="80" name="System" tableColumnId="80"/>
      <queryTableField id="81" name="Code" tableColumnId="81"/>
      <queryTableField id="82" name="Code Number" tableColumnId="82"/>
      <queryTableField id="83" name="Section" tableColumnId="83"/>
      <queryTableField id="84" name="Session" tableColumnId="84"/>
      <queryTableField id="85" name="Committee" tableColumnId="85"/>
      <queryTableField id="86" name="History" tableColumnId="86"/>
      <queryTableField id="87" name="Legislative Body" tableColumnId="8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tosExternos_2" connectionId="3" xr16:uid="{294F4635-A1FC-4B1D-9F1C-1F1CAD50639D}" autoFormatId="16" applyNumberFormats="0" applyBorderFormats="0" applyFontFormats="0" applyPatternFormats="0" applyAlignmentFormats="0" applyWidthHeightFormats="0">
  <queryTableRefresh nextId="88">
    <queryTableFields count="87">
      <queryTableField id="1" name="Key" tableColumnId="1"/>
      <queryTableField id="2" name="Item Type" tableColumnId="2"/>
      <queryTableField id="3" name="Publication Year" tableColumnId="3"/>
      <queryTableField id="4" name="Author" tableColumnId="4"/>
      <queryTableField id="5" name="Title" tableColumnId="5"/>
      <queryTableField id="6" name="Publication Title" tableColumnId="6"/>
      <queryTableField id="7" name="ISBN" tableColumnId="7"/>
      <queryTableField id="8" name="ISSN" tableColumnId="8"/>
      <queryTableField id="9" name="DOI" tableColumnId="9"/>
      <queryTableField id="10" name="Url" tableColumnId="10"/>
      <queryTableField id="11" name="Abstract Note" tableColumnId="11"/>
      <queryTableField id="12" name="Date" tableColumnId="12"/>
      <queryTableField id="13" name="Date Added" tableColumnId="13"/>
      <queryTableField id="14" name="Date Modified" tableColumnId="14"/>
      <queryTableField id="15" name="Access Date" tableColumnId="15"/>
      <queryTableField id="16" name="Pages" tableColumnId="16"/>
      <queryTableField id="17" name="Num Pages" tableColumnId="17"/>
      <queryTableField id="18" name="Issue" tableColumnId="18"/>
      <queryTableField id="19" name="Volume" tableColumnId="19"/>
      <queryTableField id="20" name="Number Of Volumes" tableColumnId="20"/>
      <queryTableField id="21" name="Journal Abbreviation" tableColumnId="21"/>
      <queryTableField id="22" name="Short Title" tableColumnId="22"/>
      <queryTableField id="23" name="Series" tableColumnId="23"/>
      <queryTableField id="24" name="Series Number" tableColumnId="24"/>
      <queryTableField id="25" name="Series Text" tableColumnId="25"/>
      <queryTableField id="26" name="Series Title" tableColumnId="26"/>
      <queryTableField id="27" name="Publisher" tableColumnId="27"/>
      <queryTableField id="28" name="Place" tableColumnId="28"/>
      <queryTableField id="29" name="Language" tableColumnId="29"/>
      <queryTableField id="30" name="Rights" tableColumnId="30"/>
      <queryTableField id="31" name="Type" tableColumnId="31"/>
      <queryTableField id="32" name="Archive" tableColumnId="32"/>
      <queryTableField id="33" name="Archive Location" tableColumnId="33"/>
      <queryTableField id="34" name="Library Catalog" tableColumnId="34"/>
      <queryTableField id="35" name="Call Number" tableColumnId="35"/>
      <queryTableField id="36" name="Extra" tableColumnId="36"/>
      <queryTableField id="37" name="Notes" tableColumnId="37"/>
      <queryTableField id="38" name="File Attachments" tableColumnId="38"/>
      <queryTableField id="39" name="Link Attachments" tableColumnId="39"/>
      <queryTableField id="40" name="Manual Tags" tableColumnId="40"/>
      <queryTableField id="41" name="Automatic Tags" tableColumnId="41"/>
      <queryTableField id="42" name="Editor" tableColumnId="42"/>
      <queryTableField id="43" name="Series Editor" tableColumnId="43"/>
      <queryTableField id="44" name="Translator" tableColumnId="44"/>
      <queryTableField id="45" name="Contributor" tableColumnId="45"/>
      <queryTableField id="46" name="Attorney Agent" tableColumnId="46"/>
      <queryTableField id="47" name="Book Author" tableColumnId="47"/>
      <queryTableField id="48" name="Cast Member" tableColumnId="48"/>
      <queryTableField id="49" name="Commenter" tableColumnId="49"/>
      <queryTableField id="50" name="Composer" tableColumnId="50"/>
      <queryTableField id="51" name="Cosponsor" tableColumnId="51"/>
      <queryTableField id="52" name="Counsel" tableColumnId="52"/>
      <queryTableField id="53" name="Interviewer" tableColumnId="53"/>
      <queryTableField id="54" name="Producer" tableColumnId="54"/>
      <queryTableField id="55" name="Recipient" tableColumnId="55"/>
      <queryTableField id="56" name="Reviewed Author" tableColumnId="56"/>
      <queryTableField id="57" name="Scriptwriter" tableColumnId="57"/>
      <queryTableField id="58" name="Words By" tableColumnId="58"/>
      <queryTableField id="59" name="Guest" tableColumnId="59"/>
      <queryTableField id="60" name="Number" tableColumnId="60"/>
      <queryTableField id="61" name="Edition" tableColumnId="61"/>
      <queryTableField id="62" name="Running Time" tableColumnId="62"/>
      <queryTableField id="63" name="Scale" tableColumnId="63"/>
      <queryTableField id="64" name="Medium" tableColumnId="64"/>
      <queryTableField id="65" name="Artwork Size" tableColumnId="65"/>
      <queryTableField id="66" name="Filing Date" tableColumnId="66"/>
      <queryTableField id="67" name="Application Number" tableColumnId="67"/>
      <queryTableField id="68" name="Assignee" tableColumnId="68"/>
      <queryTableField id="69" name="Issuing Authority" tableColumnId="69"/>
      <queryTableField id="70" name="Country" tableColumnId="70"/>
      <queryTableField id="71" name="Meeting Name" tableColumnId="71"/>
      <queryTableField id="72" name="Conference Name" tableColumnId="72"/>
      <queryTableField id="73" name="Court" tableColumnId="73"/>
      <queryTableField id="74" name="References" tableColumnId="74"/>
      <queryTableField id="75" name="Reporter" tableColumnId="75"/>
      <queryTableField id="76" name="Legal Status" tableColumnId="76"/>
      <queryTableField id="77" name="Priority Numbers" tableColumnId="77"/>
      <queryTableField id="78" name="Programming Language" tableColumnId="78"/>
      <queryTableField id="79" name="Version" tableColumnId="79"/>
      <queryTableField id="80" name="System" tableColumnId="80"/>
      <queryTableField id="81" name="Code" tableColumnId="81"/>
      <queryTableField id="82" name="Code Number" tableColumnId="82"/>
      <queryTableField id="83" name="Section" tableColumnId="83"/>
      <queryTableField id="84" name="Session" tableColumnId="84"/>
      <queryTableField id="85" name="Committee" tableColumnId="85"/>
      <queryTableField id="86" name="History" tableColumnId="86"/>
      <queryTableField id="87" name="Legislative Body" tableColumnId="8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atosExternos_1" connectionId="1" xr16:uid="{6B73AB29-9AFB-46C6-8592-84A3D47BE4C9}" autoFormatId="16" applyNumberFormats="0" applyBorderFormats="0" applyFontFormats="0" applyPatternFormats="0" applyAlignmentFormats="0" applyWidthHeightFormats="0">
  <queryTableRefresh nextId="88">
    <queryTableFields count="87">
      <queryTableField id="1" name="Key" tableColumnId="1"/>
      <queryTableField id="2" name="Item Type" tableColumnId="2"/>
      <queryTableField id="3" name="Publication Year" tableColumnId="3"/>
      <queryTableField id="4" name="Author" tableColumnId="4"/>
      <queryTableField id="5" name="Title" tableColumnId="5"/>
      <queryTableField id="6" name="Publication Title" tableColumnId="6"/>
      <queryTableField id="7" name="ISBN" tableColumnId="7"/>
      <queryTableField id="8" name="ISSN" tableColumnId="8"/>
      <queryTableField id="9" name="DOI" tableColumnId="9"/>
      <queryTableField id="10" name="Url" tableColumnId="10"/>
      <queryTableField id="11" name="Abstract Note" tableColumnId="11"/>
      <queryTableField id="12" name="Date" tableColumnId="12"/>
      <queryTableField id="13" name="Date Added" tableColumnId="13"/>
      <queryTableField id="14" name="Date Modified" tableColumnId="14"/>
      <queryTableField id="15" name="Access Date" tableColumnId="15"/>
      <queryTableField id="16" name="Pages" tableColumnId="16"/>
      <queryTableField id="17" name="Num Pages" tableColumnId="17"/>
      <queryTableField id="18" name="Issue" tableColumnId="18"/>
      <queryTableField id="19" name="Volume" tableColumnId="19"/>
      <queryTableField id="20" name="Number Of Volumes" tableColumnId="20"/>
      <queryTableField id="21" name="Journal Abbreviation" tableColumnId="21"/>
      <queryTableField id="22" name="Short Title" tableColumnId="22"/>
      <queryTableField id="23" name="Series" tableColumnId="23"/>
      <queryTableField id="24" name="Series Number" tableColumnId="24"/>
      <queryTableField id="25" name="Series Text" tableColumnId="25"/>
      <queryTableField id="26" name="Series Title" tableColumnId="26"/>
      <queryTableField id="27" name="Publisher" tableColumnId="27"/>
      <queryTableField id="28" name="Place" tableColumnId="28"/>
      <queryTableField id="29" name="Language" tableColumnId="29"/>
      <queryTableField id="30" name="Rights" tableColumnId="30"/>
      <queryTableField id="31" name="Type" tableColumnId="31"/>
      <queryTableField id="32" name="Archive" tableColumnId="32"/>
      <queryTableField id="33" name="Archive Location" tableColumnId="33"/>
      <queryTableField id="34" name="Library Catalog" tableColumnId="34"/>
      <queryTableField id="35" name="Call Number" tableColumnId="35"/>
      <queryTableField id="36" name="Extra" tableColumnId="36"/>
      <queryTableField id="37" name="Notes" tableColumnId="37"/>
      <queryTableField id="38" name="File Attachments" tableColumnId="38"/>
      <queryTableField id="39" name="Link Attachments" tableColumnId="39"/>
      <queryTableField id="40" name="Manual Tags" tableColumnId="40"/>
      <queryTableField id="41" name="Automatic Tags" tableColumnId="41"/>
      <queryTableField id="42" name="Editor" tableColumnId="42"/>
      <queryTableField id="43" name="Series Editor" tableColumnId="43"/>
      <queryTableField id="44" name="Translator" tableColumnId="44"/>
      <queryTableField id="45" name="Contributor" tableColumnId="45"/>
      <queryTableField id="46" name="Attorney Agent" tableColumnId="46"/>
      <queryTableField id="47" name="Book Author" tableColumnId="47"/>
      <queryTableField id="48" name="Cast Member" tableColumnId="48"/>
      <queryTableField id="49" name="Commenter" tableColumnId="49"/>
      <queryTableField id="50" name="Composer" tableColumnId="50"/>
      <queryTableField id="51" name="Cosponsor" tableColumnId="51"/>
      <queryTableField id="52" name="Counsel" tableColumnId="52"/>
      <queryTableField id="53" name="Interviewer" tableColumnId="53"/>
      <queryTableField id="54" name="Producer" tableColumnId="54"/>
      <queryTableField id="55" name="Recipient" tableColumnId="55"/>
      <queryTableField id="56" name="Reviewed Author" tableColumnId="56"/>
      <queryTableField id="57" name="Scriptwriter" tableColumnId="57"/>
      <queryTableField id="58" name="Words By" tableColumnId="58"/>
      <queryTableField id="59" name="Guest" tableColumnId="59"/>
      <queryTableField id="60" name="Number" tableColumnId="60"/>
      <queryTableField id="61" name="Edition" tableColumnId="61"/>
      <queryTableField id="62" name="Running Time" tableColumnId="62"/>
      <queryTableField id="63" name="Scale" tableColumnId="63"/>
      <queryTableField id="64" name="Medium" tableColumnId="64"/>
      <queryTableField id="65" name="Artwork Size" tableColumnId="65"/>
      <queryTableField id="66" name="Filing Date" tableColumnId="66"/>
      <queryTableField id="67" name="Application Number" tableColumnId="67"/>
      <queryTableField id="68" name="Assignee" tableColumnId="68"/>
      <queryTableField id="69" name="Issuing Authority" tableColumnId="69"/>
      <queryTableField id="70" name="Country" tableColumnId="70"/>
      <queryTableField id="71" name="Meeting Name" tableColumnId="71"/>
      <queryTableField id="72" name="Conference Name" tableColumnId="72"/>
      <queryTableField id="73" name="Court" tableColumnId="73"/>
      <queryTableField id="74" name="References" tableColumnId="74"/>
      <queryTableField id="75" name="Reporter" tableColumnId="75"/>
      <queryTableField id="76" name="Legal Status" tableColumnId="76"/>
      <queryTableField id="77" name="Priority Numbers" tableColumnId="77"/>
      <queryTableField id="78" name="Programming Language" tableColumnId="78"/>
      <queryTableField id="79" name="Version" tableColumnId="79"/>
      <queryTableField id="80" name="System" tableColumnId="80"/>
      <queryTableField id="81" name="Code" tableColumnId="81"/>
      <queryTableField id="82" name="Code Number" tableColumnId="82"/>
      <queryTableField id="83" name="Section" tableColumnId="83"/>
      <queryTableField id="84" name="Session" tableColumnId="84"/>
      <queryTableField id="85" name="Committee" tableColumnId="85"/>
      <queryTableField id="86" name="History" tableColumnId="86"/>
      <queryTableField id="87" name="Legislative Body" tableColumnId="8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FFDB3BC-B43A-40D9-B60F-4AED96A2A48F}" name="papers_tags__2" displayName="papers_tags__2" ref="A1:CI72" tableType="queryTable" totalsRowShown="0">
  <autoFilter ref="A1:CI72" xr:uid="{8FFDB3BC-B43A-40D9-B60F-4AED96A2A48F}"/>
  <tableColumns count="87">
    <tableColumn id="1" xr3:uid="{05FBCDD2-0968-4E64-BFDF-9ABDD02A06A7}" uniqueName="1" name="Key" queryTableFieldId="1" dataDxfId="490"/>
    <tableColumn id="2" xr3:uid="{7CDB6E91-2608-4BA9-8473-1CEE0AF88D2D}" uniqueName="2" name="Item Type" queryTableFieldId="2" dataDxfId="489"/>
    <tableColumn id="3" xr3:uid="{45646F15-3608-4D68-8AE9-F22C2650B13A}" uniqueName="3" name="Publication Year" queryTableFieldId="3"/>
    <tableColumn id="4" xr3:uid="{E90388C6-5807-4163-8571-E7114DCE3B6B}" uniqueName="4" name="Author" queryTableFieldId="4" dataDxfId="488"/>
    <tableColumn id="5" xr3:uid="{411B32C4-80B1-4DE0-935C-F1898138A589}" uniqueName="5" name="Title" queryTableFieldId="5" dataDxfId="487"/>
    <tableColumn id="6" xr3:uid="{22C3CBC7-BFB7-4A65-B004-69B4DFF34BD6}" uniqueName="6" name="Publication Title" queryTableFieldId="6" dataDxfId="486"/>
    <tableColumn id="7" xr3:uid="{D98E2FE6-688E-4A0D-A0F4-3F4255FB2563}" uniqueName="7" name="ISBN" queryTableFieldId="7" dataDxfId="485"/>
    <tableColumn id="8" xr3:uid="{02DE1A68-5A2A-4826-93DE-7C537C14A345}" uniqueName="8" name="ISSN" queryTableFieldId="8" dataDxfId="484"/>
    <tableColumn id="9" xr3:uid="{ABE986C7-FCCB-4537-AF1A-C92A62403142}" uniqueName="9" name="DOI" queryTableFieldId="9" dataDxfId="483"/>
    <tableColumn id="10" xr3:uid="{FDC7D38C-3858-4F0D-A259-70409AD98B2E}" uniqueName="10" name="Url" queryTableFieldId="10" dataDxfId="482"/>
    <tableColumn id="11" xr3:uid="{3008703D-546A-4724-B09F-BBE2DA84E65E}" uniqueName="11" name="Abstract Note" queryTableFieldId="11" dataDxfId="481"/>
    <tableColumn id="12" xr3:uid="{9FF9EF35-0DAF-43BF-8706-40C485CC6031}" uniqueName="12" name="Date" queryTableFieldId="12" dataDxfId="480"/>
    <tableColumn id="13" xr3:uid="{EB8A6456-9F10-48D7-949A-72CA6AFB6AEE}" uniqueName="13" name="Date Added" queryTableFieldId="13" dataDxfId="479"/>
    <tableColumn id="14" xr3:uid="{73A3F4B7-A1F3-4626-94EC-122526E78882}" uniqueName="14" name="Date Modified" queryTableFieldId="14" dataDxfId="478"/>
    <tableColumn id="15" xr3:uid="{BB37B71B-C0B7-4EB7-86DC-7F8FF97AE864}" uniqueName="15" name="Access Date" queryTableFieldId="15" dataDxfId="477"/>
    <tableColumn id="16" xr3:uid="{DCA2F4B7-9D3F-4FE8-ABE0-426D0CD68AF5}" uniqueName="16" name="Pages" queryTableFieldId="16" dataDxfId="476"/>
    <tableColumn id="17" xr3:uid="{923AC92D-396B-469D-B184-03A934F93A86}" uniqueName="17" name="Num Pages" queryTableFieldId="17" dataDxfId="475"/>
    <tableColumn id="18" xr3:uid="{D95EFA66-E1F5-47E7-A908-70770E61F03E}" uniqueName="18" name="Issue" queryTableFieldId="18"/>
    <tableColumn id="19" xr3:uid="{9E7BF7C6-1500-4C03-97C7-A64BFBA4B391}" uniqueName="19" name="Volume" queryTableFieldId="19"/>
    <tableColumn id="20" xr3:uid="{AC63B24A-AD80-4D31-AA99-BB0419828E40}" uniqueName="20" name="Number Of Volumes" queryTableFieldId="20" dataDxfId="474"/>
    <tableColumn id="21" xr3:uid="{3B677204-EC2E-4F63-BCCD-858D3CE18DF6}" uniqueName="21" name="Journal Abbreviation" queryTableFieldId="21" dataDxfId="473"/>
    <tableColumn id="22" xr3:uid="{5891867B-0C8A-4113-9A20-0F1B9674B1CE}" uniqueName="22" name="Short Title" queryTableFieldId="22" dataDxfId="472"/>
    <tableColumn id="23" xr3:uid="{4485647C-C5D2-4BA7-B969-2F7AE497E149}" uniqueName="23" name="Series" queryTableFieldId="23" dataDxfId="471"/>
    <tableColumn id="24" xr3:uid="{90A5AB4C-15B1-4BB4-BF59-10084686FFB3}" uniqueName="24" name="Series Number" queryTableFieldId="24" dataDxfId="470"/>
    <tableColumn id="25" xr3:uid="{E859486E-B277-44B0-8CD7-133057E9897C}" uniqueName="25" name="Series Text" queryTableFieldId="25" dataDxfId="469"/>
    <tableColumn id="26" xr3:uid="{9C3DF15C-E14E-48D0-854E-D243D0BB6B67}" uniqueName="26" name="Series Title" queryTableFieldId="26" dataDxfId="468"/>
    <tableColumn id="27" xr3:uid="{1F69127A-42D9-4C7C-9871-F528F6B2CC18}" uniqueName="27" name="Publisher" queryTableFieldId="27" dataDxfId="467"/>
    <tableColumn id="28" xr3:uid="{6D4FCA09-9F1C-42EE-9090-F5A5628877BF}" uniqueName="28" name="Place" queryTableFieldId="28" dataDxfId="466"/>
    <tableColumn id="29" xr3:uid="{252F52CD-4D0B-4741-AF38-062BF97609EE}" uniqueName="29" name="Language" queryTableFieldId="29" dataDxfId="465"/>
    <tableColumn id="30" xr3:uid="{BEBCFC31-E651-4BE4-8E76-396D6F0D690D}" uniqueName="30" name="Rights" queryTableFieldId="30" dataDxfId="464"/>
    <tableColumn id="31" xr3:uid="{9B30FA32-1EF4-4E47-82D6-AE3435CB9BFB}" uniqueName="31" name="Type" queryTableFieldId="31" dataDxfId="463"/>
    <tableColumn id="32" xr3:uid="{6CA7520D-4367-4CC4-8208-60E8117851AA}" uniqueName="32" name="Archive" queryTableFieldId="32" dataDxfId="462"/>
    <tableColumn id="33" xr3:uid="{3AEB39B7-6F95-458E-9E8D-9167BEEF2EB4}" uniqueName="33" name="Archive Location" queryTableFieldId="33" dataDxfId="461"/>
    <tableColumn id="34" xr3:uid="{9331F575-6E23-4817-861E-4015C5C71D5F}" uniqueName="34" name="Library Catalog" queryTableFieldId="34" dataDxfId="460"/>
    <tableColumn id="35" xr3:uid="{0F138B78-2426-492E-B76A-03DB03849AC3}" uniqueName="35" name="Call Number" queryTableFieldId="35"/>
    <tableColumn id="36" xr3:uid="{4A725E82-4B20-473D-BF52-E71CE1854229}" uniqueName="36" name="Extra" queryTableFieldId="36" dataDxfId="459"/>
    <tableColumn id="37" xr3:uid="{13CDF1F5-05EB-442E-81DA-52FAFC8F1519}" uniqueName="37" name="Notes" queryTableFieldId="37" dataDxfId="458"/>
    <tableColumn id="38" xr3:uid="{09173A9A-785A-4DD9-B14B-E507F5A83FB8}" uniqueName="38" name="File Attachments" queryTableFieldId="38" dataDxfId="457"/>
    <tableColumn id="39" xr3:uid="{C05366AC-9CDC-492D-94CE-75A0B8411F90}" uniqueName="39" name="Link Attachments" queryTableFieldId="39" dataDxfId="456"/>
    <tableColumn id="40" xr3:uid="{DBA0E993-FA85-49C5-93E5-BD05975359CF}" uniqueName="40" name="Manual Tags" queryTableFieldId="40" dataDxfId="455"/>
    <tableColumn id="41" xr3:uid="{9B88E7E6-B0DF-4830-8484-D106728A2253}" uniqueName="41" name="Automatic Tags" queryTableFieldId="41" dataDxfId="454"/>
    <tableColumn id="42" xr3:uid="{94CAA792-921C-4420-A8BB-624924C3D9AE}" uniqueName="42" name="Editor" queryTableFieldId="42" dataDxfId="453"/>
    <tableColumn id="43" xr3:uid="{1D5942D8-FC80-47A7-B6B8-DE618B2506A2}" uniqueName="43" name="Series Editor" queryTableFieldId="43" dataDxfId="452"/>
    <tableColumn id="44" xr3:uid="{BD75A744-CFE3-4F5A-ABFE-90664C2D7171}" uniqueName="44" name="Translator" queryTableFieldId="44" dataDxfId="451"/>
    <tableColumn id="45" xr3:uid="{C94CAB0E-CFC7-4E3E-A15A-EDCD9B041DC7}" uniqueName="45" name="Contributor" queryTableFieldId="45" dataDxfId="450"/>
    <tableColumn id="46" xr3:uid="{4622BA2D-2C3A-439C-AE41-53D8E502EEFC}" uniqueName="46" name="Attorney Agent" queryTableFieldId="46" dataDxfId="449"/>
    <tableColumn id="47" xr3:uid="{255DCE8A-CD9B-4319-A564-8FB29D982934}" uniqueName="47" name="Book Author" queryTableFieldId="47" dataDxfId="448"/>
    <tableColumn id="48" xr3:uid="{B548F489-D5F0-4C28-85AC-C6757320EC4F}" uniqueName="48" name="Cast Member" queryTableFieldId="48" dataDxfId="447"/>
    <tableColumn id="49" xr3:uid="{0FBF4837-D0F2-47BB-87F4-2592786F694C}" uniqueName="49" name="Commenter" queryTableFieldId="49" dataDxfId="446"/>
    <tableColumn id="50" xr3:uid="{260A115D-213D-4A13-982A-DA9B3FB74EE5}" uniqueName="50" name="Composer" queryTableFieldId="50" dataDxfId="445"/>
    <tableColumn id="51" xr3:uid="{D768FAA8-A78D-4DF1-AA9F-3D246F73BFB3}" uniqueName="51" name="Cosponsor" queryTableFieldId="51" dataDxfId="444"/>
    <tableColumn id="52" xr3:uid="{1543406B-9C5C-436A-85FF-4278018321D1}" uniqueName="52" name="Counsel" queryTableFieldId="52" dataDxfId="443"/>
    <tableColumn id="53" xr3:uid="{18FA1B6B-EDF1-4B0C-BEA8-04C41B2775E6}" uniqueName="53" name="Interviewer" queryTableFieldId="53" dataDxfId="442"/>
    <tableColumn id="54" xr3:uid="{EFC5C740-26F9-4082-8A77-BF3EF120E500}" uniqueName="54" name="Producer" queryTableFieldId="54" dataDxfId="441"/>
    <tableColumn id="55" xr3:uid="{ED42BF56-2DA0-4E05-8457-3A791C304762}" uniqueName="55" name="Recipient" queryTableFieldId="55" dataDxfId="440"/>
    <tableColumn id="56" xr3:uid="{AC718573-DD7F-4395-8E69-905A17E5785F}" uniqueName="56" name="Reviewed Author" queryTableFieldId="56" dataDxfId="439"/>
    <tableColumn id="57" xr3:uid="{DD2650CB-FC02-422D-8617-5694CDD24DCC}" uniqueName="57" name="Scriptwriter" queryTableFieldId="57" dataDxfId="438"/>
    <tableColumn id="58" xr3:uid="{81B91CCF-AE49-464E-B2A6-008D56DD0ECE}" uniqueName="58" name="Words By" queryTableFieldId="58" dataDxfId="437"/>
    <tableColumn id="59" xr3:uid="{1E8C7724-F003-4D36-A427-CCF0BA572ED0}" uniqueName="59" name="Guest" queryTableFieldId="59" dataDxfId="436"/>
    <tableColumn id="60" xr3:uid="{DFFBA18C-1745-44F6-825A-6C64EAD36C49}" uniqueName="60" name="Number" queryTableFieldId="60" dataDxfId="435"/>
    <tableColumn id="61" xr3:uid="{3C99B76B-9119-4D98-9A31-87EBA3432BD4}" uniqueName="61" name="Edition" queryTableFieldId="61" dataDxfId="434"/>
    <tableColumn id="62" xr3:uid="{5AA9FA7B-19FC-4BC5-8E2A-F5F5F8441DB7}" uniqueName="62" name="Running Time" queryTableFieldId="62" dataDxfId="433"/>
    <tableColumn id="63" xr3:uid="{D23FD4FF-CD26-4768-BC39-188583D02488}" uniqueName="63" name="Scale" queryTableFieldId="63" dataDxfId="432"/>
    <tableColumn id="64" xr3:uid="{8F5D69EB-DC9D-4D70-9C20-AFB939CD3506}" uniqueName="64" name="Medium" queryTableFieldId="64" dataDxfId="431"/>
    <tableColumn id="65" xr3:uid="{B0921401-7C1F-44F2-B9F6-2A67DC63935C}" uniqueName="65" name="Artwork Size" queryTableFieldId="65" dataDxfId="430"/>
    <tableColumn id="66" xr3:uid="{5F5E7E46-CD46-4A17-B7CF-DD3F4DC68A74}" uniqueName="66" name="Filing Date" queryTableFieldId="66" dataDxfId="429"/>
    <tableColumn id="67" xr3:uid="{16976AA4-F704-4844-A935-6B4AADDD75F2}" uniqueName="67" name="Application Number" queryTableFieldId="67" dataDxfId="428"/>
    <tableColumn id="68" xr3:uid="{0F97E955-F634-4EBB-9363-652908955833}" uniqueName="68" name="Assignee" queryTableFieldId="68" dataDxfId="427"/>
    <tableColumn id="69" xr3:uid="{8CF88740-7630-4AD8-ABDE-E5C5E3BE6C80}" uniqueName="69" name="Issuing Authority" queryTableFieldId="69" dataDxfId="426"/>
    <tableColumn id="70" xr3:uid="{49368A26-DCA2-4976-888D-A9614FAFBC55}" uniqueName="70" name="Country" queryTableFieldId="70" dataDxfId="425"/>
    <tableColumn id="71" xr3:uid="{31DD20C9-1268-498A-A964-E39DEBED5F1D}" uniqueName="71" name="Meeting Name" queryTableFieldId="71" dataDxfId="424"/>
    <tableColumn id="72" xr3:uid="{016C22C5-4183-47F5-B7E0-BB2E5758FEF3}" uniqueName="72" name="Conference Name" queryTableFieldId="72" dataDxfId="423"/>
    <tableColumn id="73" xr3:uid="{2D071FF5-DA4C-453C-9BB9-EBCC59E6B912}" uniqueName="73" name="Court" queryTableFieldId="73" dataDxfId="422"/>
    <tableColumn id="74" xr3:uid="{D598C6D1-B6E0-45FD-9087-E36269787EF9}" uniqueName="74" name="References" queryTableFieldId="74" dataDxfId="421"/>
    <tableColumn id="75" xr3:uid="{6764174D-815B-4130-A465-490833DDC154}" uniqueName="75" name="Reporter" queryTableFieldId="75" dataDxfId="420"/>
    <tableColumn id="76" xr3:uid="{E8457591-AB4C-4014-BA31-0B766A5D7A4F}" uniqueName="76" name="Legal Status" queryTableFieldId="76" dataDxfId="419"/>
    <tableColumn id="77" xr3:uid="{5DA7A5F0-8D8D-462D-8A41-275DE9FD1CEC}" uniqueName="77" name="Priority Numbers" queryTableFieldId="77" dataDxfId="418"/>
    <tableColumn id="78" xr3:uid="{99604EDE-63C3-4CC7-9F8A-E56C34D26C2F}" uniqueName="78" name="Programming Language" queryTableFieldId="78" dataDxfId="417"/>
    <tableColumn id="79" xr3:uid="{B8058777-5391-4031-976F-F0D0B984FA12}" uniqueName="79" name="Version" queryTableFieldId="79" dataDxfId="416"/>
    <tableColumn id="80" xr3:uid="{908CB602-5E0A-499F-8B6A-D217B61DB98C}" uniqueName="80" name="System" queryTableFieldId="80" dataDxfId="415"/>
    <tableColumn id="81" xr3:uid="{1BABCCE0-9ED0-466E-B9B2-6B0ED1F9A841}" uniqueName="81" name="Code" queryTableFieldId="81" dataDxfId="414"/>
    <tableColumn id="82" xr3:uid="{93ADC25D-0994-42A4-95B4-3EF084A72969}" uniqueName="82" name="Code Number" queryTableFieldId="82" dataDxfId="413"/>
    <tableColumn id="83" xr3:uid="{36021751-9A48-44B5-8F7C-5B912792D187}" uniqueName="83" name="Section" queryTableFieldId="83" dataDxfId="412"/>
    <tableColumn id="84" xr3:uid="{4A28F915-2134-4B19-8A46-8A748703CF25}" uniqueName="84" name="Session" queryTableFieldId="84" dataDxfId="411"/>
    <tableColumn id="85" xr3:uid="{C4CD8CB3-F6E7-4296-B0EE-77A5435D41F8}" uniqueName="85" name="Committee" queryTableFieldId="85" dataDxfId="410"/>
    <tableColumn id="86" xr3:uid="{E580E703-BEFF-45BA-B759-D3E5E591463A}" uniqueName="86" name="History" queryTableFieldId="86" dataDxfId="409"/>
    <tableColumn id="87" xr3:uid="{FC43B6E2-D306-40B2-8224-872FDCE59A6F}" uniqueName="87" name="Legislative Body" queryTableFieldId="87" dataDxfId="40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79D9279-C6EA-4DE9-8052-211785F98C62}" name="papers_tags__4" displayName="papers_tags__4" ref="A1:CI85" tableType="queryTable" totalsRowShown="0">
  <autoFilter ref="A1:CI85" xr:uid="{579D9279-C6EA-4DE9-8052-211785F98C62}"/>
  <sortState xmlns:xlrd2="http://schemas.microsoft.com/office/spreadsheetml/2017/richdata2" ref="A2:CI85">
    <sortCondition descending="1" ref="M1:M85"/>
  </sortState>
  <tableColumns count="87">
    <tableColumn id="1" xr3:uid="{A52DD6F7-9C3F-453C-8AB1-530536B7EB5C}" uniqueName="1" name="Key" queryTableFieldId="1" dataDxfId="407"/>
    <tableColumn id="2" xr3:uid="{6E72BC03-4E9E-4A0B-A2B2-165006760F0A}" uniqueName="2" name="Item Type" queryTableFieldId="2" dataDxfId="406"/>
    <tableColumn id="3" xr3:uid="{08232A2B-5CA1-41EA-8366-A58618DCA041}" uniqueName="3" name="Publication Year" queryTableFieldId="3"/>
    <tableColumn id="4" xr3:uid="{5FAE88F0-FCC1-4F67-9B00-AB406194AC6E}" uniqueName="4" name="Author" queryTableFieldId="4" dataDxfId="405"/>
    <tableColumn id="5" xr3:uid="{750101B1-D56A-4445-8355-E733BA5E3BA5}" uniqueName="5" name="Title" queryTableFieldId="5" dataDxfId="404"/>
    <tableColumn id="6" xr3:uid="{245AD1A4-783F-465F-9AD9-F89F64D3179C}" uniqueName="6" name="Publication Title" queryTableFieldId="6" dataDxfId="403"/>
    <tableColumn id="7" xr3:uid="{8A768234-9D21-417F-A33E-61B2FC8161E5}" uniqueName="7" name="ISBN" queryTableFieldId="7" dataDxfId="402"/>
    <tableColumn id="8" xr3:uid="{4ACFA20D-7757-4C73-930D-D677FE476062}" uniqueName="8" name="ISSN" queryTableFieldId="8" dataDxfId="401"/>
    <tableColumn id="9" xr3:uid="{077F3090-0715-48DA-827C-EE444D38AD98}" uniqueName="9" name="DOI" queryTableFieldId="9" dataDxfId="400"/>
    <tableColumn id="10" xr3:uid="{F5924ED8-C661-4B30-86DC-10C6EC85EFEB}" uniqueName="10" name="Url" queryTableFieldId="10" dataDxfId="399"/>
    <tableColumn id="11" xr3:uid="{A6830259-B814-4549-A36D-E16AA66A5F0B}" uniqueName="11" name="Abstract Note" queryTableFieldId="11" dataDxfId="398"/>
    <tableColumn id="12" xr3:uid="{D2F4BD85-580A-45CC-AC09-48D9C3635E97}" uniqueName="12" name="Date" queryTableFieldId="12" dataDxfId="397"/>
    <tableColumn id="13" xr3:uid="{8D1D0540-766B-4BC8-B6AB-66D37F30F71D}" uniqueName="13" name="Date Added" queryTableFieldId="13" dataDxfId="396"/>
    <tableColumn id="14" xr3:uid="{598EB0CF-EFAC-41FC-B0DD-091EFA5B8CF3}" uniqueName="14" name="Date Modified" queryTableFieldId="14" dataDxfId="395"/>
    <tableColumn id="15" xr3:uid="{94F52639-7ECD-4108-8F74-E2F5F8005408}" uniqueName="15" name="Access Date" queryTableFieldId="15" dataDxfId="394"/>
    <tableColumn id="16" xr3:uid="{597E0C6B-457A-4956-A84F-652068229A31}" uniqueName="16" name="Pages" queryTableFieldId="16" dataDxfId="393"/>
    <tableColumn id="17" xr3:uid="{4D10505A-D340-4A68-BE45-EB1D3AF50C4A}" uniqueName="17" name="Num Pages" queryTableFieldId="17" dataDxfId="392"/>
    <tableColumn id="18" xr3:uid="{7D794D35-5E10-4B95-97A2-BC953318DD2F}" uniqueName="18" name="Issue" queryTableFieldId="18"/>
    <tableColumn id="19" xr3:uid="{4770F86A-5B8F-46FC-8BFB-DEA7F6B6AA94}" uniqueName="19" name="Volume" queryTableFieldId="19"/>
    <tableColumn id="20" xr3:uid="{CC76301D-AEC2-48F6-94FF-FB75955E4BCA}" uniqueName="20" name="Number Of Volumes" queryTableFieldId="20" dataDxfId="391"/>
    <tableColumn id="21" xr3:uid="{6CD43372-6245-4640-A5B9-054509798144}" uniqueName="21" name="Journal Abbreviation" queryTableFieldId="21" dataDxfId="390"/>
    <tableColumn id="22" xr3:uid="{2708B19A-05A1-46B5-AA83-D75C29AAD65B}" uniqueName="22" name="Short Title" queryTableFieldId="22" dataDxfId="389"/>
    <tableColumn id="23" xr3:uid="{7CAFBC24-B9B6-4FAB-9C80-484C3A8F2A2B}" uniqueName="23" name="Series" queryTableFieldId="23" dataDxfId="388"/>
    <tableColumn id="24" xr3:uid="{7906E09F-8B8A-4BA4-A686-7EE68AE53B5E}" uniqueName="24" name="Series Number" queryTableFieldId="24" dataDxfId="387"/>
    <tableColumn id="25" xr3:uid="{5D1664A9-C022-43A2-BDFF-6022A72986C2}" uniqueName="25" name="Series Text" queryTableFieldId="25" dataDxfId="386"/>
    <tableColumn id="26" xr3:uid="{0517CABE-3B8B-43CE-92D6-8076F5C93195}" uniqueName="26" name="Series Title" queryTableFieldId="26" dataDxfId="385"/>
    <tableColumn id="27" xr3:uid="{F17EA090-A788-49DF-A626-BF1E6E1DB416}" uniqueName="27" name="Publisher" queryTableFieldId="27" dataDxfId="384"/>
    <tableColumn id="28" xr3:uid="{BCA5DB34-DF2A-4621-BE8A-6ABACB1A66F2}" uniqueName="28" name="Place" queryTableFieldId="28" dataDxfId="383"/>
    <tableColumn id="29" xr3:uid="{3B79230A-9C6C-45E9-8F20-3F824FC392EB}" uniqueName="29" name="Language" queryTableFieldId="29" dataDxfId="382"/>
    <tableColumn id="30" xr3:uid="{9542145E-BADF-4039-A972-3CA52180A1DC}" uniqueName="30" name="Rights" queryTableFieldId="30" dataDxfId="381"/>
    <tableColumn id="31" xr3:uid="{8C7D5C1F-1FB3-4AEB-A780-DE085F4EE7A3}" uniqueName="31" name="Type" queryTableFieldId="31" dataDxfId="380"/>
    <tableColumn id="32" xr3:uid="{2B976064-CC71-4891-A2AE-015F1C06D264}" uniqueName="32" name="Archive" queryTableFieldId="32" dataDxfId="379"/>
    <tableColumn id="33" xr3:uid="{B4D1E1BE-9299-4D61-A5DE-ECA2BDE430D6}" uniqueName="33" name="Archive Location" queryTableFieldId="33" dataDxfId="378"/>
    <tableColumn id="34" xr3:uid="{DDC8C3E3-B7F9-477B-A14B-17F54EEF2F35}" uniqueName="34" name="Library Catalog" queryTableFieldId="34" dataDxfId="377"/>
    <tableColumn id="35" xr3:uid="{FE51237B-8B1F-49F0-A290-30F61242EBCF}" uniqueName="35" name="Call Number" queryTableFieldId="35"/>
    <tableColumn id="36" xr3:uid="{FE86A73C-E2C8-47BB-8776-A11ACFF18D08}" uniqueName="36" name="Extra" queryTableFieldId="36" dataDxfId="376"/>
    <tableColumn id="37" xr3:uid="{1BCAF625-87BB-414C-8412-51F017BE0713}" uniqueName="37" name="Notes" queryTableFieldId="37" dataDxfId="375"/>
    <tableColumn id="38" xr3:uid="{DC480A88-C59D-49BA-B0B1-5A464F055F7A}" uniqueName="38" name="File Attachments" queryTableFieldId="38" dataDxfId="374"/>
    <tableColumn id="39" xr3:uid="{17CCC3A2-E12C-46A9-91EB-F97AD002099C}" uniqueName="39" name="Link Attachments" queryTableFieldId="39" dataDxfId="373"/>
    <tableColumn id="40" xr3:uid="{3A2B926C-07D4-4AA2-B298-33EDF068E62E}" uniqueName="40" name="Manual Tags" queryTableFieldId="40" dataDxfId="372"/>
    <tableColumn id="41" xr3:uid="{92A8D16C-00B8-4A62-AB70-5E47D06E99C0}" uniqueName="41" name="Automatic Tags" queryTableFieldId="41" dataDxfId="371"/>
    <tableColumn id="42" xr3:uid="{5E7D1054-B0CA-46A8-9F1B-393E6974F0CD}" uniqueName="42" name="Editor" queryTableFieldId="42" dataDxfId="370"/>
    <tableColumn id="43" xr3:uid="{96962296-FE6B-4B6F-AA6B-3B769F47BEE0}" uniqueName="43" name="Series Editor" queryTableFieldId="43" dataDxfId="369"/>
    <tableColumn id="44" xr3:uid="{8C1AE6BF-E8C4-4709-8623-46DBCFA083BB}" uniqueName="44" name="Translator" queryTableFieldId="44" dataDxfId="368"/>
    <tableColumn id="45" xr3:uid="{55BBB0E5-92F3-46C7-A7FE-E748A767FD91}" uniqueName="45" name="Contributor" queryTableFieldId="45" dataDxfId="367"/>
    <tableColumn id="46" xr3:uid="{A962ECA3-99CD-4DF6-B4D5-AF0A7D58FB67}" uniqueName="46" name="Attorney Agent" queryTableFieldId="46" dataDxfId="366"/>
    <tableColumn id="47" xr3:uid="{C640C4E5-D466-4882-91AE-EFB232E585F7}" uniqueName="47" name="Book Author" queryTableFieldId="47" dataDxfId="365"/>
    <tableColumn id="48" xr3:uid="{F6B08AF8-4986-4B5E-AE66-BCFE63D36BBE}" uniqueName="48" name="Cast Member" queryTableFieldId="48" dataDxfId="364"/>
    <tableColumn id="49" xr3:uid="{390E2910-7FC9-4146-AA9D-BDA1E76C501F}" uniqueName="49" name="Commenter" queryTableFieldId="49" dataDxfId="363"/>
    <tableColumn id="50" xr3:uid="{E521ED4C-E4AB-46E2-9F62-D71A496B64B7}" uniqueName="50" name="Composer" queryTableFieldId="50" dataDxfId="362"/>
    <tableColumn id="51" xr3:uid="{29B3EE3B-E198-48D9-B95A-D09ED46438C2}" uniqueName="51" name="Cosponsor" queryTableFieldId="51" dataDxfId="361"/>
    <tableColumn id="52" xr3:uid="{DDF8A471-1A4B-4ADA-B024-2F355249598F}" uniqueName="52" name="Counsel" queryTableFieldId="52" dataDxfId="360"/>
    <tableColumn id="53" xr3:uid="{00F694F0-52AE-4C88-8B78-CBEEB6C77F1E}" uniqueName="53" name="Interviewer" queryTableFieldId="53" dataDxfId="359"/>
    <tableColumn id="54" xr3:uid="{E23EB533-DCE0-42C5-B8E9-988E91FA7326}" uniqueName="54" name="Producer" queryTableFieldId="54" dataDxfId="358"/>
    <tableColumn id="55" xr3:uid="{9F5C911C-B0BD-442A-A097-89DC04018C21}" uniqueName="55" name="Recipient" queryTableFieldId="55" dataDxfId="357"/>
    <tableColumn id="56" xr3:uid="{BA3056C8-5A51-498B-AAC5-651FE29DDC9D}" uniqueName="56" name="Reviewed Author" queryTableFieldId="56" dataDxfId="356"/>
    <tableColumn id="57" xr3:uid="{FDA7F407-B224-49E6-9805-36CF8E38297D}" uniqueName="57" name="Scriptwriter" queryTableFieldId="57" dataDxfId="355"/>
    <tableColumn id="58" xr3:uid="{61EB2D78-AB36-4C80-B173-91436543E488}" uniqueName="58" name="Words By" queryTableFieldId="58" dataDxfId="354"/>
    <tableColumn id="59" xr3:uid="{2E44034C-09BC-47FE-8785-E5C8DE3E88D7}" uniqueName="59" name="Guest" queryTableFieldId="59" dataDxfId="353"/>
    <tableColumn id="60" xr3:uid="{834CADA4-01D2-4BBC-A141-7BDABA7D9310}" uniqueName="60" name="Number" queryTableFieldId="60" dataDxfId="352"/>
    <tableColumn id="61" xr3:uid="{40B568C0-612A-4932-84B0-22D63A6C7A29}" uniqueName="61" name="Edition" queryTableFieldId="61" dataDxfId="351"/>
    <tableColumn id="62" xr3:uid="{27E08AAD-0FBF-411B-8626-3D8453C9EA68}" uniqueName="62" name="Running Time" queryTableFieldId="62" dataDxfId="350"/>
    <tableColumn id="63" xr3:uid="{A92E7B84-9DA3-44A0-AFCA-B03490519E7E}" uniqueName="63" name="Scale" queryTableFieldId="63" dataDxfId="349"/>
    <tableColumn id="64" xr3:uid="{42886A7C-F360-46EC-B617-21008D6ADB10}" uniqueName="64" name="Medium" queryTableFieldId="64" dataDxfId="348"/>
    <tableColumn id="65" xr3:uid="{99AED673-EEF3-4324-8BFC-8EA2633867FE}" uniqueName="65" name="Artwork Size" queryTableFieldId="65" dataDxfId="347"/>
    <tableColumn id="66" xr3:uid="{913AE720-2290-4170-A16C-51BBC9A45AB6}" uniqueName="66" name="Filing Date" queryTableFieldId="66" dataDxfId="346"/>
    <tableColumn id="67" xr3:uid="{55051EFA-6407-4CD1-B8A6-F10ACA9A96ED}" uniqueName="67" name="Application Number" queryTableFieldId="67" dataDxfId="345"/>
    <tableColumn id="68" xr3:uid="{36774DF6-2B9C-4227-BF96-E2F4C9F133A4}" uniqueName="68" name="Assignee" queryTableFieldId="68" dataDxfId="344"/>
    <tableColumn id="69" xr3:uid="{274BC9AA-F5EE-42E4-AAC7-5BC8D02C0A7F}" uniqueName="69" name="Issuing Authority" queryTableFieldId="69" dataDxfId="343"/>
    <tableColumn id="70" xr3:uid="{AFA30310-B16F-4163-B176-349D71C33866}" uniqueName="70" name="Country" queryTableFieldId="70" dataDxfId="342"/>
    <tableColumn id="71" xr3:uid="{B2A00BF3-ECD8-4D82-A8C4-B592E43F52BD}" uniqueName="71" name="Meeting Name" queryTableFieldId="71" dataDxfId="341"/>
    <tableColumn id="72" xr3:uid="{2784521E-CBB9-4BFF-BA42-36D477CEB612}" uniqueName="72" name="Conference Name" queryTableFieldId="72" dataDxfId="340"/>
    <tableColumn id="73" xr3:uid="{95F4B68A-3C3B-4CDB-BA67-31EC8DFF6733}" uniqueName="73" name="Court" queryTableFieldId="73" dataDxfId="339"/>
    <tableColumn id="74" xr3:uid="{CDB07337-038D-4F21-A6CB-3A701A9027C4}" uniqueName="74" name="References" queryTableFieldId="74" dataDxfId="338"/>
    <tableColumn id="75" xr3:uid="{8AD231C3-23B9-412E-B71E-B8F53F8B1A8F}" uniqueName="75" name="Reporter" queryTableFieldId="75" dataDxfId="337"/>
    <tableColumn id="76" xr3:uid="{C28E48B6-94B7-411D-B06E-298FD90D9683}" uniqueName="76" name="Legal Status" queryTableFieldId="76" dataDxfId="336"/>
    <tableColumn id="77" xr3:uid="{E3F4340C-4D0B-4B76-BFB7-018E562D4C3B}" uniqueName="77" name="Priority Numbers" queryTableFieldId="77" dataDxfId="335"/>
    <tableColumn id="78" xr3:uid="{1A4AA86D-276A-46A8-8466-14C1146C0BBE}" uniqueName="78" name="Programming Language" queryTableFieldId="78" dataDxfId="334"/>
    <tableColumn id="79" xr3:uid="{56B632AA-FD59-4BFF-81F9-35A3FFB66F21}" uniqueName="79" name="Version" queryTableFieldId="79" dataDxfId="333"/>
    <tableColumn id="80" xr3:uid="{7DF6652B-8076-4C23-8D61-3C0B787DF5BF}" uniqueName="80" name="System" queryTableFieldId="80" dataDxfId="332"/>
    <tableColumn id="81" xr3:uid="{AEF6EE76-07FF-4742-8804-2A40250C66EC}" uniqueName="81" name="Code" queryTableFieldId="81" dataDxfId="331"/>
    <tableColumn id="82" xr3:uid="{A9FC6C7A-8986-46C0-8AFE-412B1F674C82}" uniqueName="82" name="Code Number" queryTableFieldId="82" dataDxfId="330"/>
    <tableColumn id="83" xr3:uid="{2ACFA1D0-307F-43B8-B795-18EAC7176046}" uniqueName="83" name="Section" queryTableFieldId="83" dataDxfId="329"/>
    <tableColumn id="84" xr3:uid="{9D0A8E1E-8AC2-47AE-8D60-239B79A44102}" uniqueName="84" name="Session" queryTableFieldId="84" dataDxfId="328"/>
    <tableColumn id="85" xr3:uid="{8E1F17A1-6B70-4623-97BF-B43B8B0FA6ED}" uniqueName="85" name="Committee" queryTableFieldId="85" dataDxfId="327"/>
    <tableColumn id="86" xr3:uid="{7BB6A041-A6D2-418C-8136-AC985A2AB08B}" uniqueName="86" name="History" queryTableFieldId="86" dataDxfId="326"/>
    <tableColumn id="87" xr3:uid="{555106DE-64E8-4D96-AE4A-B7393758593A}" uniqueName="87" name="Legislative Body" queryTableFieldId="87" dataDxfId="32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FC482BB-A853-4E2B-A833-A9E434CEABEE}" name="papers_tags__3" displayName="papers_tags__3" ref="A1:CI75" tableType="queryTable" totalsRowShown="0">
  <autoFilter ref="A1:CI75" xr:uid="{7FC482BB-A853-4E2B-A833-A9E434CEABEE}"/>
  <sortState xmlns:xlrd2="http://schemas.microsoft.com/office/spreadsheetml/2017/richdata2" ref="A2:CI75">
    <sortCondition descending="1" ref="N1:N75"/>
  </sortState>
  <tableColumns count="87">
    <tableColumn id="1" xr3:uid="{9A4855F3-9968-47EF-91B0-0924247BDA38}" uniqueName="1" name="Key" queryTableFieldId="1" dataDxfId="324"/>
    <tableColumn id="2" xr3:uid="{90DD9FF7-6749-47D8-9EA7-1D19DF34E2B8}" uniqueName="2" name="Item Type" queryTableFieldId="2" dataDxfId="323"/>
    <tableColumn id="3" xr3:uid="{094EF0D2-C6E7-4A45-85A4-DF9097641D0B}" uniqueName="3" name="Publication Year" queryTableFieldId="3"/>
    <tableColumn id="4" xr3:uid="{8B801074-312E-4727-B833-99A93F54F0BE}" uniqueName="4" name="Author" queryTableFieldId="4" dataDxfId="322"/>
    <tableColumn id="5" xr3:uid="{0A0EA3F1-1AAC-48DB-A7AB-E46526331427}" uniqueName="5" name="Title" queryTableFieldId="5" dataDxfId="321"/>
    <tableColumn id="6" xr3:uid="{B2820483-69D6-4B8B-A7D8-258E7D01DDFC}" uniqueName="6" name="Publication Title" queryTableFieldId="6" dataDxfId="320"/>
    <tableColumn id="7" xr3:uid="{54318024-EDEE-4254-937A-7035F86EA11B}" uniqueName="7" name="ISBN" queryTableFieldId="7" dataDxfId="319"/>
    <tableColumn id="8" xr3:uid="{9CABD0B0-B158-40BC-BE34-CCFEFDF300A9}" uniqueName="8" name="ISSN" queryTableFieldId="8" dataDxfId="318"/>
    <tableColumn id="9" xr3:uid="{EEC177DA-05D6-437E-B593-B825FFA8AFB5}" uniqueName="9" name="DOI" queryTableFieldId="9" dataDxfId="317"/>
    <tableColumn id="10" xr3:uid="{87B53A0A-4589-4FDD-A5A0-0E4CE6AD3FEB}" uniqueName="10" name="Url" queryTableFieldId="10" dataDxfId="316"/>
    <tableColumn id="11" xr3:uid="{DEB1B196-FF29-440E-B1F5-BBCC7569DF09}" uniqueName="11" name="Abstract Note" queryTableFieldId="11" dataDxfId="315"/>
    <tableColumn id="12" xr3:uid="{833D7FF2-EDAB-4A9D-A907-43B1EAB016C5}" uniqueName="12" name="Date" queryTableFieldId="12" dataDxfId="314"/>
    <tableColumn id="13" xr3:uid="{78E601EB-DCFF-4F14-B48F-3B0F16BAE772}" uniqueName="13" name="Date Added" queryTableFieldId="13" dataDxfId="313"/>
    <tableColumn id="14" xr3:uid="{E20AA225-9D47-4C69-906D-923AD35EFAEE}" uniqueName="14" name="Date Modified" queryTableFieldId="14" dataDxfId="312"/>
    <tableColumn id="15" xr3:uid="{E027CBF8-6596-478B-87DB-0CFE93CE24CE}" uniqueName="15" name="Access Date" queryTableFieldId="15" dataDxfId="311"/>
    <tableColumn id="16" xr3:uid="{982600E5-10E1-4917-AD4D-C9979E95418C}" uniqueName="16" name="Pages" queryTableFieldId="16" dataDxfId="310"/>
    <tableColumn id="17" xr3:uid="{9AF73A56-CE1E-42F9-A1CB-76A95105B0A6}" uniqueName="17" name="Num Pages" queryTableFieldId="17" dataDxfId="309"/>
    <tableColumn id="18" xr3:uid="{B858056E-B9AB-49D1-A618-9F1929E7CA82}" uniqueName="18" name="Issue" queryTableFieldId="18"/>
    <tableColumn id="19" xr3:uid="{B7D67B18-15B6-40AD-A758-C497E2A7692F}" uniqueName="19" name="Volume" queryTableFieldId="19"/>
    <tableColumn id="20" xr3:uid="{BCCFFCA1-7287-4100-A489-314D9828D86E}" uniqueName="20" name="Number Of Volumes" queryTableFieldId="20" dataDxfId="308"/>
    <tableColumn id="21" xr3:uid="{13D1E814-7361-4850-9743-393E4EE3AB3C}" uniqueName="21" name="Journal Abbreviation" queryTableFieldId="21" dataDxfId="307"/>
    <tableColumn id="22" xr3:uid="{45154DE3-5DE4-407A-A9A8-990EB4C05250}" uniqueName="22" name="Short Title" queryTableFieldId="22" dataDxfId="306"/>
    <tableColumn id="23" xr3:uid="{BD5A5420-6125-4659-9634-64016BBD0AF6}" uniqueName="23" name="Series" queryTableFieldId="23" dataDxfId="305"/>
    <tableColumn id="24" xr3:uid="{E73729BF-88AF-4AC7-B894-6E6C9AD5A6CC}" uniqueName="24" name="Series Number" queryTableFieldId="24" dataDxfId="304"/>
    <tableColumn id="25" xr3:uid="{CF456DE4-F572-4E5B-80A5-5A0AB1F48666}" uniqueName="25" name="Series Text" queryTableFieldId="25" dataDxfId="303"/>
    <tableColumn id="26" xr3:uid="{3162413D-5DFA-402B-81EE-6C71F49C4FAE}" uniqueName="26" name="Series Title" queryTableFieldId="26" dataDxfId="302"/>
    <tableColumn id="27" xr3:uid="{C5AC351C-A3DB-4C8E-B599-61C16428464C}" uniqueName="27" name="Publisher" queryTableFieldId="27" dataDxfId="301"/>
    <tableColumn id="28" xr3:uid="{DDA58DA3-C80A-47FE-90F0-61DCD1B19274}" uniqueName="28" name="Place" queryTableFieldId="28" dataDxfId="300"/>
    <tableColumn id="29" xr3:uid="{8CC8F8E6-A1B2-46A4-9773-42F3B538552F}" uniqueName="29" name="Language" queryTableFieldId="29" dataDxfId="299"/>
    <tableColumn id="30" xr3:uid="{B119A52E-1E75-4C89-9030-D17280E55F8A}" uniqueName="30" name="Rights" queryTableFieldId="30" dataDxfId="298"/>
    <tableColumn id="31" xr3:uid="{F742B800-C027-4C13-AEDE-DD673B16FC51}" uniqueName="31" name="Type" queryTableFieldId="31" dataDxfId="297"/>
    <tableColumn id="32" xr3:uid="{1A585014-4524-44A3-BAEE-20E49872C976}" uniqueName="32" name="Archive" queryTableFieldId="32" dataDxfId="296"/>
    <tableColumn id="33" xr3:uid="{DB388E87-2FB2-44A4-A907-D8920EE7D8E5}" uniqueName="33" name="Archive Location" queryTableFieldId="33" dataDxfId="295"/>
    <tableColumn id="34" xr3:uid="{E19B3BAB-4CB5-4DA8-8911-B8CB031E90CE}" uniqueName="34" name="Library Catalog" queryTableFieldId="34" dataDxfId="294"/>
    <tableColumn id="35" xr3:uid="{20759ECC-B5DD-464F-AE13-ABB59588E591}" uniqueName="35" name="Call Number" queryTableFieldId="35"/>
    <tableColumn id="36" xr3:uid="{3D6C25B8-C7E3-413D-B35D-0CF310E4755D}" uniqueName="36" name="Extra" queryTableFieldId="36" dataDxfId="293"/>
    <tableColumn id="37" xr3:uid="{BD62C279-0857-4E09-8E43-06C50AE66F07}" uniqueName="37" name="Notes" queryTableFieldId="37" dataDxfId="292"/>
    <tableColumn id="38" xr3:uid="{E09E984F-B517-4B1C-962C-6D948AC559D4}" uniqueName="38" name="File Attachments" queryTableFieldId="38" dataDxfId="291"/>
    <tableColumn id="39" xr3:uid="{F6215323-6C4A-45B6-842D-95F46D3A93BE}" uniqueName="39" name="Link Attachments" queryTableFieldId="39" dataDxfId="290"/>
    <tableColumn id="40" xr3:uid="{9C62D50D-B51A-4135-9067-E42E7F05F201}" uniqueName="40" name="Manual Tags" queryTableFieldId="40" dataDxfId="289"/>
    <tableColumn id="41" xr3:uid="{6831A9D8-3691-42CB-9FF2-F1C5A3C0E0F3}" uniqueName="41" name="Automatic Tags" queryTableFieldId="41" dataDxfId="288"/>
    <tableColumn id="42" xr3:uid="{35B2279D-71DC-4A9D-B77A-B811BF26649C}" uniqueName="42" name="Editor" queryTableFieldId="42" dataDxfId="287"/>
    <tableColumn id="43" xr3:uid="{7A58B829-8D46-4ADE-92D8-16942B1DB60E}" uniqueName="43" name="Series Editor" queryTableFieldId="43" dataDxfId="286"/>
    <tableColumn id="44" xr3:uid="{D571CF6A-679D-460E-8564-1B14B44535F7}" uniqueName="44" name="Translator" queryTableFieldId="44" dataDxfId="285"/>
    <tableColumn id="45" xr3:uid="{9639C5CA-DD20-4207-A04C-4EF18ED6BDD0}" uniqueName="45" name="Contributor" queryTableFieldId="45" dataDxfId="284"/>
    <tableColumn id="46" xr3:uid="{BD56897E-CBFF-4246-8E30-C55A0EF15C76}" uniqueName="46" name="Attorney Agent" queryTableFieldId="46" dataDxfId="283"/>
    <tableColumn id="47" xr3:uid="{0BC476A2-1221-42B6-9765-C4BD078D4B96}" uniqueName="47" name="Book Author" queryTableFieldId="47" dataDxfId="282"/>
    <tableColumn id="48" xr3:uid="{FED76AA4-6A92-40AE-92F4-E171BFB3FFF1}" uniqueName="48" name="Cast Member" queryTableFieldId="48" dataDxfId="281"/>
    <tableColumn id="49" xr3:uid="{8FF36E35-87E5-4AA9-902F-F6E004157748}" uniqueName="49" name="Commenter" queryTableFieldId="49" dataDxfId="280"/>
    <tableColumn id="50" xr3:uid="{9FA9DB62-DCA9-463C-988D-AAFAA5B625E6}" uniqueName="50" name="Composer" queryTableFieldId="50" dataDxfId="279"/>
    <tableColumn id="51" xr3:uid="{850A1B34-FB03-4A54-B7B7-242EF0619475}" uniqueName="51" name="Cosponsor" queryTableFieldId="51" dataDxfId="278"/>
    <tableColumn id="52" xr3:uid="{8811E212-B086-4998-9FD8-570CEB6E8E32}" uniqueName="52" name="Counsel" queryTableFieldId="52" dataDxfId="277"/>
    <tableColumn id="53" xr3:uid="{07732DE0-0C74-4F79-A73A-480B2733B728}" uniqueName="53" name="Interviewer" queryTableFieldId="53" dataDxfId="276"/>
    <tableColumn id="54" xr3:uid="{C0465CB0-69FB-47E9-AD7F-B23B6B63A42C}" uniqueName="54" name="Producer" queryTableFieldId="54" dataDxfId="275"/>
    <tableColumn id="55" xr3:uid="{24FFF22C-0A1E-4437-8A46-B50E53606999}" uniqueName="55" name="Recipient" queryTableFieldId="55" dataDxfId="274"/>
    <tableColumn id="56" xr3:uid="{A4F03C53-49D4-4B13-A36A-59F45F86ED28}" uniqueName="56" name="Reviewed Author" queryTableFieldId="56" dataDxfId="273"/>
    <tableColumn id="57" xr3:uid="{3C3CF6FC-9875-4752-937C-58A8DC69062C}" uniqueName="57" name="Scriptwriter" queryTableFieldId="57" dataDxfId="272"/>
    <tableColumn id="58" xr3:uid="{904DF80D-8BC5-4CAD-840C-CAC26C9D06DB}" uniqueName="58" name="Words By" queryTableFieldId="58" dataDxfId="271"/>
    <tableColumn id="59" xr3:uid="{F816148C-2B7A-49AC-BB83-040A45FB126D}" uniqueName="59" name="Guest" queryTableFieldId="59" dataDxfId="270"/>
    <tableColumn id="60" xr3:uid="{C00D7850-04F6-49F6-AE62-832761C0D11D}" uniqueName="60" name="Number" queryTableFieldId="60" dataDxfId="269"/>
    <tableColumn id="61" xr3:uid="{D14F6165-184F-4A1B-96C4-2267428D13E3}" uniqueName="61" name="Edition" queryTableFieldId="61" dataDxfId="268"/>
    <tableColumn id="62" xr3:uid="{2A83678A-D0E9-4430-976F-4F3940BFDE08}" uniqueName="62" name="Running Time" queryTableFieldId="62" dataDxfId="267"/>
    <tableColumn id="63" xr3:uid="{1D3C972B-7DE3-486D-96C5-AA1A13151720}" uniqueName="63" name="Scale" queryTableFieldId="63" dataDxfId="266"/>
    <tableColumn id="64" xr3:uid="{7599193C-AD82-4D3A-8E78-0096DA2E3EBA}" uniqueName="64" name="Medium" queryTableFieldId="64" dataDxfId="265"/>
    <tableColumn id="65" xr3:uid="{5A81977E-8B05-4413-AC61-0675F0FE72A5}" uniqueName="65" name="Artwork Size" queryTableFieldId="65" dataDxfId="264"/>
    <tableColumn id="66" xr3:uid="{EF45B130-E80F-47C8-B756-59DB5A238B10}" uniqueName="66" name="Filing Date" queryTableFieldId="66" dataDxfId="263"/>
    <tableColumn id="67" xr3:uid="{5EE2B972-1D53-4DEE-A228-495D013F272D}" uniqueName="67" name="Application Number" queryTableFieldId="67" dataDxfId="262"/>
    <tableColumn id="68" xr3:uid="{07012CC9-0438-47CE-B96D-BCAD1AB9219D}" uniqueName="68" name="Assignee" queryTableFieldId="68" dataDxfId="261"/>
    <tableColumn id="69" xr3:uid="{60574B5E-239A-44F4-A4B1-5E6162C12D23}" uniqueName="69" name="Issuing Authority" queryTableFieldId="69" dataDxfId="260"/>
    <tableColumn id="70" xr3:uid="{5D1654DD-7827-441A-B8B4-4E3C35868297}" uniqueName="70" name="Country" queryTableFieldId="70" dataDxfId="259"/>
    <tableColumn id="71" xr3:uid="{69A51272-7147-42B0-AB44-A305F67BF476}" uniqueName="71" name="Meeting Name" queryTableFieldId="71" dataDxfId="258"/>
    <tableColumn id="72" xr3:uid="{538E7200-8E56-4C59-9D6D-B6E128CA6C7E}" uniqueName="72" name="Conference Name" queryTableFieldId="72" dataDxfId="257"/>
    <tableColumn id="73" xr3:uid="{649831D5-8BCF-4E1B-B31E-DE801E993155}" uniqueName="73" name="Court" queryTableFieldId="73" dataDxfId="256"/>
    <tableColumn id="74" xr3:uid="{3DDA944D-5211-42B2-9BAA-1A2917E3013C}" uniqueName="74" name="References" queryTableFieldId="74" dataDxfId="255"/>
    <tableColumn id="75" xr3:uid="{2903DAD1-C22F-4725-ACF1-4F48A3AD188C}" uniqueName="75" name="Reporter" queryTableFieldId="75" dataDxfId="254"/>
    <tableColumn id="76" xr3:uid="{4C6856FC-9000-42BC-B0DB-BB0E68866005}" uniqueName="76" name="Legal Status" queryTableFieldId="76" dataDxfId="253"/>
    <tableColumn id="77" xr3:uid="{4CB35FE0-EFDB-4754-930E-D422BCA5DFE5}" uniqueName="77" name="Priority Numbers" queryTableFieldId="77" dataDxfId="252"/>
    <tableColumn id="78" xr3:uid="{BEE77053-9E1F-491E-B6E6-DDA3481F32B5}" uniqueName="78" name="Programming Language" queryTableFieldId="78" dataDxfId="251"/>
    <tableColumn id="79" xr3:uid="{95179B64-2D8B-4E37-97C0-17DD2C420F91}" uniqueName="79" name="Version" queryTableFieldId="79" dataDxfId="250"/>
    <tableColumn id="80" xr3:uid="{E0548897-7392-4B24-A11D-70E19F6E2EB5}" uniqueName="80" name="System" queryTableFieldId="80" dataDxfId="249"/>
    <tableColumn id="81" xr3:uid="{70E412D1-298E-428C-92EC-2DEB76D80452}" uniqueName="81" name="Code" queryTableFieldId="81" dataDxfId="248"/>
    <tableColumn id="82" xr3:uid="{5F467C0D-6DA0-4F98-9514-89B5C7C83643}" uniqueName="82" name="Code Number" queryTableFieldId="82" dataDxfId="247"/>
    <tableColumn id="83" xr3:uid="{65DF7080-FB1F-4309-AA32-18FDE777EAA3}" uniqueName="83" name="Section" queryTableFieldId="83" dataDxfId="246"/>
    <tableColumn id="84" xr3:uid="{26140E70-1F22-4D7A-BD9B-741FE44F26D2}" uniqueName="84" name="Session" queryTableFieldId="84" dataDxfId="245"/>
    <tableColumn id="85" xr3:uid="{0A9F562D-E55A-4B2A-A4E5-CC3043C708C0}" uniqueName="85" name="Committee" queryTableFieldId="85" dataDxfId="244"/>
    <tableColumn id="86" xr3:uid="{42F80AB4-6BCD-4451-BA8D-870C12F2B25A}" uniqueName="86" name="History" queryTableFieldId="86" dataDxfId="243"/>
    <tableColumn id="87" xr3:uid="{BF8FC4D0-FB9F-4844-994A-C66B486463C1}" uniqueName="87" name="Legislative Body" queryTableFieldId="87" dataDxfId="24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A7026B6-948F-4286-A1E1-3BAA940432F6}" name="papers_tags" displayName="papers_tags" ref="A1:CI65" tableType="queryTable" totalsRowShown="0">
  <autoFilter ref="A1:CI65" xr:uid="{9A7026B6-948F-4286-A1E1-3BAA940432F6}"/>
  <sortState xmlns:xlrd2="http://schemas.microsoft.com/office/spreadsheetml/2017/richdata2" ref="A2:CI65">
    <sortCondition descending="1" ref="N1:N65"/>
  </sortState>
  <tableColumns count="87">
    <tableColumn id="1" xr3:uid="{EF8074B4-88C9-4B9D-B666-07A554A082A5}" uniqueName="1" name="Key" queryTableFieldId="1" dataDxfId="241"/>
    <tableColumn id="2" xr3:uid="{C85182CA-2A35-46F3-8097-861ADD1F228A}" uniqueName="2" name="Item Type" queryTableFieldId="2" dataDxfId="240"/>
    <tableColumn id="3" xr3:uid="{D309AB53-BFA7-41A1-BAB3-8E9EA76597D6}" uniqueName="3" name="Publication Year" queryTableFieldId="3"/>
    <tableColumn id="4" xr3:uid="{EF2D1884-4393-4385-A2BB-32A3E15F61FF}" uniqueName="4" name="Author" queryTableFieldId="4" dataDxfId="239"/>
    <tableColumn id="5" xr3:uid="{0396D057-0A79-4A09-AB07-D24785234176}" uniqueName="5" name="Title" queryTableFieldId="5" dataDxfId="238"/>
    <tableColumn id="6" xr3:uid="{31780F73-1DD0-4C04-915A-0E4B352912CB}" uniqueName="6" name="Publication Title" queryTableFieldId="6" dataDxfId="237"/>
    <tableColumn id="7" xr3:uid="{BDCB4586-C2B6-4038-A909-BF9BF4CE3FF6}" uniqueName="7" name="ISBN" queryTableFieldId="7" dataDxfId="236"/>
    <tableColumn id="8" xr3:uid="{4999685E-0E4B-423A-9B67-03F65088FA5C}" uniqueName="8" name="ISSN" queryTableFieldId="8" dataDxfId="235"/>
    <tableColumn id="9" xr3:uid="{45ED5D46-1607-4138-9F50-CF4EB9C8CF99}" uniqueName="9" name="DOI" queryTableFieldId="9" dataDxfId="234"/>
    <tableColumn id="10" xr3:uid="{D34959A8-0922-41FC-9A4D-F616E7A57650}" uniqueName="10" name="Url" queryTableFieldId="10" dataDxfId="233"/>
    <tableColumn id="11" xr3:uid="{88D98FAE-0B9A-401D-B026-ECD5B00DF9E4}" uniqueName="11" name="Abstract Note" queryTableFieldId="11" dataDxfId="232"/>
    <tableColumn id="12" xr3:uid="{544F7FEB-2A8C-455C-B08C-07BA362EDE16}" uniqueName="12" name="Date" queryTableFieldId="12" dataDxfId="231"/>
    <tableColumn id="13" xr3:uid="{119E474B-ABE0-4127-933B-F9C7DB8192B1}" uniqueName="13" name="Date Added" queryTableFieldId="13" dataDxfId="230"/>
    <tableColumn id="14" xr3:uid="{1F73391F-3270-42FE-9839-15AD0D018087}" uniqueName="14" name="Date Modified" queryTableFieldId="14" dataDxfId="229"/>
    <tableColumn id="15" xr3:uid="{9FFE2B52-C035-4A31-A7F2-7042BB8A8A67}" uniqueName="15" name="Access Date" queryTableFieldId="15" dataDxfId="228"/>
    <tableColumn id="16" xr3:uid="{639513F8-6BCD-462C-AE3D-57601AB90DCF}" uniqueName="16" name="Pages" queryTableFieldId="16" dataDxfId="227"/>
    <tableColumn id="17" xr3:uid="{E7F3500E-B789-4CBB-9F6D-5A0783360ACB}" uniqueName="17" name="Num Pages" queryTableFieldId="17" dataDxfId="226"/>
    <tableColumn id="18" xr3:uid="{5DBEA16B-C1F2-455E-8B22-0CC2A0B3A29A}" uniqueName="18" name="Issue" queryTableFieldId="18"/>
    <tableColumn id="19" xr3:uid="{C3BFDA12-DD54-4483-8E8C-ED2244C88D4C}" uniqueName="19" name="Volume" queryTableFieldId="19"/>
    <tableColumn id="20" xr3:uid="{F2E523A9-1E3A-4007-981E-05C3BEC9DB46}" uniqueName="20" name="Number Of Volumes" queryTableFieldId="20" dataDxfId="225"/>
    <tableColumn id="21" xr3:uid="{6B6D2690-09C9-46B7-B58D-E2D0CC6FC7CE}" uniqueName="21" name="Journal Abbreviation" queryTableFieldId="21" dataDxfId="224"/>
    <tableColumn id="22" xr3:uid="{F6704F6A-9D93-49A3-BF39-B045EEEADD9D}" uniqueName="22" name="Short Title" queryTableFieldId="22" dataDxfId="223"/>
    <tableColumn id="23" xr3:uid="{D46FC56C-1609-4F4E-8A3D-9443D0659684}" uniqueName="23" name="Series" queryTableFieldId="23" dataDxfId="222"/>
    <tableColumn id="24" xr3:uid="{33887E6A-1CBC-46F5-90ED-05DBB4AB8C22}" uniqueName="24" name="Series Number" queryTableFieldId="24" dataDxfId="221"/>
    <tableColumn id="25" xr3:uid="{55C4D15F-5140-4E7C-B39A-DACD3CEDFDF9}" uniqueName="25" name="Series Text" queryTableFieldId="25" dataDxfId="220"/>
    <tableColumn id="26" xr3:uid="{E4B418F7-5795-44BE-917C-C2D63BFD769E}" uniqueName="26" name="Series Title" queryTableFieldId="26" dataDxfId="219"/>
    <tableColumn id="27" xr3:uid="{CC48076F-5CF4-4C95-81B0-8721C8BF8D6C}" uniqueName="27" name="Publisher" queryTableFieldId="27" dataDxfId="218"/>
    <tableColumn id="28" xr3:uid="{630ABA36-93ED-4FFD-A969-97F228953DC1}" uniqueName="28" name="Place" queryTableFieldId="28" dataDxfId="217"/>
    <tableColumn id="29" xr3:uid="{076D0BC4-C276-41D4-BDC1-31D66CD66E73}" uniqueName="29" name="Language" queryTableFieldId="29" dataDxfId="216"/>
    <tableColumn id="30" xr3:uid="{76964473-14B7-4CE2-93EF-11F29F328E6E}" uniqueName="30" name="Rights" queryTableFieldId="30" dataDxfId="215"/>
    <tableColumn id="31" xr3:uid="{6BEC4ADD-963E-48A6-B2E3-C426F42B2F91}" uniqueName="31" name="Type" queryTableFieldId="31" dataDxfId="214"/>
    <tableColumn id="32" xr3:uid="{4619D3F6-5BD0-450E-B467-667EA4742C59}" uniqueName="32" name="Archive" queryTableFieldId="32" dataDxfId="213"/>
    <tableColumn id="33" xr3:uid="{B587AFD9-69D1-4BC5-A470-68E30292C621}" uniqueName="33" name="Archive Location" queryTableFieldId="33" dataDxfId="212"/>
    <tableColumn id="34" xr3:uid="{E24FB0D0-8632-43E8-8CE9-D4B69A02FE36}" uniqueName="34" name="Library Catalog" queryTableFieldId="34" dataDxfId="211"/>
    <tableColumn id="35" xr3:uid="{8E8A7DA3-8B83-4DCC-B96F-F30C0738F534}" uniqueName="35" name="Call Number" queryTableFieldId="35"/>
    <tableColumn id="36" xr3:uid="{BA204193-5F13-4CC1-A28A-3AE0F57759D9}" uniqueName="36" name="Extra" queryTableFieldId="36" dataDxfId="210"/>
    <tableColumn id="37" xr3:uid="{F79E0BFB-D421-4830-978D-205F300BB028}" uniqueName="37" name="Notes" queryTableFieldId="37" dataDxfId="209"/>
    <tableColumn id="38" xr3:uid="{9277D1F0-86B8-42BE-9139-500873830CB7}" uniqueName="38" name="File Attachments" queryTableFieldId="38" dataDxfId="208"/>
    <tableColumn id="39" xr3:uid="{F7ECF58F-C995-43A0-A886-FF9BB38CCD6E}" uniqueName="39" name="Link Attachments" queryTableFieldId="39" dataDxfId="207"/>
    <tableColumn id="40" xr3:uid="{FCD42108-DA7C-4B88-BBCA-7808FCF6E8E5}" uniqueName="40" name="Manual Tags" queryTableFieldId="40" dataDxfId="206"/>
    <tableColumn id="41" xr3:uid="{CCB14331-3C32-4F68-9F28-44EE94B4E6F8}" uniqueName="41" name="Automatic Tags" queryTableFieldId="41" dataDxfId="205"/>
    <tableColumn id="42" xr3:uid="{F2BC6BC3-C8EE-4560-939D-EC50E52144CC}" uniqueName="42" name="Editor" queryTableFieldId="42" dataDxfId="204"/>
    <tableColumn id="43" xr3:uid="{C0C3EECB-526B-42BD-BB65-7BF3B50F1B5E}" uniqueName="43" name="Series Editor" queryTableFieldId="43" dataDxfId="203"/>
    <tableColumn id="44" xr3:uid="{CA0A2B5A-3598-4669-924A-0278AA7942E3}" uniqueName="44" name="Translator" queryTableFieldId="44" dataDxfId="202"/>
    <tableColumn id="45" xr3:uid="{DF29DD45-C51E-4B54-B0BE-4DC0127154F7}" uniqueName="45" name="Contributor" queryTableFieldId="45" dataDxfId="201"/>
    <tableColumn id="46" xr3:uid="{957C403E-CDBD-4DD5-B8F3-0A2B74F61305}" uniqueName="46" name="Attorney Agent" queryTableFieldId="46" dataDxfId="200"/>
    <tableColumn id="47" xr3:uid="{92D1B8B1-5963-4C5D-9277-63EDCF780C8F}" uniqueName="47" name="Book Author" queryTableFieldId="47" dataDxfId="199"/>
    <tableColumn id="48" xr3:uid="{08D92F14-6EC7-4496-BFDF-6DE47A48D4B6}" uniqueName="48" name="Cast Member" queryTableFieldId="48" dataDxfId="198"/>
    <tableColumn id="49" xr3:uid="{F619816B-D823-4F30-998A-EA89FBE35FB4}" uniqueName="49" name="Commenter" queryTableFieldId="49" dataDxfId="197"/>
    <tableColumn id="50" xr3:uid="{40A43585-76B2-4BB7-8617-CF3957FF8F60}" uniqueName="50" name="Composer" queryTableFieldId="50" dataDxfId="196"/>
    <tableColumn id="51" xr3:uid="{EF7D424D-CBFC-4D31-9A22-B9BD7FAA539D}" uniqueName="51" name="Cosponsor" queryTableFieldId="51" dataDxfId="195"/>
    <tableColumn id="52" xr3:uid="{9CBCF764-F547-45B2-9CC7-3C931AD1C85E}" uniqueName="52" name="Counsel" queryTableFieldId="52" dataDxfId="194"/>
    <tableColumn id="53" xr3:uid="{DE9E3476-4C92-48FC-9CF3-8B225B46C325}" uniqueName="53" name="Interviewer" queryTableFieldId="53" dataDxfId="193"/>
    <tableColumn id="54" xr3:uid="{F75BB7F8-0E9B-42F8-A483-C85D93814531}" uniqueName="54" name="Producer" queryTableFieldId="54" dataDxfId="192"/>
    <tableColumn id="55" xr3:uid="{E6FB3091-7FE8-4466-8B88-6D1D2C816AC0}" uniqueName="55" name="Recipient" queryTableFieldId="55" dataDxfId="191"/>
    <tableColumn id="56" xr3:uid="{BA14D79F-645B-483E-A23C-12BD7D191A09}" uniqueName="56" name="Reviewed Author" queryTableFieldId="56" dataDxfId="190"/>
    <tableColumn id="57" xr3:uid="{46B91D1F-F4CB-4094-BD75-87CB90D6FAB7}" uniqueName="57" name="Scriptwriter" queryTableFieldId="57" dataDxfId="189"/>
    <tableColumn id="58" xr3:uid="{4347314F-401F-46A7-97FA-E62C9D0A2BBB}" uniqueName="58" name="Words By" queryTableFieldId="58" dataDxfId="188"/>
    <tableColumn id="59" xr3:uid="{F73748CC-74DB-42C4-A034-810858C94D8F}" uniqueName="59" name="Guest" queryTableFieldId="59" dataDxfId="187"/>
    <tableColumn id="60" xr3:uid="{7732CF6A-C828-4F36-A08B-BB8C3F52E095}" uniqueName="60" name="Number" queryTableFieldId="60" dataDxfId="186"/>
    <tableColumn id="61" xr3:uid="{457840A7-8F87-4ABA-9F26-A464C73CA31C}" uniqueName="61" name="Edition" queryTableFieldId="61" dataDxfId="185"/>
    <tableColumn id="62" xr3:uid="{1A5258A2-07A4-4438-93C8-E83538DC1BA7}" uniqueName="62" name="Running Time" queryTableFieldId="62" dataDxfId="184"/>
    <tableColumn id="63" xr3:uid="{BE673902-1C31-4B7E-B442-902B66E77DE4}" uniqueName="63" name="Scale" queryTableFieldId="63" dataDxfId="183"/>
    <tableColumn id="64" xr3:uid="{B6076BDA-E7F1-429A-B845-A07F2F8F2F53}" uniqueName="64" name="Medium" queryTableFieldId="64" dataDxfId="182"/>
    <tableColumn id="65" xr3:uid="{0F126EA1-CCE6-4375-9949-FB7EE683190F}" uniqueName="65" name="Artwork Size" queryTableFieldId="65" dataDxfId="181"/>
    <tableColumn id="66" xr3:uid="{65080A90-73FC-4638-884D-32A58DF7A659}" uniqueName="66" name="Filing Date" queryTableFieldId="66" dataDxfId="180"/>
    <tableColumn id="67" xr3:uid="{912BFF60-FCF2-494D-8783-2AB5B4B5CC00}" uniqueName="67" name="Application Number" queryTableFieldId="67" dataDxfId="179"/>
    <tableColumn id="68" xr3:uid="{68F22626-DECD-4C01-9ED0-F1EF28FDA30C}" uniqueName="68" name="Assignee" queryTableFieldId="68" dataDxfId="178"/>
    <tableColumn id="69" xr3:uid="{4636C541-E06C-4743-A0DF-B5076BC2A337}" uniqueName="69" name="Issuing Authority" queryTableFieldId="69" dataDxfId="177"/>
    <tableColumn id="70" xr3:uid="{382594D4-7514-4A31-96F0-2677A8866846}" uniqueName="70" name="Country" queryTableFieldId="70" dataDxfId="176"/>
    <tableColumn id="71" xr3:uid="{620DD3A1-5566-4732-9698-CEE337B4D661}" uniqueName="71" name="Meeting Name" queryTableFieldId="71" dataDxfId="175"/>
    <tableColumn id="72" xr3:uid="{581B0947-4B6A-4EFC-A727-10073619782C}" uniqueName="72" name="Conference Name" queryTableFieldId="72" dataDxfId="174"/>
    <tableColumn id="73" xr3:uid="{86FE9F40-F9DF-42A3-A258-39C6E4034DA9}" uniqueName="73" name="Court" queryTableFieldId="73" dataDxfId="173"/>
    <tableColumn id="74" xr3:uid="{2CB2C9CB-8CE0-4469-A773-404DEB228B33}" uniqueName="74" name="References" queryTableFieldId="74" dataDxfId="172"/>
    <tableColumn id="75" xr3:uid="{5AD314C7-4646-4075-B4DC-EF46D720B658}" uniqueName="75" name="Reporter" queryTableFieldId="75" dataDxfId="171"/>
    <tableColumn id="76" xr3:uid="{30329414-E27D-4D26-8437-657D7A7AB3FF}" uniqueName="76" name="Legal Status" queryTableFieldId="76" dataDxfId="170"/>
    <tableColumn id="77" xr3:uid="{7F4F1608-F818-4E0B-B889-7DC2493AAACA}" uniqueName="77" name="Priority Numbers" queryTableFieldId="77" dataDxfId="169"/>
    <tableColumn id="78" xr3:uid="{6BF136F6-8E8D-4A39-A703-454286961E88}" uniqueName="78" name="Programming Language" queryTableFieldId="78" dataDxfId="168"/>
    <tableColumn id="79" xr3:uid="{845095A7-FFA2-40D7-945B-02AB7B33747C}" uniqueName="79" name="Version" queryTableFieldId="79" dataDxfId="167"/>
    <tableColumn id="80" xr3:uid="{4775DC4B-4D9A-422F-83F6-7C3CE95EDCD5}" uniqueName="80" name="System" queryTableFieldId="80" dataDxfId="166"/>
    <tableColumn id="81" xr3:uid="{2FA46311-28E1-44B6-ADED-C3A9E94F393E}" uniqueName="81" name="Code" queryTableFieldId="81" dataDxfId="165"/>
    <tableColumn id="82" xr3:uid="{755D02D3-F8D8-4BDB-ADF1-FD4F2566504F}" uniqueName="82" name="Code Number" queryTableFieldId="82" dataDxfId="164"/>
    <tableColumn id="83" xr3:uid="{02810508-47EB-4DD3-9726-34F7914848AE}" uniqueName="83" name="Section" queryTableFieldId="83" dataDxfId="163"/>
    <tableColumn id="84" xr3:uid="{E1635F7C-0594-4128-8DF3-47D6E0419AB9}" uniqueName="84" name="Session" queryTableFieldId="84" dataDxfId="162"/>
    <tableColumn id="85" xr3:uid="{EDE8B3B5-C0E2-4F5F-89A7-5FA7091E40A4}" uniqueName="85" name="Committee" queryTableFieldId="85" dataDxfId="161"/>
    <tableColumn id="86" xr3:uid="{4B0EED38-E009-4259-BB1B-4F6BA2BE5F0C}" uniqueName="86" name="History" queryTableFieldId="86" dataDxfId="160"/>
    <tableColumn id="87" xr3:uid="{3C16508B-8712-4774-BD00-C33D9C3A963E}" uniqueName="87" name="Legislative Body" queryTableFieldId="87" dataDxfId="159"/>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46B6EEF-0ABE-405D-A74B-97C579ED331B}" name="Tabla_papers" displayName="Tabla_papers" ref="A1:CJ128" totalsRowShown="0" headerRowDxfId="158" dataDxfId="157">
  <autoFilter ref="A1:CJ128" xr:uid="{146B6EEF-0ABE-405D-A74B-97C579ED331B}">
    <filterColumn colId="87">
      <filters>
        <filter val="FALTA"/>
      </filters>
    </filterColumn>
  </autoFilter>
  <sortState xmlns:xlrd2="http://schemas.microsoft.com/office/spreadsheetml/2017/richdata2" ref="A2:CJ65">
    <sortCondition descending="1" ref="CJ1:CJ65"/>
  </sortState>
  <tableColumns count="88">
    <tableColumn id="1" xr3:uid="{DB3890D3-1469-495A-B9F3-4EA7A16EAABC}" name="Key" dataDxfId="156"/>
    <tableColumn id="2" xr3:uid="{4BFFC37E-9E75-42FB-BE6C-1C5E13C2415C}" name="Item Type" dataDxfId="155"/>
    <tableColumn id="3" xr3:uid="{6D1FAF7A-3BE8-4209-973A-327D62EDF76A}" name="Publication Year" dataDxfId="154"/>
    <tableColumn id="4" xr3:uid="{25BE5468-5FAA-40D3-9695-D1799DF4687C}" name="Author" dataDxfId="153"/>
    <tableColumn id="5" xr3:uid="{87C4B2F3-B869-480E-925C-CCEA9B8448CC}" name="Title" dataDxfId="152"/>
    <tableColumn id="6" xr3:uid="{818FCD24-CAED-4EFD-B0AC-2A669131536F}" name="Publication Title" dataDxfId="151"/>
    <tableColumn id="7" xr3:uid="{49593B4A-00D3-44F2-99E1-C09ECB09F2D5}" name="ISBN" dataDxfId="150"/>
    <tableColumn id="8" xr3:uid="{DECACBD2-5704-453E-A6A1-541D6D78475F}" name="ISSN" dataDxfId="149"/>
    <tableColumn id="9" xr3:uid="{C782FBAC-EBA7-4872-9638-870EC886396C}" name="DOI" dataDxfId="148"/>
    <tableColumn id="10" xr3:uid="{314D03FA-C995-4DD7-B7CC-0BA79E083044}" name="Url" dataDxfId="147"/>
    <tableColumn id="11" xr3:uid="{35916462-2963-41B8-86C0-FA42821D31D7}" name="Abstract Note" dataDxfId="146"/>
    <tableColumn id="12" xr3:uid="{34C17FD8-1383-4A53-83BE-3B34E74B2B71}" name="Date" dataDxfId="145"/>
    <tableColumn id="13" xr3:uid="{FCA6A2B9-17AD-43AF-BBEB-9CBD66C5D45F}" name="Date Added" dataDxfId="144"/>
    <tableColumn id="14" xr3:uid="{F7FC79A6-E411-4E9B-BA73-0398F952EDFA}" name="Date Modified" dataDxfId="143"/>
    <tableColumn id="15" xr3:uid="{F2D37EB2-DE8B-4D62-933E-5EF4ADD833B9}" name="Access Date" dataDxfId="142"/>
    <tableColumn id="16" xr3:uid="{B1A4A2E1-52F0-4329-9549-A5530A139A13}" name="Pages" dataDxfId="141"/>
    <tableColumn id="17" xr3:uid="{2F4C4038-7FC9-43FE-B54F-15D7A6215C1B}" name="Num Pages" dataDxfId="140"/>
    <tableColumn id="18" xr3:uid="{45897315-8B9F-4766-BC95-B8751540FA38}" name="Issue" dataDxfId="139"/>
    <tableColumn id="19" xr3:uid="{CD0A530E-380A-4D27-AC7B-1D7A7F2BB6F5}" name="Volume" dataDxfId="138"/>
    <tableColumn id="20" xr3:uid="{67A5DBB1-261B-41A7-968F-087633CD5709}" name="Number Of Volumes" dataDxfId="137"/>
    <tableColumn id="21" xr3:uid="{F247B506-1DE7-490D-8321-6DD0A63EC0A3}" name="Journal Abbreviation" dataDxfId="136"/>
    <tableColumn id="22" xr3:uid="{DF050191-474E-4152-9E95-899284C0E478}" name="Short Title" dataDxfId="135"/>
    <tableColumn id="23" xr3:uid="{43744CCD-566F-4FDE-99BB-24034112D968}" name="Series" dataDxfId="134"/>
    <tableColumn id="24" xr3:uid="{57D59F15-DDA8-4902-B81F-515D0CA35F7F}" name="Series Number" dataDxfId="133"/>
    <tableColumn id="25" xr3:uid="{B0B2CC27-E368-40A5-91E3-B3B787E8D627}" name="Series Text" dataDxfId="132"/>
    <tableColumn id="26" xr3:uid="{1FB9962C-2DD5-4E8F-802E-D6B7157B9A21}" name="Series Title" dataDxfId="131"/>
    <tableColumn id="27" xr3:uid="{1755955B-B9F7-44F8-95A0-84C1DCB15643}" name="Publisher" dataDxfId="130"/>
    <tableColumn id="28" xr3:uid="{149E97FF-1AEE-44DE-9677-6B65001C1B96}" name="Place" dataDxfId="129"/>
    <tableColumn id="29" xr3:uid="{3C7F1907-8DD1-44D0-A413-C07EF8E718B1}" name="Language" dataDxfId="128"/>
    <tableColumn id="30" xr3:uid="{9259B670-733F-4507-9D52-C71280C94130}" name="Rights" dataDxfId="127"/>
    <tableColumn id="31" xr3:uid="{38BBA61D-CEEF-40BA-907F-EBD2A0BBE082}" name="Type" dataDxfId="126"/>
    <tableColumn id="32" xr3:uid="{68774487-B0C1-4F7D-BF4A-B826467F57BD}" name="Archive" dataDxfId="125"/>
    <tableColumn id="33" xr3:uid="{C10272D9-A4C5-49A9-BB6D-461DD9992556}" name="Archive Location" dataDxfId="124"/>
    <tableColumn id="34" xr3:uid="{52DC07C1-0542-46D6-94C4-D033ADE17F1D}" name="Library Catalog" dataDxfId="123"/>
    <tableColumn id="35" xr3:uid="{196A90E6-934B-49DE-8A45-D2CE5CD937ED}" name="Call Number" dataDxfId="122"/>
    <tableColumn id="36" xr3:uid="{0C926C67-EE42-4619-8666-AF72E2D05884}" name="Extra" dataDxfId="121"/>
    <tableColumn id="37" xr3:uid="{520F09CA-C33F-4E7C-828A-C598B06B4361}" name="Notes" dataDxfId="120"/>
    <tableColumn id="38" xr3:uid="{7EAAE464-862F-49F1-A751-6E9C6831EE83}" name="File Attachments" dataDxfId="119"/>
    <tableColumn id="39" xr3:uid="{0EF15471-8A5A-43FE-A503-789CC81706BE}" name="Link Attachments" dataDxfId="118"/>
    <tableColumn id="40" xr3:uid="{500D9E42-62E4-4673-86B5-D46917F035C5}" name="Manual Tags" dataDxfId="117"/>
    <tableColumn id="41" xr3:uid="{CE2C7309-34B6-4E9B-A26C-F272DE9105A0}" name="Automatic Tags" dataDxfId="116"/>
    <tableColumn id="42" xr3:uid="{98ADDB15-5A0F-42AC-9293-5AE1F57CBF2D}" name="Editor" dataDxfId="115"/>
    <tableColumn id="43" xr3:uid="{D82D87A8-6D0F-4B81-8D3B-CB0C545EFE78}" name="Series Editor" dataDxfId="114"/>
    <tableColumn id="44" xr3:uid="{91D42D5E-0032-4CDC-9139-90543B51D3C2}" name="Translator" dataDxfId="113"/>
    <tableColumn id="45" xr3:uid="{83986A44-3678-4E94-B86E-85A8CC3DEF7F}" name="Contributor" dataDxfId="112"/>
    <tableColumn id="46" xr3:uid="{D18FA872-C06E-4479-BE76-DB8917FDCAB0}" name="Attorney Agent" dataDxfId="111"/>
    <tableColumn id="47" xr3:uid="{502A4568-B77C-4D8E-94D9-F46872613033}" name="Book Author" dataDxfId="110"/>
    <tableColumn id="48" xr3:uid="{D8CF7EDE-F539-4350-B0BE-A192D2901A66}" name="Cast Member" dataDxfId="109"/>
    <tableColumn id="49" xr3:uid="{B1225332-0003-4BD0-95C8-E5C8A0DC492C}" name="Commenter" dataDxfId="108"/>
    <tableColumn id="50" xr3:uid="{2B197E02-C3EC-4177-BD5F-25E6B6C5BB7B}" name="Composer" dataDxfId="107"/>
    <tableColumn id="51" xr3:uid="{249F2E9B-27BC-40CA-82FD-F3C9C0208A3E}" name="Cosponsor" dataDxfId="106"/>
    <tableColumn id="52" xr3:uid="{A9C8BB5F-6047-4A37-AB09-75632A89AF1C}" name="Counsel" dataDxfId="105"/>
    <tableColumn id="53" xr3:uid="{966BBEB4-D1E8-4150-90DE-4CCAFADFF2B4}" name="Interviewer" dataDxfId="104"/>
    <tableColumn id="54" xr3:uid="{ECC220A3-FC30-42E4-B687-F522EA37C954}" name="Producer" dataDxfId="103"/>
    <tableColumn id="55" xr3:uid="{EBA44340-2E20-49BA-B731-C065F6789771}" name="Recipient" dataDxfId="102"/>
    <tableColumn id="56" xr3:uid="{E6F39E8E-A989-4326-A9CB-6B2068B90536}" name="Reviewed Author" dataDxfId="101"/>
    <tableColumn id="57" xr3:uid="{99C2286B-8C14-4BCC-8D58-9BD2C0142A63}" name="Scriptwriter" dataDxfId="100"/>
    <tableColumn id="58" xr3:uid="{10A0AE4E-2871-440E-8C2A-3D22E915A37A}" name="Words By" dataDxfId="99"/>
    <tableColumn id="59" xr3:uid="{664A408C-E84D-4A8C-A054-1CF8E857750B}" name="Guest" dataDxfId="98"/>
    <tableColumn id="60" xr3:uid="{229967B6-8688-4C86-9146-E90AFED75B9C}" name="Number" dataDxfId="97"/>
    <tableColumn id="61" xr3:uid="{FE54D4C2-4C0E-4F2C-B034-EAA7336A31C5}" name="Edition" dataDxfId="96"/>
    <tableColumn id="62" xr3:uid="{32E7E891-E42D-4C34-A1D6-5DD685E5C9CE}" name="Running Time" dataDxfId="95"/>
    <tableColumn id="63" xr3:uid="{B77FC285-C70A-41FB-BAA1-3C6CE41C1A3B}" name="Scale" dataDxfId="94"/>
    <tableColumn id="64" xr3:uid="{FA04A95E-3220-4C0B-8FEA-0D4C9C7AE635}" name="Medium" dataDxfId="93"/>
    <tableColumn id="65" xr3:uid="{21F1C93B-9512-43A7-895E-B832580131D6}" name="Artwork Size" dataDxfId="92"/>
    <tableColumn id="66" xr3:uid="{D49AFDAD-0A35-44D1-ABC1-B0B4CC321BFB}" name="Filing Date" dataDxfId="91"/>
    <tableColumn id="67" xr3:uid="{D81938DE-E814-42B7-91F6-940E755F0E6B}" name="Application Number" dataDxfId="90"/>
    <tableColumn id="68" xr3:uid="{E4AF2054-9A8C-450F-BA37-AE03E6A160AE}" name="Assignee" dataDxfId="89"/>
    <tableColumn id="69" xr3:uid="{19CF8218-699A-4D93-962D-A4D057B020DF}" name="Issuing Authority" dataDxfId="88"/>
    <tableColumn id="70" xr3:uid="{F3792511-E369-4F14-B536-1213F790B5DE}" name="Country" dataDxfId="87"/>
    <tableColumn id="71" xr3:uid="{45396169-17D0-428A-8136-40DAC0FDE788}" name="Meeting Name" dataDxfId="86"/>
    <tableColumn id="72" xr3:uid="{31C350AA-889B-478D-BA72-16D4ECA4D7A4}" name="Conference Name" dataDxfId="85"/>
    <tableColumn id="73" xr3:uid="{DAA0E1CA-7E7C-4FE1-BD59-BD0FE35E94C8}" name="Court" dataDxfId="84"/>
    <tableColumn id="74" xr3:uid="{12F23D38-09D2-46E7-B0F0-44A96CD8FB23}" name="References" dataDxfId="83"/>
    <tableColumn id="75" xr3:uid="{ADF7B858-F4A1-4528-8783-D14AA55DCFDE}" name="Reporter" dataDxfId="82"/>
    <tableColumn id="76" xr3:uid="{D706F251-7437-413E-9DD8-970D83818B1C}" name="Legal Status" dataDxfId="81"/>
    <tableColumn id="77" xr3:uid="{09A5D873-098F-46CD-8F2D-9FD948EE004D}" name="Priority Numbers" dataDxfId="80"/>
    <tableColumn id="78" xr3:uid="{787DD447-B5B7-4428-A804-890A1656AC7A}" name="Programming Language" dataDxfId="79"/>
    <tableColumn id="79" xr3:uid="{41FB60D2-5DE2-4DE5-BE08-AF0995FA7B79}" name="Version" dataDxfId="78"/>
    <tableColumn id="80" xr3:uid="{D86954FD-4A11-44BC-A843-E7D31FE6C374}" name="System" dataDxfId="77"/>
    <tableColumn id="81" xr3:uid="{E6536346-D850-4232-869F-66C3EA6B8B7A}" name="Code" dataDxfId="76"/>
    <tableColumn id="82" xr3:uid="{5BE33349-BCA1-4D63-9EFD-CF6037C7CB91}" name="Code Number" dataDxfId="75"/>
    <tableColumn id="83" xr3:uid="{C596367A-E5ED-4CD9-9653-498D210EF00E}" name="Section" dataDxfId="74"/>
    <tableColumn id="84" xr3:uid="{DA4140E9-536A-4CF0-825D-601DC6BCC9CA}" name="Session" dataDxfId="73"/>
    <tableColumn id="85" xr3:uid="{A0656CDD-ADF4-492C-B570-C4A336AB162B}" name="Committee" dataDxfId="72"/>
    <tableColumn id="86" xr3:uid="{29F8DB09-2D19-4A17-B734-6C2FB8361DE9}" name="History" dataDxfId="71"/>
    <tableColumn id="87" xr3:uid="{1FE18D9A-A255-419D-B1B8-848DC3E188D6}" name="Legislative Body" dataDxfId="70"/>
    <tableColumn id="88" xr3:uid="{6E261524-8FDB-4D7D-917D-0D1675E0774D}" name="Existe" dataDxfId="69">
      <calculatedColumnFormula>IF(ISERROR(_xlfn.XLOOKUP(Tabla_papers[[#This Row],[Key]],Primer_filtro[Key],Primer_filtro[Key])),"FALTA","YA ESTÁ")</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BCC4F18-5F73-4AC2-A6FC-4EBE4870BF89}" name="Primer_filtro" displayName="Primer_filtro" ref="A1:Y85" totalsRowShown="0" headerRowDxfId="517" dataDxfId="516">
  <autoFilter ref="A1:Y85" xr:uid="{6BCC4F18-5F73-4AC2-A6FC-4EBE4870BF89}"/>
  <sortState xmlns:xlrd2="http://schemas.microsoft.com/office/spreadsheetml/2017/richdata2" ref="A2:Y85">
    <sortCondition descending="1" ref="U1:U85"/>
  </sortState>
  <tableColumns count="25">
    <tableColumn id="1" xr3:uid="{FA2E6FAF-9400-4367-9548-A8314D766E7F}" name="Key" dataDxfId="515"/>
    <tableColumn id="2" xr3:uid="{FC73F696-6124-4C6D-A967-0784D1D994AE}" name="Título" dataDxfId="514">
      <calculatedColumnFormula>_xlfn.XLOOKUP(Primer_filtro[[#This Row],[Key]],Tabla_papers[Key],Tabla_papers[Title],"")</calculatedColumnFormula>
    </tableColumn>
    <tableColumn id="3" xr3:uid="{7276122C-081E-4FCB-B50E-FBC6F6C1D627}" name="Tipo" dataDxfId="513">
      <calculatedColumnFormula>_xlfn.XLOOKUP(Primer_filtro[[#This Row],[Key]],Tabla_papers[Key],Tabla_papers[Item Type],"")</calculatedColumnFormula>
    </tableColumn>
    <tableColumn id="4" xr3:uid="{421A99D7-2849-456C-A036-93DA2FB859FE}" name="Tipo de motor" dataDxfId="512"/>
    <tableColumn id="5" xr3:uid="{D7ED083D-CBD1-4FBD-A678-4C6133E747D1}" name="Objetivo" dataDxfId="511"/>
    <tableColumn id="6" xr3:uid="{E9D287EB-DF47-40E5-92A0-731AD56E1666}" name="¿Sensorless?" dataDxfId="510"/>
    <tableColumn id="20" xr3:uid="{DDE6CBD4-2AE2-44F0-BC86-7C2893AA7D61}" name="Low-speed" dataDxfId="509"/>
    <tableColumn id="7" xr3:uid="{617B51E7-CB01-4211-83B0-4D264D0BACDA}" name="Método de estimación" dataDxfId="508"/>
    <tableColumn id="8" xr3:uid="{9446CAD0-61FB-4360-B736-0F8D93656224}" name="Variables estimadas" dataDxfId="507"/>
    <tableColumn id="9" xr3:uid="{9BA181DF-B8CC-40AF-BE92-37C90B691DA0}" name="Velocidad de operación en RPM" dataDxfId="506"/>
    <tableColumn id="10" xr3:uid="{7ED2AE02-B3AE-4D83-A1D4-0BA56171A3F4}" name="Velocidad de operación en p.u." dataDxfId="505"/>
    <tableColumn id="11" xr3:uid="{CB47AC5C-63F5-45B8-B26E-218EE2DC2D2E}" name="¿Cogging?" dataDxfId="504"/>
    <tableColumn id="12" xr3:uid="{EC61C53B-E965-438E-B2AE-59CAE006821B}" name="Modelo de cogging" dataDxfId="503"/>
    <tableColumn id="13" xr3:uid="{56FC28E3-F5BD-47C9-91C1-74D793526326}" name="Compensación?" dataDxfId="502"/>
    <tableColumn id="14" xr3:uid="{D4D1D278-B69D-496F-B3A0-33CAF05EF32F}" name="Señal dónde se compensa" dataDxfId="501"/>
    <tableColumn id="15" xr3:uid="{57CC056F-CC5C-45D4-B917-2639E07CD70A}" name="Comp. Online?" dataDxfId="500"/>
    <tableColumn id="16" xr3:uid="{66EE6457-D0A5-4796-91CC-AD28CD0DD58E}" name="Resultado Ripple" dataDxfId="499"/>
    <tableColumn id="22" xr3:uid="{5EEE5F04-370E-4EA3-9023-138FCBDDD4BB}" name="¿Presenta carga?" dataDxfId="498"/>
    <tableColumn id="17" xr3:uid="{07AF2B8F-3B08-4656-A815-F7FDBD7EA97E}" name="Limitación" dataDxfId="497"/>
    <tableColumn id="18" xr3:uid="{4ACDD890-B53A-49AC-8922-1744D519EB97}" name="Utilidad para mi memoria" dataDxfId="496"/>
    <tableColumn id="19" xr3:uid="{9173D577-214E-465F-B382-1F6ED5369C54}" name="Prioridad" dataDxfId="495"/>
    <tableColumn id="21" xr3:uid="{5192F6E4-EB70-4903-89F8-DC08F20537DC}" name="Matematica" dataDxfId="494"/>
    <tableColumn id="23" xr3:uid="{917E663A-8901-4E7C-8935-F8ABAB2EBB70}" name="Gap" dataDxfId="493"/>
    <tableColumn id="25" xr3:uid="{3D06633C-9FDF-4BFD-B4A1-C5A24A5FEC22}" name="Aporta a la estructura de mi tesis?" dataDxfId="492"/>
    <tableColumn id="24" xr3:uid="{714AC180-A262-4074-BC46-530BE725305A}" name="Rol" dataDxfId="49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A09D40-A720-4E6A-8E98-06235B1A8529}" name="Tabla_gap" displayName="Tabla_gap" ref="A1:J46" totalsRowCount="1" headerRowDxfId="68" dataDxfId="67" totalsRowDxfId="66">
  <autoFilter ref="A1:J45" xr:uid="{7BA09D40-A720-4E6A-8E98-06235B1A8529}">
    <filterColumn colId="4">
      <filters>
        <filter val="si"/>
      </filters>
    </filterColumn>
  </autoFilter>
  <sortState xmlns:xlrd2="http://schemas.microsoft.com/office/spreadsheetml/2017/richdata2" ref="A2:J35">
    <sortCondition ref="E1:E35"/>
  </sortState>
  <tableColumns count="10">
    <tableColumn id="1" xr3:uid="{11F86099-C815-47E9-B2C1-1A25E6C7D27D}" name="Key" dataDxfId="65" totalsRowDxfId="64">
      <calculatedColumnFormula array="1">IFERROR(INDEX(_xlfn._xlws.FILTER(Primer_filtro[Key],UPPER(Primer_filtro[Gap])="SI"),ROW()-ROW(Tabla_gap[#Headers])),"")</calculatedColumnFormula>
    </tableColumn>
    <tableColumn id="2" xr3:uid="{519A6F13-3EC1-4092-89E1-2148B4CC5A67}" name="Tipo de motor" dataDxfId="63" totalsRowDxfId="62">
      <calculatedColumnFormula>_xlfn.XLOOKUP(Tabla_gap[[#This Row],[Key]],Primer_filtro[Key],Primer_filtro[Tipo de motor],"")</calculatedColumnFormula>
    </tableColumn>
    <tableColumn id="3" xr3:uid="{6D426A61-AB58-41B0-912E-9F026D827C16}" name="Sensorless" dataDxfId="61" totalsRowDxfId="60">
      <calculatedColumnFormula>_xlfn.XLOOKUP(Tabla_gap[[#This Row],[Key]],Primer_filtro[Key],Primer_filtro[¿Sensorless?],"")</calculatedColumnFormula>
    </tableColumn>
    <tableColumn id="4" xr3:uid="{89AE5EC7-45D0-42C2-8EAB-084406F92ABC}" name="Low-speed" dataDxfId="59" totalsRowDxfId="58">
      <calculatedColumnFormula>_xlfn.XLOOKUP(Tabla_gap[[#This Row],[Key]],Primer_filtro[Key],Primer_filtro[Low-speed],"")</calculatedColumnFormula>
    </tableColumn>
    <tableColumn id="5" xr3:uid="{A6813FF2-3472-4947-8709-109DD3DD4FDD}" name="Cogging" dataDxfId="57" totalsRowDxfId="56">
      <calculatedColumnFormula>_xlfn.XLOOKUP(Tabla_gap[[#This Row],[Key]],Primer_filtro[Key],Primer_filtro[¿Cogging?],"")</calculatedColumnFormula>
    </tableColumn>
    <tableColumn id="6" xr3:uid="{DCEC0DFA-DC1B-4600-B381-203641F6F94C}" name="Compensación" dataDxfId="55" totalsRowDxfId="54">
      <calculatedColumnFormula>_xlfn.XLOOKUP(Tabla_gap[[#This Row],[Key]],Primer_filtro[Key],Primer_filtro[Compensación?],"")</calculatedColumnFormula>
    </tableColumn>
    <tableColumn id="7" xr3:uid="{CF7AB6CA-55D9-4CC9-A07E-CFE024C41AD1}" name="Método" dataDxfId="53" totalsRowDxfId="52">
      <calculatedColumnFormula>_xlfn.XLOOKUP(Tabla_gap[[#This Row],[Key]],Primer_filtro[Key],Primer_filtro[Método de estimación],"")</calculatedColumnFormula>
    </tableColumn>
    <tableColumn id="8" xr3:uid="{FD61F931-0665-4199-BC79-E2C6457BE32D}" name="Carga" dataDxfId="51" totalsRowDxfId="50">
      <calculatedColumnFormula>_xlfn.XLOOKUP(Tabla_gap[[#This Row],[Key]],Primer_filtro[Key],Primer_filtro[¿Presenta carga?],"")</calculatedColumnFormula>
    </tableColumn>
    <tableColumn id="9" xr3:uid="{A676A07B-2728-4EE1-99A9-DBF15E6FE0D5}" name="Utilidad" dataDxfId="49" totalsRowDxfId="48">
      <calculatedColumnFormula>_xlfn.XLOOKUP(Tabla_gap[[#This Row],[Key]],Primer_filtro[Key],Primer_filtro[Utilidad para mi memoria],"")</calculatedColumnFormula>
    </tableColumn>
    <tableColumn id="10" xr3:uid="{E5BDF445-6CBC-46CB-9768-A4F576164287}" name="Rol" dataDxfId="47" totalsRowDxfId="46">
      <calculatedColumnFormula>_xlfn.XLOOKUP(Tabla_gap[[#This Row],[Key]],Primer_filtro[Key],Primer_filtro[Rol],"")</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05C80E4-AD43-44F6-999E-4278299D2C31}" name="Tabla_gap6" displayName="Tabla_gap6" ref="A1:J36" totalsRowCount="1" headerRowDxfId="45" dataDxfId="44" totalsRowDxfId="43">
  <autoFilter ref="A1:J35" xr:uid="{505C80E4-AD43-44F6-999E-4278299D2C31}"/>
  <tableColumns count="10">
    <tableColumn id="1" xr3:uid="{575DC670-F5C4-4F84-A003-1F0E6D8522BB}" name="Key" dataDxfId="42" totalsRowDxfId="41">
      <calculatedColumnFormula array="1">IFERROR(INDEX(_xlfn._xlws.FILTER(Primer_filtro[Key],UPPER(Primer_filtro[Matematica])="SI"),ROW()-ROW(Tabla_gap6[#Headers])),"")</calculatedColumnFormula>
    </tableColumn>
    <tableColumn id="2" xr3:uid="{B771EA53-FA56-4888-9B65-6CF76A179145}" name="Tipo de motor" dataDxfId="40" totalsRowDxfId="39">
      <calculatedColumnFormula>_xlfn.XLOOKUP(Tabla_gap6[[#This Row],[Key]],Primer_filtro[Key],Primer_filtro[Tipo de motor],"")</calculatedColumnFormula>
    </tableColumn>
    <tableColumn id="3" xr3:uid="{2419F948-8C99-47B7-86E8-D73BAA112A6C}" name="Sensorless" dataDxfId="38" totalsRowDxfId="37">
      <calculatedColumnFormula>_xlfn.XLOOKUP(Tabla_gap6[[#This Row],[Key]],Primer_filtro[Key],Primer_filtro[¿Sensorless?],"")</calculatedColumnFormula>
    </tableColumn>
    <tableColumn id="4" xr3:uid="{D47DF269-9032-4795-980F-2642C0BE96B4}" name="Low-speed" dataDxfId="36" totalsRowDxfId="35">
      <calculatedColumnFormula>_xlfn.XLOOKUP(Tabla_gap6[[#This Row],[Key]],Primer_filtro[Key],Primer_filtro[Low-speed],"")</calculatedColumnFormula>
    </tableColumn>
    <tableColumn id="5" xr3:uid="{E2F97D56-EA13-4F3C-8EEB-28550E7ACC2D}" name="Cogging" dataDxfId="34" totalsRowDxfId="33">
      <calculatedColumnFormula>_xlfn.XLOOKUP(Tabla_gap6[[#This Row],[Key]],Primer_filtro[Key],Primer_filtro[¿Cogging?],"")</calculatedColumnFormula>
    </tableColumn>
    <tableColumn id="6" xr3:uid="{79759431-677D-4146-9486-ABEEF796718C}" name="Compensación" dataDxfId="32" totalsRowDxfId="31">
      <calculatedColumnFormula>_xlfn.XLOOKUP(Tabla_gap6[[#This Row],[Key]],Primer_filtro[Key],Primer_filtro[Compensación?],"")</calculatedColumnFormula>
    </tableColumn>
    <tableColumn id="7" xr3:uid="{DA1AFD05-890E-4185-9343-AACA3D737C2D}" name="Método" dataDxfId="30" totalsRowDxfId="29">
      <calculatedColumnFormula>_xlfn.XLOOKUP(Tabla_gap6[[#This Row],[Key]],Primer_filtro[Key],Primer_filtro[Método de estimación],"")</calculatedColumnFormula>
    </tableColumn>
    <tableColumn id="8" xr3:uid="{C6A13CC5-F01E-494A-9AD7-26E0F01E7134}" name="Carga" dataDxfId="28" totalsRowDxfId="27">
      <calculatedColumnFormula>_xlfn.XLOOKUP(Tabla_gap6[[#This Row],[Key]],Primer_filtro[Key],Primer_filtro[¿Presenta carga?],"")</calculatedColumnFormula>
    </tableColumn>
    <tableColumn id="9" xr3:uid="{82570A42-96CF-464C-8211-6E7E0090AD0D}" name="Utilidad" dataDxfId="26" totalsRowDxfId="25">
      <calculatedColumnFormula>_xlfn.XLOOKUP(Tabla_gap6[[#This Row],[Key]],Primer_filtro[Key],Primer_filtro[Utilidad para mi memoria],"")</calculatedColumnFormula>
    </tableColumn>
    <tableColumn id="10" xr3:uid="{C677B3FB-935C-4F82-BE1E-376746334961}" name="Rol" dataDxfId="24" totalsRowDxfId="23">
      <calculatedColumnFormula>_xlfn.XLOOKUP(Tabla_gap6[[#This Row],[Key]],Primer_filtro[Key],Primer_filtro[Rol],"")</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BE41C27-3A3C-470D-85AA-A3828DC90C29}" name="Tabla_gap67" displayName="Tabla_gap67" ref="A1:J36" totalsRowCount="1" headerRowDxfId="22" dataDxfId="21" totalsRowDxfId="20">
  <autoFilter ref="A1:J35" xr:uid="{3BE41C27-3A3C-470D-85AA-A3828DC90C29}"/>
  <tableColumns count="10">
    <tableColumn id="1" xr3:uid="{7CC92E94-C93B-4EC1-ABB7-6C8910E20F70}" name="Key" dataDxfId="19" totalsRowDxfId="18">
      <calculatedColumnFormula array="1">IFERROR(INDEX(_xlfn._xlws.FILTER(Primer_filtro[Key],UPPER(Primer_filtro[Aporta a la estructura de mi tesis?])="SI"),ROW()-ROW(Tabla_gap67[#Headers])),"")</calculatedColumnFormula>
    </tableColumn>
    <tableColumn id="2" xr3:uid="{D3D13680-2910-4CA8-BA29-8A7394499675}" name="Tipo de motor" dataDxfId="17" totalsRowDxfId="16">
      <calculatedColumnFormula>_xlfn.XLOOKUP(Tabla_gap67[[#This Row],[Key]],Primer_filtro[Key],Primer_filtro[Tipo de motor],"")</calculatedColumnFormula>
    </tableColumn>
    <tableColumn id="3" xr3:uid="{04A1A5BA-304A-4ED2-83BB-CFB1FCC59C37}" name="Sensorless" dataDxfId="15" totalsRowDxfId="14">
      <calculatedColumnFormula>_xlfn.XLOOKUP(Tabla_gap67[[#This Row],[Key]],Primer_filtro[Key],Primer_filtro[¿Sensorless?],"")</calculatedColumnFormula>
    </tableColumn>
    <tableColumn id="4" xr3:uid="{FD016853-0487-49F7-A45C-1AAABDE39DCD}" name="Low-speed" dataDxfId="13" totalsRowDxfId="12">
      <calculatedColumnFormula>_xlfn.XLOOKUP(Tabla_gap67[[#This Row],[Key]],Primer_filtro[Key],Primer_filtro[Low-speed],"")</calculatedColumnFormula>
    </tableColumn>
    <tableColumn id="5" xr3:uid="{437E1149-E989-4FB0-AA55-8C48DD6DC932}" name="Cogging" dataDxfId="11" totalsRowDxfId="10">
      <calculatedColumnFormula>_xlfn.XLOOKUP(Tabla_gap67[[#This Row],[Key]],Primer_filtro[Key],Primer_filtro[¿Cogging?],"")</calculatedColumnFormula>
    </tableColumn>
    <tableColumn id="6" xr3:uid="{828CA86B-C8A5-444E-BD73-538402B941AD}" name="Compensación" dataDxfId="9" totalsRowDxfId="8">
      <calculatedColumnFormula>_xlfn.XLOOKUP(Tabla_gap67[[#This Row],[Key]],Primer_filtro[Key],Primer_filtro[Compensación?],"")</calculatedColumnFormula>
    </tableColumn>
    <tableColumn id="7" xr3:uid="{ABEDD31E-CDA1-4C7B-9D95-465A59F8D9D0}" name="Método" dataDxfId="7" totalsRowDxfId="6">
      <calculatedColumnFormula>_xlfn.XLOOKUP(Tabla_gap67[[#This Row],[Key]],Primer_filtro[Key],Primer_filtro[Método de estimación],"")</calculatedColumnFormula>
    </tableColumn>
    <tableColumn id="8" xr3:uid="{B0AD759B-6E1C-4884-A516-EBB5EA1027A5}" name="Carga" dataDxfId="5" totalsRowDxfId="4">
      <calculatedColumnFormula>_xlfn.XLOOKUP(Tabla_gap67[[#This Row],[Key]],Primer_filtro[Key],Primer_filtro[¿Presenta carga?],"")</calculatedColumnFormula>
    </tableColumn>
    <tableColumn id="9" xr3:uid="{41F90F09-738D-485A-A2B7-D30E5FF78B9E}" name="Utilidad" dataDxfId="3" totalsRowDxfId="2">
      <calculatedColumnFormula>_xlfn.XLOOKUP(Tabla_gap67[[#This Row],[Key]],Primer_filtro[Key],Primer_filtro[Utilidad para mi memoria],"")</calculatedColumnFormula>
    </tableColumn>
    <tableColumn id="10" xr3:uid="{FDBCA377-47E8-4C7E-AEF8-9F6A615E894F}" name="Rol" dataDxfId="1" totalsRowDxfId="0">
      <calculatedColumnFormula>_xlfn.XLOOKUP(Tabla_gap67[[#This Row],[Key]],Primer_filtro[Key],Primer_filtro[Rol],"")</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86410-3001-4F3C-B4B6-EDFC0D165456}">
  <dimension ref="A1:CI72"/>
  <sheetViews>
    <sheetView topLeftCell="A28" workbookViewId="0">
      <selection activeCell="K66" sqref="A66:K72"/>
    </sheetView>
  </sheetViews>
  <sheetFormatPr baseColWidth="10" defaultRowHeight="15" x14ac:dyDescent="0.25"/>
  <cols>
    <col min="1" max="1" width="11" bestFit="1" customWidth="1"/>
    <col min="2" max="2" width="15.85546875" bestFit="1" customWidth="1"/>
    <col min="3" max="3" width="17.85546875" bestFit="1" customWidth="1"/>
    <col min="4" max="6" width="81.140625" bestFit="1" customWidth="1"/>
    <col min="7" max="7" width="33.7109375" bestFit="1" customWidth="1"/>
    <col min="8" max="8" width="29.5703125" bestFit="1" customWidth="1"/>
    <col min="9" max="9" width="47.28515625" bestFit="1" customWidth="1"/>
    <col min="10" max="10" width="66.85546875" bestFit="1" customWidth="1"/>
    <col min="11" max="11" width="81.140625" bestFit="1" customWidth="1"/>
    <col min="12" max="12" width="10.42578125" bestFit="1" customWidth="1"/>
    <col min="13" max="13" width="15.42578125" bestFit="1" customWidth="1"/>
    <col min="14" max="14" width="16" bestFit="1" customWidth="1"/>
    <col min="15" max="15" width="15.42578125" bestFit="1" customWidth="1"/>
    <col min="16" max="16" width="11.7109375" bestFit="1" customWidth="1"/>
    <col min="17" max="17" width="13.28515625" bestFit="1" customWidth="1"/>
    <col min="18" max="18" width="8.140625" bestFit="1" customWidth="1"/>
    <col min="19" max="19" width="10.140625" bestFit="1" customWidth="1"/>
    <col min="20" max="20" width="21.5703125" bestFit="1" customWidth="1"/>
    <col min="21" max="21" width="37.140625" bestFit="1" customWidth="1"/>
    <col min="22" max="22" width="70.7109375" bestFit="1" customWidth="1"/>
    <col min="23" max="23" width="35.42578125" bestFit="1" customWidth="1"/>
    <col min="24" max="24" width="16.7109375" bestFit="1" customWidth="1"/>
    <col min="25" max="25" width="13.28515625" bestFit="1" customWidth="1"/>
    <col min="26" max="26" width="13.42578125" bestFit="1" customWidth="1"/>
    <col min="27" max="27" width="39.140625" bestFit="1" customWidth="1"/>
    <col min="28" max="28" width="26.7109375" bestFit="1" customWidth="1"/>
    <col min="29" max="29" width="11.7109375" bestFit="1" customWidth="1"/>
    <col min="30" max="30" width="73.5703125" bestFit="1" customWidth="1"/>
    <col min="31" max="31" width="18.85546875" bestFit="1" customWidth="1"/>
    <col min="32" max="32" width="10" bestFit="1" customWidth="1"/>
    <col min="33" max="33" width="18.140625" bestFit="1" customWidth="1"/>
    <col min="34" max="34" width="17" bestFit="1" customWidth="1"/>
    <col min="35" max="35" width="14.5703125" bestFit="1" customWidth="1"/>
    <col min="36" max="36" width="24.85546875" bestFit="1" customWidth="1"/>
    <col min="37" max="37" width="8.7109375" bestFit="1" customWidth="1"/>
    <col min="38" max="38" width="81.140625" bestFit="1" customWidth="1"/>
    <col min="39" max="39" width="19" bestFit="1" customWidth="1"/>
    <col min="40" max="40" width="79.42578125" bestFit="1" customWidth="1"/>
    <col min="41" max="41" width="81.140625" bestFit="1" customWidth="1"/>
    <col min="42" max="42" width="14.28515625" bestFit="1" customWidth="1"/>
    <col min="43" max="43" width="14.85546875" bestFit="1" customWidth="1"/>
    <col min="44" max="44" width="12.28515625" bestFit="1" customWidth="1"/>
    <col min="45" max="45" width="13.85546875" bestFit="1" customWidth="1"/>
    <col min="46" max="46" width="16.5703125" bestFit="1" customWidth="1"/>
    <col min="47" max="47" width="14.140625" bestFit="1" customWidth="1"/>
    <col min="48" max="48" width="15.28515625" bestFit="1" customWidth="1"/>
    <col min="49" max="49" width="14.140625" bestFit="1" customWidth="1"/>
    <col min="50" max="50" width="12.7109375" bestFit="1" customWidth="1"/>
    <col min="51" max="51" width="13.140625" bestFit="1" customWidth="1"/>
    <col min="52" max="52" width="10.85546875" bestFit="1" customWidth="1"/>
    <col min="53" max="53" width="13.5703125" bestFit="1" customWidth="1"/>
    <col min="55" max="55" width="12" bestFit="1" customWidth="1"/>
    <col min="56" max="56" width="18.7109375" bestFit="1" customWidth="1"/>
    <col min="57" max="57" width="13.85546875" bestFit="1" customWidth="1"/>
    <col min="58" max="58" width="11.7109375" bestFit="1" customWidth="1"/>
    <col min="59" max="59" width="8.7109375" bestFit="1" customWidth="1"/>
    <col min="60" max="60" width="10.5703125" bestFit="1" customWidth="1"/>
    <col min="61" max="61" width="9.7109375" bestFit="1" customWidth="1"/>
    <col min="62" max="62" width="15.5703125" bestFit="1" customWidth="1"/>
    <col min="63" max="63" width="8.140625" bestFit="1" customWidth="1"/>
    <col min="64" max="64" width="10.5703125" bestFit="1" customWidth="1"/>
    <col min="65" max="65" width="14.28515625" bestFit="1" customWidth="1"/>
    <col min="66" max="66" width="12.85546875" bestFit="1" customWidth="1"/>
    <col min="67" max="67" width="21.28515625" bestFit="1" customWidth="1"/>
    <col min="69" max="69" width="18.5703125" bestFit="1" customWidth="1"/>
    <col min="70" max="70" width="10.5703125" bestFit="1" customWidth="1"/>
    <col min="71" max="71" width="16.28515625" bestFit="1" customWidth="1"/>
    <col min="72" max="72" width="81.140625" bestFit="1" customWidth="1"/>
    <col min="73" max="73" width="8.42578125" bestFit="1" customWidth="1"/>
    <col min="74" max="74" width="13.7109375" bestFit="1" customWidth="1"/>
    <col min="75" max="75" width="11.28515625" bestFit="1" customWidth="1"/>
    <col min="76" max="76" width="14.140625" bestFit="1" customWidth="1"/>
    <col min="77" max="77" width="18.7109375" bestFit="1" customWidth="1"/>
    <col min="78" max="78" width="24.28515625" bestFit="1" customWidth="1"/>
    <col min="79" max="79" width="10.140625" bestFit="1" customWidth="1"/>
    <col min="80" max="80" width="10" bestFit="1" customWidth="1"/>
    <col min="81" max="81" width="8.140625" bestFit="1" customWidth="1"/>
    <col min="82" max="82" width="15.85546875" bestFit="1" customWidth="1"/>
    <col min="83" max="83" width="10.140625" bestFit="1" customWidth="1"/>
    <col min="84" max="84" width="10.42578125" bestFit="1" customWidth="1"/>
    <col min="85" max="85" width="13.5703125" bestFit="1" customWidth="1"/>
    <col min="86" max="86" width="9.85546875" bestFit="1" customWidth="1"/>
    <col min="87" max="87" width="17.85546875" bestFit="1" customWidth="1"/>
  </cols>
  <sheetData>
    <row r="1" spans="1:8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row>
    <row r="2" spans="1:87" x14ac:dyDescent="0.25">
      <c r="A2" t="s">
        <v>87</v>
      </c>
      <c r="B2" t="s">
        <v>88</v>
      </c>
      <c r="C2">
        <v>1994</v>
      </c>
      <c r="D2" t="s">
        <v>89</v>
      </c>
      <c r="E2" t="s">
        <v>90</v>
      </c>
      <c r="F2" t="s">
        <v>91</v>
      </c>
      <c r="G2" t="s">
        <v>674</v>
      </c>
      <c r="H2" t="s">
        <v>92</v>
      </c>
      <c r="I2" t="s">
        <v>93</v>
      </c>
      <c r="J2" t="s">
        <v>94</v>
      </c>
      <c r="K2" t="s">
        <v>674</v>
      </c>
      <c r="L2" t="s">
        <v>95</v>
      </c>
      <c r="M2" s="1">
        <v>46257.901307870372</v>
      </c>
      <c r="N2" s="1">
        <v>46257.932939814818</v>
      </c>
      <c r="O2" s="1">
        <v>46257.901307870372</v>
      </c>
      <c r="P2" t="s">
        <v>96</v>
      </c>
      <c r="Q2" t="s">
        <v>674</v>
      </c>
      <c r="R2">
        <v>5</v>
      </c>
      <c r="S2">
        <v>23</v>
      </c>
      <c r="T2" t="s">
        <v>674</v>
      </c>
      <c r="U2" t="s">
        <v>91</v>
      </c>
      <c r="V2" t="s">
        <v>674</v>
      </c>
      <c r="W2" t="s">
        <v>674</v>
      </c>
      <c r="X2" t="s">
        <v>674</v>
      </c>
      <c r="Y2" t="s">
        <v>674</v>
      </c>
      <c r="Z2" t="s">
        <v>674</v>
      </c>
      <c r="AA2" t="s">
        <v>674</v>
      </c>
      <c r="AB2" t="s">
        <v>674</v>
      </c>
      <c r="AC2" t="s">
        <v>97</v>
      </c>
      <c r="AD2" t="s">
        <v>98</v>
      </c>
      <c r="AE2" t="s">
        <v>674</v>
      </c>
      <c r="AF2" t="s">
        <v>674</v>
      </c>
      <c r="AG2" t="s">
        <v>674</v>
      </c>
      <c r="AH2" t="s">
        <v>99</v>
      </c>
      <c r="AJ2" t="s">
        <v>674</v>
      </c>
      <c r="AK2" t="s">
        <v>674</v>
      </c>
      <c r="AL2" t="s">
        <v>100</v>
      </c>
      <c r="AM2" t="s">
        <v>674</v>
      </c>
      <c r="AN2" t="s">
        <v>101</v>
      </c>
      <c r="AO2" t="s">
        <v>674</v>
      </c>
      <c r="AP2" t="s">
        <v>674</v>
      </c>
      <c r="AQ2" t="s">
        <v>674</v>
      </c>
      <c r="AR2" t="s">
        <v>674</v>
      </c>
      <c r="AS2" t="s">
        <v>674</v>
      </c>
      <c r="AT2" t="s">
        <v>674</v>
      </c>
      <c r="AU2" t="s">
        <v>674</v>
      </c>
      <c r="AV2" t="s">
        <v>674</v>
      </c>
      <c r="AW2" t="s">
        <v>674</v>
      </c>
      <c r="AX2" t="s">
        <v>674</v>
      </c>
      <c r="AY2" t="s">
        <v>674</v>
      </c>
      <c r="AZ2" t="s">
        <v>674</v>
      </c>
      <c r="BA2" t="s">
        <v>674</v>
      </c>
      <c r="BB2" t="s">
        <v>674</v>
      </c>
      <c r="BC2" t="s">
        <v>674</v>
      </c>
      <c r="BD2" t="s">
        <v>674</v>
      </c>
      <c r="BE2" t="s">
        <v>674</v>
      </c>
      <c r="BF2" t="s">
        <v>674</v>
      </c>
      <c r="BG2" t="s">
        <v>674</v>
      </c>
      <c r="BH2" t="s">
        <v>674</v>
      </c>
      <c r="BI2" t="s">
        <v>674</v>
      </c>
      <c r="BJ2" t="s">
        <v>674</v>
      </c>
      <c r="BK2" t="s">
        <v>674</v>
      </c>
      <c r="BL2" t="s">
        <v>674</v>
      </c>
      <c r="BM2" t="s">
        <v>674</v>
      </c>
      <c r="BN2" t="s">
        <v>674</v>
      </c>
      <c r="BO2" t="s">
        <v>674</v>
      </c>
      <c r="BP2" t="s">
        <v>674</v>
      </c>
      <c r="BQ2" t="s">
        <v>674</v>
      </c>
      <c r="BR2" t="s">
        <v>674</v>
      </c>
      <c r="BS2" t="s">
        <v>674</v>
      </c>
      <c r="BT2" t="s">
        <v>674</v>
      </c>
      <c r="BU2" t="s">
        <v>674</v>
      </c>
      <c r="BV2" t="s">
        <v>674</v>
      </c>
      <c r="BW2" t="s">
        <v>674</v>
      </c>
      <c r="BX2" t="s">
        <v>674</v>
      </c>
      <c r="BY2" t="s">
        <v>674</v>
      </c>
      <c r="BZ2" t="s">
        <v>674</v>
      </c>
      <c r="CA2" t="s">
        <v>674</v>
      </c>
      <c r="CB2" t="s">
        <v>674</v>
      </c>
      <c r="CC2" t="s">
        <v>674</v>
      </c>
      <c r="CD2" t="s">
        <v>674</v>
      </c>
      <c r="CE2" t="s">
        <v>674</v>
      </c>
      <c r="CF2" t="s">
        <v>674</v>
      </c>
      <c r="CG2" t="s">
        <v>674</v>
      </c>
      <c r="CH2" t="s">
        <v>674</v>
      </c>
      <c r="CI2" t="s">
        <v>674</v>
      </c>
    </row>
    <row r="3" spans="1:87" x14ac:dyDescent="0.25">
      <c r="A3" t="s">
        <v>102</v>
      </c>
      <c r="B3" t="s">
        <v>103</v>
      </c>
      <c r="C3">
        <v>2014</v>
      </c>
      <c r="D3" t="s">
        <v>104</v>
      </c>
      <c r="E3" t="s">
        <v>105</v>
      </c>
      <c r="F3" t="s">
        <v>674</v>
      </c>
      <c r="G3" t="s">
        <v>674</v>
      </c>
      <c r="H3" t="s">
        <v>674</v>
      </c>
      <c r="I3" t="s">
        <v>106</v>
      </c>
      <c r="J3" t="s">
        <v>107</v>
      </c>
      <c r="K3" t="s">
        <v>674</v>
      </c>
      <c r="L3" t="s">
        <v>675</v>
      </c>
      <c r="M3" s="1">
        <v>46257.901469907411</v>
      </c>
      <c r="N3" s="1">
        <v>46257.921446759261</v>
      </c>
      <c r="O3" s="1">
        <v>46257.901469907411</v>
      </c>
      <c r="P3" t="s">
        <v>674</v>
      </c>
      <c r="Q3" t="s">
        <v>674</v>
      </c>
      <c r="T3" t="s">
        <v>674</v>
      </c>
      <c r="U3" t="s">
        <v>674</v>
      </c>
      <c r="V3" t="s">
        <v>674</v>
      </c>
      <c r="W3" t="s">
        <v>674</v>
      </c>
      <c r="X3" t="s">
        <v>674</v>
      </c>
      <c r="Y3" t="s">
        <v>674</v>
      </c>
      <c r="Z3" t="s">
        <v>674</v>
      </c>
      <c r="AA3" t="s">
        <v>108</v>
      </c>
      <c r="AB3" t="s">
        <v>674</v>
      </c>
      <c r="AC3" t="s">
        <v>674</v>
      </c>
      <c r="AD3" t="s">
        <v>674</v>
      </c>
      <c r="AE3" t="s">
        <v>109</v>
      </c>
      <c r="AF3" t="s">
        <v>674</v>
      </c>
      <c r="AG3" t="s">
        <v>674</v>
      </c>
      <c r="AH3" t="s">
        <v>99</v>
      </c>
      <c r="AJ3" t="s">
        <v>674</v>
      </c>
      <c r="AK3" t="s">
        <v>674</v>
      </c>
      <c r="AL3" t="s">
        <v>110</v>
      </c>
      <c r="AM3" t="s">
        <v>674</v>
      </c>
      <c r="AN3" t="s">
        <v>111</v>
      </c>
      <c r="AO3" t="s">
        <v>674</v>
      </c>
      <c r="AP3" t="s">
        <v>674</v>
      </c>
      <c r="AQ3" t="s">
        <v>674</v>
      </c>
      <c r="AR3" t="s">
        <v>674</v>
      </c>
      <c r="AS3" t="s">
        <v>674</v>
      </c>
      <c r="AT3" t="s">
        <v>674</v>
      </c>
      <c r="AU3" t="s">
        <v>674</v>
      </c>
      <c r="AV3" t="s">
        <v>674</v>
      </c>
      <c r="AW3" t="s">
        <v>674</v>
      </c>
      <c r="AX3" t="s">
        <v>674</v>
      </c>
      <c r="AY3" t="s">
        <v>674</v>
      </c>
      <c r="AZ3" t="s">
        <v>674</v>
      </c>
      <c r="BA3" t="s">
        <v>674</v>
      </c>
      <c r="BB3" t="s">
        <v>674</v>
      </c>
      <c r="BC3" t="s">
        <v>674</v>
      </c>
      <c r="BD3" t="s">
        <v>674</v>
      </c>
      <c r="BE3" t="s">
        <v>674</v>
      </c>
      <c r="BF3" t="s">
        <v>674</v>
      </c>
      <c r="BG3" t="s">
        <v>674</v>
      </c>
      <c r="BH3" t="s">
        <v>674</v>
      </c>
      <c r="BI3" t="s">
        <v>674</v>
      </c>
      <c r="BJ3" t="s">
        <v>674</v>
      </c>
      <c r="BK3" t="s">
        <v>674</v>
      </c>
      <c r="BL3" t="s">
        <v>674</v>
      </c>
      <c r="BM3" t="s">
        <v>674</v>
      </c>
      <c r="BN3" t="s">
        <v>674</v>
      </c>
      <c r="BO3" t="s">
        <v>674</v>
      </c>
      <c r="BP3" t="s">
        <v>674</v>
      </c>
      <c r="BQ3" t="s">
        <v>674</v>
      </c>
      <c r="BR3" t="s">
        <v>674</v>
      </c>
      <c r="BS3" t="s">
        <v>674</v>
      </c>
      <c r="BT3" t="s">
        <v>674</v>
      </c>
      <c r="BU3" t="s">
        <v>674</v>
      </c>
      <c r="BV3" t="s">
        <v>674</v>
      </c>
      <c r="BW3" t="s">
        <v>674</v>
      </c>
      <c r="BX3" t="s">
        <v>674</v>
      </c>
      <c r="BY3" t="s">
        <v>674</v>
      </c>
      <c r="BZ3" t="s">
        <v>674</v>
      </c>
      <c r="CA3" t="s">
        <v>674</v>
      </c>
      <c r="CB3" t="s">
        <v>674</v>
      </c>
      <c r="CC3" t="s">
        <v>674</v>
      </c>
      <c r="CD3" t="s">
        <v>674</v>
      </c>
      <c r="CE3" t="s">
        <v>674</v>
      </c>
      <c r="CF3" t="s">
        <v>674</v>
      </c>
      <c r="CG3" t="s">
        <v>674</v>
      </c>
      <c r="CH3" t="s">
        <v>674</v>
      </c>
      <c r="CI3" t="s">
        <v>674</v>
      </c>
    </row>
    <row r="4" spans="1:87" x14ac:dyDescent="0.25">
      <c r="A4" t="s">
        <v>112</v>
      </c>
      <c r="B4" t="s">
        <v>88</v>
      </c>
      <c r="C4">
        <v>2021</v>
      </c>
      <c r="D4" t="s">
        <v>113</v>
      </c>
      <c r="E4" t="s">
        <v>114</v>
      </c>
      <c r="F4" t="s">
        <v>115</v>
      </c>
      <c r="G4" t="s">
        <v>674</v>
      </c>
      <c r="H4" t="s">
        <v>116</v>
      </c>
      <c r="I4" t="s">
        <v>117</v>
      </c>
      <c r="J4" t="s">
        <v>118</v>
      </c>
      <c r="K4" t="s">
        <v>674</v>
      </c>
      <c r="L4" t="s">
        <v>119</v>
      </c>
      <c r="M4" s="1">
        <v>46257.90152777778</v>
      </c>
      <c r="N4" s="1">
        <v>46257.929930555554</v>
      </c>
      <c r="O4" s="1">
        <v>46257.90152777778</v>
      </c>
      <c r="P4" t="s">
        <v>120</v>
      </c>
      <c r="Q4" t="s">
        <v>674</v>
      </c>
      <c r="R4">
        <v>1</v>
      </c>
      <c r="S4">
        <v>68</v>
      </c>
      <c r="T4" t="s">
        <v>674</v>
      </c>
      <c r="U4" t="s">
        <v>121</v>
      </c>
      <c r="V4" t="s">
        <v>674</v>
      </c>
      <c r="W4" t="s">
        <v>674</v>
      </c>
      <c r="X4" t="s">
        <v>674</v>
      </c>
      <c r="Y4" t="s">
        <v>674</v>
      </c>
      <c r="Z4" t="s">
        <v>674</v>
      </c>
      <c r="AA4" t="s">
        <v>674</v>
      </c>
      <c r="AB4" t="s">
        <v>674</v>
      </c>
      <c r="AC4" t="s">
        <v>674</v>
      </c>
      <c r="AD4" t="s">
        <v>122</v>
      </c>
      <c r="AE4" t="s">
        <v>674</v>
      </c>
      <c r="AF4" t="s">
        <v>674</v>
      </c>
      <c r="AG4" t="s">
        <v>674</v>
      </c>
      <c r="AH4" t="s">
        <v>99</v>
      </c>
      <c r="AJ4" t="s">
        <v>674</v>
      </c>
      <c r="AK4" t="s">
        <v>674</v>
      </c>
      <c r="AL4" t="s">
        <v>123</v>
      </c>
      <c r="AM4" t="s">
        <v>674</v>
      </c>
      <c r="AN4" t="s">
        <v>124</v>
      </c>
      <c r="AO4" t="s">
        <v>674</v>
      </c>
      <c r="AP4" t="s">
        <v>674</v>
      </c>
      <c r="AQ4" t="s">
        <v>674</v>
      </c>
      <c r="AR4" t="s">
        <v>674</v>
      </c>
      <c r="AS4" t="s">
        <v>674</v>
      </c>
      <c r="AT4" t="s">
        <v>674</v>
      </c>
      <c r="AU4" t="s">
        <v>674</v>
      </c>
      <c r="AV4" t="s">
        <v>674</v>
      </c>
      <c r="AW4" t="s">
        <v>674</v>
      </c>
      <c r="AX4" t="s">
        <v>674</v>
      </c>
      <c r="AY4" t="s">
        <v>674</v>
      </c>
      <c r="AZ4" t="s">
        <v>674</v>
      </c>
      <c r="BA4" t="s">
        <v>674</v>
      </c>
      <c r="BB4" t="s">
        <v>674</v>
      </c>
      <c r="BC4" t="s">
        <v>674</v>
      </c>
      <c r="BD4" t="s">
        <v>674</v>
      </c>
      <c r="BE4" t="s">
        <v>674</v>
      </c>
      <c r="BF4" t="s">
        <v>674</v>
      </c>
      <c r="BG4" t="s">
        <v>674</v>
      </c>
      <c r="BH4" t="s">
        <v>674</v>
      </c>
      <c r="BI4" t="s">
        <v>674</v>
      </c>
      <c r="BJ4" t="s">
        <v>674</v>
      </c>
      <c r="BK4" t="s">
        <v>674</v>
      </c>
      <c r="BL4" t="s">
        <v>674</v>
      </c>
      <c r="BM4" t="s">
        <v>674</v>
      </c>
      <c r="BN4" t="s">
        <v>674</v>
      </c>
      <c r="BO4" t="s">
        <v>674</v>
      </c>
      <c r="BP4" t="s">
        <v>674</v>
      </c>
      <c r="BQ4" t="s">
        <v>674</v>
      </c>
      <c r="BR4" t="s">
        <v>674</v>
      </c>
      <c r="BS4" t="s">
        <v>674</v>
      </c>
      <c r="BT4" t="s">
        <v>674</v>
      </c>
      <c r="BU4" t="s">
        <v>674</v>
      </c>
      <c r="BV4" t="s">
        <v>674</v>
      </c>
      <c r="BW4" t="s">
        <v>674</v>
      </c>
      <c r="BX4" t="s">
        <v>674</v>
      </c>
      <c r="BY4" t="s">
        <v>674</v>
      </c>
      <c r="BZ4" t="s">
        <v>674</v>
      </c>
      <c r="CA4" t="s">
        <v>674</v>
      </c>
      <c r="CB4" t="s">
        <v>674</v>
      </c>
      <c r="CC4" t="s">
        <v>674</v>
      </c>
      <c r="CD4" t="s">
        <v>674</v>
      </c>
      <c r="CE4" t="s">
        <v>674</v>
      </c>
      <c r="CF4" t="s">
        <v>674</v>
      </c>
      <c r="CG4" t="s">
        <v>674</v>
      </c>
      <c r="CH4" t="s">
        <v>674</v>
      </c>
      <c r="CI4" t="s">
        <v>674</v>
      </c>
    </row>
    <row r="5" spans="1:87" x14ac:dyDescent="0.25">
      <c r="A5" t="s">
        <v>125</v>
      </c>
      <c r="B5" t="s">
        <v>126</v>
      </c>
      <c r="C5">
        <v>2022</v>
      </c>
      <c r="D5" t="s">
        <v>127</v>
      </c>
      <c r="E5" t="s">
        <v>128</v>
      </c>
      <c r="F5" t="s">
        <v>129</v>
      </c>
      <c r="G5" t="s">
        <v>130</v>
      </c>
      <c r="H5" t="s">
        <v>674</v>
      </c>
      <c r="I5" t="s">
        <v>131</v>
      </c>
      <c r="J5" t="s">
        <v>132</v>
      </c>
      <c r="K5" t="s">
        <v>674</v>
      </c>
      <c r="L5" t="s">
        <v>676</v>
      </c>
      <c r="M5" s="1">
        <v>46257.901574074072</v>
      </c>
      <c r="N5" s="1">
        <v>46257.93273148148</v>
      </c>
      <c r="O5" s="1">
        <v>46257.901574074072</v>
      </c>
      <c r="P5" t="s">
        <v>677</v>
      </c>
      <c r="Q5" t="s">
        <v>674</v>
      </c>
      <c r="T5" t="s">
        <v>674</v>
      </c>
      <c r="U5" t="s">
        <v>674</v>
      </c>
      <c r="V5" t="s">
        <v>674</v>
      </c>
      <c r="W5" t="s">
        <v>674</v>
      </c>
      <c r="X5" t="s">
        <v>674</v>
      </c>
      <c r="Y5" t="s">
        <v>674</v>
      </c>
      <c r="Z5" t="s">
        <v>674</v>
      </c>
      <c r="AA5" t="s">
        <v>133</v>
      </c>
      <c r="AB5" t="s">
        <v>134</v>
      </c>
      <c r="AC5" t="s">
        <v>674</v>
      </c>
      <c r="AD5" t="s">
        <v>135</v>
      </c>
      <c r="AE5" t="s">
        <v>674</v>
      </c>
      <c r="AF5" t="s">
        <v>674</v>
      </c>
      <c r="AG5" t="s">
        <v>674</v>
      </c>
      <c r="AH5" t="s">
        <v>99</v>
      </c>
      <c r="AJ5" t="s">
        <v>674</v>
      </c>
      <c r="AK5" t="s">
        <v>674</v>
      </c>
      <c r="AL5" t="s">
        <v>136</v>
      </c>
      <c r="AM5" t="s">
        <v>674</v>
      </c>
      <c r="AN5" t="s">
        <v>137</v>
      </c>
      <c r="AO5" t="s">
        <v>674</v>
      </c>
      <c r="AP5" t="s">
        <v>674</v>
      </c>
      <c r="AQ5" t="s">
        <v>674</v>
      </c>
      <c r="AR5" t="s">
        <v>674</v>
      </c>
      <c r="AS5" t="s">
        <v>674</v>
      </c>
      <c r="AT5" t="s">
        <v>674</v>
      </c>
      <c r="AU5" t="s">
        <v>674</v>
      </c>
      <c r="AV5" t="s">
        <v>674</v>
      </c>
      <c r="AW5" t="s">
        <v>674</v>
      </c>
      <c r="AX5" t="s">
        <v>674</v>
      </c>
      <c r="AY5" t="s">
        <v>674</v>
      </c>
      <c r="AZ5" t="s">
        <v>674</v>
      </c>
      <c r="BA5" t="s">
        <v>674</v>
      </c>
      <c r="BB5" t="s">
        <v>674</v>
      </c>
      <c r="BC5" t="s">
        <v>674</v>
      </c>
      <c r="BD5" t="s">
        <v>674</v>
      </c>
      <c r="BE5" t="s">
        <v>674</v>
      </c>
      <c r="BF5" t="s">
        <v>674</v>
      </c>
      <c r="BG5" t="s">
        <v>674</v>
      </c>
      <c r="BH5" t="s">
        <v>674</v>
      </c>
      <c r="BI5" t="s">
        <v>674</v>
      </c>
      <c r="BJ5" t="s">
        <v>674</v>
      </c>
      <c r="BK5" t="s">
        <v>674</v>
      </c>
      <c r="BL5" t="s">
        <v>674</v>
      </c>
      <c r="BM5" t="s">
        <v>674</v>
      </c>
      <c r="BN5" t="s">
        <v>674</v>
      </c>
      <c r="BO5" t="s">
        <v>674</v>
      </c>
      <c r="BP5" t="s">
        <v>674</v>
      </c>
      <c r="BQ5" t="s">
        <v>674</v>
      </c>
      <c r="BR5" t="s">
        <v>674</v>
      </c>
      <c r="BS5" t="s">
        <v>674</v>
      </c>
      <c r="BT5" t="s">
        <v>129</v>
      </c>
      <c r="BU5" t="s">
        <v>674</v>
      </c>
      <c r="BV5" t="s">
        <v>674</v>
      </c>
      <c r="BW5" t="s">
        <v>674</v>
      </c>
      <c r="BX5" t="s">
        <v>674</v>
      </c>
      <c r="BY5" t="s">
        <v>674</v>
      </c>
      <c r="BZ5" t="s">
        <v>674</v>
      </c>
      <c r="CA5" t="s">
        <v>674</v>
      </c>
      <c r="CB5" t="s">
        <v>674</v>
      </c>
      <c r="CC5" t="s">
        <v>674</v>
      </c>
      <c r="CD5" t="s">
        <v>674</v>
      </c>
      <c r="CE5" t="s">
        <v>674</v>
      </c>
      <c r="CF5" t="s">
        <v>674</v>
      </c>
      <c r="CG5" t="s">
        <v>674</v>
      </c>
      <c r="CH5" t="s">
        <v>674</v>
      </c>
      <c r="CI5" t="s">
        <v>674</v>
      </c>
    </row>
    <row r="6" spans="1:87" x14ac:dyDescent="0.25">
      <c r="A6" t="s">
        <v>138</v>
      </c>
      <c r="B6" t="s">
        <v>126</v>
      </c>
      <c r="C6">
        <v>2019</v>
      </c>
      <c r="D6" t="s">
        <v>139</v>
      </c>
      <c r="E6" t="s">
        <v>140</v>
      </c>
      <c r="F6" t="s">
        <v>141</v>
      </c>
      <c r="G6" t="s">
        <v>142</v>
      </c>
      <c r="H6" t="s">
        <v>674</v>
      </c>
      <c r="I6" t="s">
        <v>143</v>
      </c>
      <c r="J6" t="s">
        <v>144</v>
      </c>
      <c r="K6" t="s">
        <v>674</v>
      </c>
      <c r="L6" t="s">
        <v>145</v>
      </c>
      <c r="M6" s="1">
        <v>46257.901597222219</v>
      </c>
      <c r="N6" s="1">
        <v>46257.928437499999</v>
      </c>
      <c r="O6" s="1">
        <v>46257.901597222219</v>
      </c>
      <c r="P6" t="s">
        <v>677</v>
      </c>
      <c r="Q6" t="s">
        <v>674</v>
      </c>
      <c r="T6" t="s">
        <v>674</v>
      </c>
      <c r="U6" t="s">
        <v>674</v>
      </c>
      <c r="V6" t="s">
        <v>674</v>
      </c>
      <c r="W6" t="s">
        <v>674</v>
      </c>
      <c r="X6" t="s">
        <v>674</v>
      </c>
      <c r="Y6" t="s">
        <v>674</v>
      </c>
      <c r="Z6" t="s">
        <v>674</v>
      </c>
      <c r="AA6" t="s">
        <v>133</v>
      </c>
      <c r="AB6" t="s">
        <v>146</v>
      </c>
      <c r="AC6" t="s">
        <v>674</v>
      </c>
      <c r="AD6" t="s">
        <v>122</v>
      </c>
      <c r="AE6" t="s">
        <v>674</v>
      </c>
      <c r="AF6" t="s">
        <v>674</v>
      </c>
      <c r="AG6" t="s">
        <v>674</v>
      </c>
      <c r="AH6" t="s">
        <v>99</v>
      </c>
      <c r="AJ6" t="s">
        <v>674</v>
      </c>
      <c r="AK6" t="s">
        <v>674</v>
      </c>
      <c r="AL6" t="s">
        <v>147</v>
      </c>
      <c r="AM6" t="s">
        <v>674</v>
      </c>
      <c r="AN6" t="s">
        <v>148</v>
      </c>
      <c r="AO6" t="s">
        <v>674</v>
      </c>
      <c r="AP6" t="s">
        <v>674</v>
      </c>
      <c r="AQ6" t="s">
        <v>674</v>
      </c>
      <c r="AR6" t="s">
        <v>674</v>
      </c>
      <c r="AS6" t="s">
        <v>674</v>
      </c>
      <c r="AT6" t="s">
        <v>674</v>
      </c>
      <c r="AU6" t="s">
        <v>674</v>
      </c>
      <c r="AV6" t="s">
        <v>674</v>
      </c>
      <c r="AW6" t="s">
        <v>674</v>
      </c>
      <c r="AX6" t="s">
        <v>674</v>
      </c>
      <c r="AY6" t="s">
        <v>674</v>
      </c>
      <c r="AZ6" t="s">
        <v>674</v>
      </c>
      <c r="BA6" t="s">
        <v>674</v>
      </c>
      <c r="BB6" t="s">
        <v>674</v>
      </c>
      <c r="BC6" t="s">
        <v>674</v>
      </c>
      <c r="BD6" t="s">
        <v>674</v>
      </c>
      <c r="BE6" t="s">
        <v>674</v>
      </c>
      <c r="BF6" t="s">
        <v>674</v>
      </c>
      <c r="BG6" t="s">
        <v>674</v>
      </c>
      <c r="BH6" t="s">
        <v>674</v>
      </c>
      <c r="BI6" t="s">
        <v>674</v>
      </c>
      <c r="BJ6" t="s">
        <v>674</v>
      </c>
      <c r="BK6" t="s">
        <v>674</v>
      </c>
      <c r="BL6" t="s">
        <v>674</v>
      </c>
      <c r="BM6" t="s">
        <v>674</v>
      </c>
      <c r="BN6" t="s">
        <v>674</v>
      </c>
      <c r="BO6" t="s">
        <v>674</v>
      </c>
      <c r="BP6" t="s">
        <v>674</v>
      </c>
      <c r="BQ6" t="s">
        <v>674</v>
      </c>
      <c r="BR6" t="s">
        <v>674</v>
      </c>
      <c r="BS6" t="s">
        <v>674</v>
      </c>
      <c r="BT6" t="s">
        <v>141</v>
      </c>
      <c r="BU6" t="s">
        <v>674</v>
      </c>
      <c r="BV6" t="s">
        <v>674</v>
      </c>
      <c r="BW6" t="s">
        <v>674</v>
      </c>
      <c r="BX6" t="s">
        <v>674</v>
      </c>
      <c r="BY6" t="s">
        <v>674</v>
      </c>
      <c r="BZ6" t="s">
        <v>674</v>
      </c>
      <c r="CA6" t="s">
        <v>674</v>
      </c>
      <c r="CB6" t="s">
        <v>674</v>
      </c>
      <c r="CC6" t="s">
        <v>674</v>
      </c>
      <c r="CD6" t="s">
        <v>674</v>
      </c>
      <c r="CE6" t="s">
        <v>674</v>
      </c>
      <c r="CF6" t="s">
        <v>674</v>
      </c>
      <c r="CG6" t="s">
        <v>674</v>
      </c>
      <c r="CH6" t="s">
        <v>674</v>
      </c>
      <c r="CI6" t="s">
        <v>674</v>
      </c>
    </row>
    <row r="7" spans="1:87" x14ac:dyDescent="0.25">
      <c r="A7" t="s">
        <v>149</v>
      </c>
      <c r="B7" t="s">
        <v>88</v>
      </c>
      <c r="C7">
        <v>2015</v>
      </c>
      <c r="D7" t="s">
        <v>150</v>
      </c>
      <c r="E7" t="s">
        <v>151</v>
      </c>
      <c r="F7" t="s">
        <v>152</v>
      </c>
      <c r="G7" t="s">
        <v>674</v>
      </c>
      <c r="H7" t="s">
        <v>153</v>
      </c>
      <c r="I7" t="s">
        <v>154</v>
      </c>
      <c r="J7" t="s">
        <v>155</v>
      </c>
      <c r="K7" t="s">
        <v>674</v>
      </c>
      <c r="L7" t="s">
        <v>156</v>
      </c>
      <c r="M7" s="1">
        <v>46257.901712962965</v>
      </c>
      <c r="N7" s="1">
        <v>46257.91615740741</v>
      </c>
      <c r="O7" s="1">
        <v>46257.901712962965</v>
      </c>
      <c r="P7" t="s">
        <v>157</v>
      </c>
      <c r="Q7" t="s">
        <v>674</v>
      </c>
      <c r="R7">
        <v>6</v>
      </c>
      <c r="S7">
        <v>11</v>
      </c>
      <c r="T7" t="s">
        <v>674</v>
      </c>
      <c r="U7" t="s">
        <v>158</v>
      </c>
      <c r="V7" t="s">
        <v>674</v>
      </c>
      <c r="W7" t="s">
        <v>674</v>
      </c>
      <c r="X7" t="s">
        <v>674</v>
      </c>
      <c r="Y7" t="s">
        <v>674</v>
      </c>
      <c r="Z7" t="s">
        <v>674</v>
      </c>
      <c r="AA7" t="s">
        <v>674</v>
      </c>
      <c r="AB7" t="s">
        <v>674</v>
      </c>
      <c r="AC7" t="s">
        <v>674</v>
      </c>
      <c r="AD7" t="s">
        <v>122</v>
      </c>
      <c r="AE7" t="s">
        <v>674</v>
      </c>
      <c r="AF7" t="s">
        <v>674</v>
      </c>
      <c r="AG7" t="s">
        <v>674</v>
      </c>
      <c r="AH7" t="s">
        <v>99</v>
      </c>
      <c r="AJ7" t="s">
        <v>674</v>
      </c>
      <c r="AK7" t="s">
        <v>674</v>
      </c>
      <c r="AL7" t="s">
        <v>159</v>
      </c>
      <c r="AM7" t="s">
        <v>674</v>
      </c>
      <c r="AN7" t="s">
        <v>101</v>
      </c>
      <c r="AO7" t="s">
        <v>674</v>
      </c>
      <c r="AP7" t="s">
        <v>674</v>
      </c>
      <c r="AQ7" t="s">
        <v>674</v>
      </c>
      <c r="AR7" t="s">
        <v>674</v>
      </c>
      <c r="AS7" t="s">
        <v>674</v>
      </c>
      <c r="AT7" t="s">
        <v>674</v>
      </c>
      <c r="AU7" t="s">
        <v>674</v>
      </c>
      <c r="AV7" t="s">
        <v>674</v>
      </c>
      <c r="AW7" t="s">
        <v>674</v>
      </c>
      <c r="AX7" t="s">
        <v>674</v>
      </c>
      <c r="AY7" t="s">
        <v>674</v>
      </c>
      <c r="AZ7" t="s">
        <v>674</v>
      </c>
      <c r="BA7" t="s">
        <v>674</v>
      </c>
      <c r="BB7" t="s">
        <v>674</v>
      </c>
      <c r="BC7" t="s">
        <v>674</v>
      </c>
      <c r="BD7" t="s">
        <v>674</v>
      </c>
      <c r="BE7" t="s">
        <v>674</v>
      </c>
      <c r="BF7" t="s">
        <v>674</v>
      </c>
      <c r="BG7" t="s">
        <v>674</v>
      </c>
      <c r="BH7" t="s">
        <v>674</v>
      </c>
      <c r="BI7" t="s">
        <v>674</v>
      </c>
      <c r="BJ7" t="s">
        <v>674</v>
      </c>
      <c r="BK7" t="s">
        <v>674</v>
      </c>
      <c r="BL7" t="s">
        <v>674</v>
      </c>
      <c r="BM7" t="s">
        <v>674</v>
      </c>
      <c r="BN7" t="s">
        <v>674</v>
      </c>
      <c r="BO7" t="s">
        <v>674</v>
      </c>
      <c r="BP7" t="s">
        <v>674</v>
      </c>
      <c r="BQ7" t="s">
        <v>674</v>
      </c>
      <c r="BR7" t="s">
        <v>674</v>
      </c>
      <c r="BS7" t="s">
        <v>674</v>
      </c>
      <c r="BT7" t="s">
        <v>674</v>
      </c>
      <c r="BU7" t="s">
        <v>674</v>
      </c>
      <c r="BV7" t="s">
        <v>674</v>
      </c>
      <c r="BW7" t="s">
        <v>674</v>
      </c>
      <c r="BX7" t="s">
        <v>674</v>
      </c>
      <c r="BY7" t="s">
        <v>674</v>
      </c>
      <c r="BZ7" t="s">
        <v>674</v>
      </c>
      <c r="CA7" t="s">
        <v>674</v>
      </c>
      <c r="CB7" t="s">
        <v>674</v>
      </c>
      <c r="CC7" t="s">
        <v>674</v>
      </c>
      <c r="CD7" t="s">
        <v>674</v>
      </c>
      <c r="CE7" t="s">
        <v>674</v>
      </c>
      <c r="CF7" t="s">
        <v>674</v>
      </c>
      <c r="CG7" t="s">
        <v>674</v>
      </c>
      <c r="CH7" t="s">
        <v>674</v>
      </c>
      <c r="CI7" t="s">
        <v>674</v>
      </c>
    </row>
    <row r="8" spans="1:87" x14ac:dyDescent="0.25">
      <c r="A8" t="s">
        <v>160</v>
      </c>
      <c r="B8" t="s">
        <v>88</v>
      </c>
      <c r="D8" t="s">
        <v>161</v>
      </c>
      <c r="E8" t="s">
        <v>162</v>
      </c>
      <c r="F8" t="s">
        <v>674</v>
      </c>
      <c r="G8" t="s">
        <v>674</v>
      </c>
      <c r="H8" t="s">
        <v>674</v>
      </c>
      <c r="I8" t="s">
        <v>674</v>
      </c>
      <c r="J8" t="s">
        <v>674</v>
      </c>
      <c r="K8" t="s">
        <v>674</v>
      </c>
      <c r="L8" t="s">
        <v>674</v>
      </c>
      <c r="M8" s="1">
        <v>46257.901736111111</v>
      </c>
      <c r="N8" s="1">
        <v>46257.925219907411</v>
      </c>
      <c r="O8" s="1"/>
      <c r="P8" t="s">
        <v>674</v>
      </c>
      <c r="Q8" t="s">
        <v>674</v>
      </c>
      <c r="T8" t="s">
        <v>674</v>
      </c>
      <c r="U8" t="s">
        <v>674</v>
      </c>
      <c r="V8" t="s">
        <v>674</v>
      </c>
      <c r="W8" t="s">
        <v>674</v>
      </c>
      <c r="X8" t="s">
        <v>674</v>
      </c>
      <c r="Y8" t="s">
        <v>674</v>
      </c>
      <c r="Z8" t="s">
        <v>674</v>
      </c>
      <c r="AA8" t="s">
        <v>674</v>
      </c>
      <c r="AB8" t="s">
        <v>674</v>
      </c>
      <c r="AC8" t="s">
        <v>97</v>
      </c>
      <c r="AD8" t="s">
        <v>674</v>
      </c>
      <c r="AE8" t="s">
        <v>674</v>
      </c>
      <c r="AF8" t="s">
        <v>674</v>
      </c>
      <c r="AG8" t="s">
        <v>674</v>
      </c>
      <c r="AH8" t="s">
        <v>163</v>
      </c>
      <c r="AJ8" t="s">
        <v>674</v>
      </c>
      <c r="AK8" t="s">
        <v>674</v>
      </c>
      <c r="AL8" t="s">
        <v>164</v>
      </c>
      <c r="AM8" t="s">
        <v>674</v>
      </c>
      <c r="AN8" t="s">
        <v>101</v>
      </c>
      <c r="AO8" t="s">
        <v>674</v>
      </c>
      <c r="AP8" t="s">
        <v>674</v>
      </c>
      <c r="AQ8" t="s">
        <v>674</v>
      </c>
      <c r="AR8" t="s">
        <v>674</v>
      </c>
      <c r="AS8" t="s">
        <v>674</v>
      </c>
      <c r="AT8" t="s">
        <v>674</v>
      </c>
      <c r="AU8" t="s">
        <v>674</v>
      </c>
      <c r="AV8" t="s">
        <v>674</v>
      </c>
      <c r="AW8" t="s">
        <v>674</v>
      </c>
      <c r="AX8" t="s">
        <v>674</v>
      </c>
      <c r="AY8" t="s">
        <v>674</v>
      </c>
      <c r="AZ8" t="s">
        <v>674</v>
      </c>
      <c r="BA8" t="s">
        <v>674</v>
      </c>
      <c r="BB8" t="s">
        <v>674</v>
      </c>
      <c r="BC8" t="s">
        <v>674</v>
      </c>
      <c r="BD8" t="s">
        <v>674</v>
      </c>
      <c r="BE8" t="s">
        <v>674</v>
      </c>
      <c r="BF8" t="s">
        <v>674</v>
      </c>
      <c r="BG8" t="s">
        <v>674</v>
      </c>
      <c r="BH8" t="s">
        <v>674</v>
      </c>
      <c r="BI8" t="s">
        <v>674</v>
      </c>
      <c r="BJ8" t="s">
        <v>674</v>
      </c>
      <c r="BK8" t="s">
        <v>674</v>
      </c>
      <c r="BL8" t="s">
        <v>674</v>
      </c>
      <c r="BM8" t="s">
        <v>674</v>
      </c>
      <c r="BN8" t="s">
        <v>674</v>
      </c>
      <c r="BO8" t="s">
        <v>674</v>
      </c>
      <c r="BP8" t="s">
        <v>674</v>
      </c>
      <c r="BQ8" t="s">
        <v>674</v>
      </c>
      <c r="BR8" t="s">
        <v>674</v>
      </c>
      <c r="BS8" t="s">
        <v>674</v>
      </c>
      <c r="BT8" t="s">
        <v>674</v>
      </c>
      <c r="BU8" t="s">
        <v>674</v>
      </c>
      <c r="BV8" t="s">
        <v>674</v>
      </c>
      <c r="BW8" t="s">
        <v>674</v>
      </c>
      <c r="BX8" t="s">
        <v>674</v>
      </c>
      <c r="BY8" t="s">
        <v>674</v>
      </c>
      <c r="BZ8" t="s">
        <v>674</v>
      </c>
      <c r="CA8" t="s">
        <v>674</v>
      </c>
      <c r="CB8" t="s">
        <v>674</v>
      </c>
      <c r="CC8" t="s">
        <v>674</v>
      </c>
      <c r="CD8" t="s">
        <v>674</v>
      </c>
      <c r="CE8" t="s">
        <v>674</v>
      </c>
      <c r="CF8" t="s">
        <v>674</v>
      </c>
      <c r="CG8" t="s">
        <v>674</v>
      </c>
      <c r="CH8" t="s">
        <v>674</v>
      </c>
      <c r="CI8" t="s">
        <v>674</v>
      </c>
    </row>
    <row r="9" spans="1:87" x14ac:dyDescent="0.25">
      <c r="A9" t="s">
        <v>165</v>
      </c>
      <c r="B9" t="s">
        <v>126</v>
      </c>
      <c r="C9">
        <v>2007</v>
      </c>
      <c r="D9" t="s">
        <v>166</v>
      </c>
      <c r="E9" t="s">
        <v>167</v>
      </c>
      <c r="F9" t="s">
        <v>168</v>
      </c>
      <c r="G9" t="s">
        <v>169</v>
      </c>
      <c r="H9" t="s">
        <v>674</v>
      </c>
      <c r="I9" t="s">
        <v>170</v>
      </c>
      <c r="J9" t="s">
        <v>171</v>
      </c>
      <c r="K9" t="s">
        <v>674</v>
      </c>
      <c r="L9" t="s">
        <v>172</v>
      </c>
      <c r="M9" s="1">
        <v>46257.90179398148</v>
      </c>
      <c r="N9" s="1">
        <v>46257.929259259261</v>
      </c>
      <c r="O9" s="1">
        <v>46257.90179398148</v>
      </c>
      <c r="P9" t="s">
        <v>173</v>
      </c>
      <c r="Q9" t="s">
        <v>674</v>
      </c>
      <c r="T9" t="s">
        <v>674</v>
      </c>
      <c r="U9" t="s">
        <v>674</v>
      </c>
      <c r="V9" t="s">
        <v>674</v>
      </c>
      <c r="W9" t="s">
        <v>674</v>
      </c>
      <c r="X9" t="s">
        <v>674</v>
      </c>
      <c r="Y9" t="s">
        <v>674</v>
      </c>
      <c r="Z9" t="s">
        <v>674</v>
      </c>
      <c r="AA9" t="s">
        <v>133</v>
      </c>
      <c r="AB9" t="s">
        <v>174</v>
      </c>
      <c r="AC9" t="s">
        <v>674</v>
      </c>
      <c r="AD9" t="s">
        <v>674</v>
      </c>
      <c r="AE9" t="s">
        <v>674</v>
      </c>
      <c r="AF9" t="s">
        <v>674</v>
      </c>
      <c r="AG9" t="s">
        <v>674</v>
      </c>
      <c r="AH9" t="s">
        <v>99</v>
      </c>
      <c r="AJ9" t="s">
        <v>674</v>
      </c>
      <c r="AK9" t="s">
        <v>674</v>
      </c>
      <c r="AL9" t="s">
        <v>175</v>
      </c>
      <c r="AM9" t="s">
        <v>674</v>
      </c>
      <c r="AN9" t="s">
        <v>101</v>
      </c>
      <c r="AO9" t="s">
        <v>674</v>
      </c>
      <c r="AP9" t="s">
        <v>674</v>
      </c>
      <c r="AQ9" t="s">
        <v>674</v>
      </c>
      <c r="AR9" t="s">
        <v>674</v>
      </c>
      <c r="AS9" t="s">
        <v>674</v>
      </c>
      <c r="AT9" t="s">
        <v>674</v>
      </c>
      <c r="AU9" t="s">
        <v>674</v>
      </c>
      <c r="AV9" t="s">
        <v>674</v>
      </c>
      <c r="AW9" t="s">
        <v>674</v>
      </c>
      <c r="AX9" t="s">
        <v>674</v>
      </c>
      <c r="AY9" t="s">
        <v>674</v>
      </c>
      <c r="AZ9" t="s">
        <v>674</v>
      </c>
      <c r="BA9" t="s">
        <v>674</v>
      </c>
      <c r="BB9" t="s">
        <v>674</v>
      </c>
      <c r="BC9" t="s">
        <v>674</v>
      </c>
      <c r="BD9" t="s">
        <v>674</v>
      </c>
      <c r="BE9" t="s">
        <v>674</v>
      </c>
      <c r="BF9" t="s">
        <v>674</v>
      </c>
      <c r="BG9" t="s">
        <v>674</v>
      </c>
      <c r="BH9" t="s">
        <v>674</v>
      </c>
      <c r="BI9" t="s">
        <v>674</v>
      </c>
      <c r="BJ9" t="s">
        <v>674</v>
      </c>
      <c r="BK9" t="s">
        <v>674</v>
      </c>
      <c r="BL9" t="s">
        <v>674</v>
      </c>
      <c r="BM9" t="s">
        <v>674</v>
      </c>
      <c r="BN9" t="s">
        <v>674</v>
      </c>
      <c r="BO9" t="s">
        <v>674</v>
      </c>
      <c r="BP9" t="s">
        <v>674</v>
      </c>
      <c r="BQ9" t="s">
        <v>674</v>
      </c>
      <c r="BR9" t="s">
        <v>674</v>
      </c>
      <c r="BS9" t="s">
        <v>674</v>
      </c>
      <c r="BT9" t="s">
        <v>176</v>
      </c>
      <c r="BU9" t="s">
        <v>674</v>
      </c>
      <c r="BV9" t="s">
        <v>674</v>
      </c>
      <c r="BW9" t="s">
        <v>674</v>
      </c>
      <c r="BX9" t="s">
        <v>674</v>
      </c>
      <c r="BY9" t="s">
        <v>674</v>
      </c>
      <c r="BZ9" t="s">
        <v>674</v>
      </c>
      <c r="CA9" t="s">
        <v>674</v>
      </c>
      <c r="CB9" t="s">
        <v>674</v>
      </c>
      <c r="CC9" t="s">
        <v>674</v>
      </c>
      <c r="CD9" t="s">
        <v>674</v>
      </c>
      <c r="CE9" t="s">
        <v>674</v>
      </c>
      <c r="CF9" t="s">
        <v>674</v>
      </c>
      <c r="CG9" t="s">
        <v>674</v>
      </c>
      <c r="CH9" t="s">
        <v>674</v>
      </c>
      <c r="CI9" t="s">
        <v>674</v>
      </c>
    </row>
    <row r="10" spans="1:87" x14ac:dyDescent="0.25">
      <c r="A10" t="s">
        <v>177</v>
      </c>
      <c r="B10" t="s">
        <v>88</v>
      </c>
      <c r="C10">
        <v>2022</v>
      </c>
      <c r="D10" t="s">
        <v>178</v>
      </c>
      <c r="E10" t="s">
        <v>179</v>
      </c>
      <c r="F10" t="s">
        <v>180</v>
      </c>
      <c r="G10" t="s">
        <v>674</v>
      </c>
      <c r="H10" t="s">
        <v>181</v>
      </c>
      <c r="I10" t="s">
        <v>182</v>
      </c>
      <c r="J10" t="s">
        <v>183</v>
      </c>
      <c r="K10" t="s">
        <v>184</v>
      </c>
      <c r="L10" t="s">
        <v>678</v>
      </c>
      <c r="M10" s="1">
        <v>46257.90185185185</v>
      </c>
      <c r="N10" s="1">
        <v>46257.923020833332</v>
      </c>
      <c r="O10" s="1">
        <v>46257.90185185185</v>
      </c>
      <c r="P10" t="s">
        <v>679</v>
      </c>
      <c r="Q10" t="s">
        <v>674</v>
      </c>
      <c r="S10">
        <v>2022</v>
      </c>
      <c r="T10" t="s">
        <v>674</v>
      </c>
      <c r="U10" t="s">
        <v>180</v>
      </c>
      <c r="V10" t="s">
        <v>674</v>
      </c>
      <c r="W10" t="s">
        <v>674</v>
      </c>
      <c r="X10" t="s">
        <v>674</v>
      </c>
      <c r="Y10" t="s">
        <v>674</v>
      </c>
      <c r="Z10" t="s">
        <v>674</v>
      </c>
      <c r="AA10" t="s">
        <v>674</v>
      </c>
      <c r="AB10" t="s">
        <v>674</v>
      </c>
      <c r="AC10" t="s">
        <v>97</v>
      </c>
      <c r="AD10" t="s">
        <v>185</v>
      </c>
      <c r="AE10" t="s">
        <v>674</v>
      </c>
      <c r="AF10" t="s">
        <v>674</v>
      </c>
      <c r="AG10" t="s">
        <v>674</v>
      </c>
      <c r="AH10" t="s">
        <v>99</v>
      </c>
      <c r="AJ10" t="s">
        <v>674</v>
      </c>
      <c r="AK10" t="s">
        <v>674</v>
      </c>
      <c r="AL10" t="s">
        <v>186</v>
      </c>
      <c r="AM10" t="s">
        <v>674</v>
      </c>
      <c r="AN10" t="s">
        <v>187</v>
      </c>
      <c r="AO10" t="s">
        <v>674</v>
      </c>
      <c r="AP10" t="s">
        <v>188</v>
      </c>
      <c r="AQ10" t="s">
        <v>674</v>
      </c>
      <c r="AR10" t="s">
        <v>674</v>
      </c>
      <c r="AS10" t="s">
        <v>674</v>
      </c>
      <c r="AT10" t="s">
        <v>674</v>
      </c>
      <c r="AU10" t="s">
        <v>674</v>
      </c>
      <c r="AV10" t="s">
        <v>674</v>
      </c>
      <c r="AW10" t="s">
        <v>674</v>
      </c>
      <c r="AX10" t="s">
        <v>674</v>
      </c>
      <c r="AY10" t="s">
        <v>674</v>
      </c>
      <c r="AZ10" t="s">
        <v>674</v>
      </c>
      <c r="BA10" t="s">
        <v>674</v>
      </c>
      <c r="BB10" t="s">
        <v>674</v>
      </c>
      <c r="BC10" t="s">
        <v>674</v>
      </c>
      <c r="BD10" t="s">
        <v>674</v>
      </c>
      <c r="BE10" t="s">
        <v>674</v>
      </c>
      <c r="BF10" t="s">
        <v>674</v>
      </c>
      <c r="BG10" t="s">
        <v>674</v>
      </c>
      <c r="BH10" t="s">
        <v>674</v>
      </c>
      <c r="BI10" t="s">
        <v>674</v>
      </c>
      <c r="BJ10" t="s">
        <v>674</v>
      </c>
      <c r="BK10" t="s">
        <v>674</v>
      </c>
      <c r="BL10" t="s">
        <v>674</v>
      </c>
      <c r="BM10" t="s">
        <v>674</v>
      </c>
      <c r="BN10" t="s">
        <v>674</v>
      </c>
      <c r="BO10" t="s">
        <v>674</v>
      </c>
      <c r="BP10" t="s">
        <v>674</v>
      </c>
      <c r="BQ10" t="s">
        <v>674</v>
      </c>
      <c r="BR10" t="s">
        <v>674</v>
      </c>
      <c r="BS10" t="s">
        <v>674</v>
      </c>
      <c r="BT10" t="s">
        <v>674</v>
      </c>
      <c r="BU10" t="s">
        <v>674</v>
      </c>
      <c r="BV10" t="s">
        <v>674</v>
      </c>
      <c r="BW10" t="s">
        <v>674</v>
      </c>
      <c r="BX10" t="s">
        <v>674</v>
      </c>
      <c r="BY10" t="s">
        <v>674</v>
      </c>
      <c r="BZ10" t="s">
        <v>674</v>
      </c>
      <c r="CA10" t="s">
        <v>674</v>
      </c>
      <c r="CB10" t="s">
        <v>674</v>
      </c>
      <c r="CC10" t="s">
        <v>674</v>
      </c>
      <c r="CD10" t="s">
        <v>674</v>
      </c>
      <c r="CE10" t="s">
        <v>674</v>
      </c>
      <c r="CF10" t="s">
        <v>674</v>
      </c>
      <c r="CG10" t="s">
        <v>674</v>
      </c>
      <c r="CH10" t="s">
        <v>674</v>
      </c>
      <c r="CI10" t="s">
        <v>674</v>
      </c>
    </row>
    <row r="11" spans="1:87" x14ac:dyDescent="0.25">
      <c r="A11" t="s">
        <v>189</v>
      </c>
      <c r="B11" t="s">
        <v>88</v>
      </c>
      <c r="C11">
        <v>2020</v>
      </c>
      <c r="D11" t="s">
        <v>190</v>
      </c>
      <c r="E11" t="s">
        <v>191</v>
      </c>
      <c r="F11" t="s">
        <v>115</v>
      </c>
      <c r="G11" t="s">
        <v>674</v>
      </c>
      <c r="H11" t="s">
        <v>116</v>
      </c>
      <c r="I11" t="s">
        <v>192</v>
      </c>
      <c r="J11" t="s">
        <v>193</v>
      </c>
      <c r="K11" t="s">
        <v>674</v>
      </c>
      <c r="L11" t="s">
        <v>194</v>
      </c>
      <c r="M11" s="1">
        <v>46257.901886574073</v>
      </c>
      <c r="N11" s="1">
        <v>46257.924050925925</v>
      </c>
      <c r="O11" s="1">
        <v>46257.901886574073</v>
      </c>
      <c r="P11" t="s">
        <v>195</v>
      </c>
      <c r="Q11" t="s">
        <v>674</v>
      </c>
      <c r="R11">
        <v>7</v>
      </c>
      <c r="S11">
        <v>67</v>
      </c>
      <c r="T11" t="s">
        <v>674</v>
      </c>
      <c r="U11" t="s">
        <v>121</v>
      </c>
      <c r="V11" t="s">
        <v>674</v>
      </c>
      <c r="W11" t="s">
        <v>674</v>
      </c>
      <c r="X11" t="s">
        <v>674</v>
      </c>
      <c r="Y11" t="s">
        <v>674</v>
      </c>
      <c r="Z11" t="s">
        <v>674</v>
      </c>
      <c r="AA11" t="s">
        <v>674</v>
      </c>
      <c r="AB11" t="s">
        <v>674</v>
      </c>
      <c r="AC11" t="s">
        <v>674</v>
      </c>
      <c r="AD11" t="s">
        <v>122</v>
      </c>
      <c r="AE11" t="s">
        <v>674</v>
      </c>
      <c r="AF11" t="s">
        <v>674</v>
      </c>
      <c r="AG11" t="s">
        <v>674</v>
      </c>
      <c r="AH11" t="s">
        <v>99</v>
      </c>
      <c r="AJ11" t="s">
        <v>674</v>
      </c>
      <c r="AK11" t="s">
        <v>674</v>
      </c>
      <c r="AL11" t="s">
        <v>196</v>
      </c>
      <c r="AM11" t="s">
        <v>674</v>
      </c>
      <c r="AN11" t="s">
        <v>197</v>
      </c>
      <c r="AO11" t="s">
        <v>674</v>
      </c>
      <c r="AP11" t="s">
        <v>674</v>
      </c>
      <c r="AQ11" t="s">
        <v>674</v>
      </c>
      <c r="AR11" t="s">
        <v>674</v>
      </c>
      <c r="AS11" t="s">
        <v>674</v>
      </c>
      <c r="AT11" t="s">
        <v>674</v>
      </c>
      <c r="AU11" t="s">
        <v>674</v>
      </c>
      <c r="AV11" t="s">
        <v>674</v>
      </c>
      <c r="AW11" t="s">
        <v>674</v>
      </c>
      <c r="AX11" t="s">
        <v>674</v>
      </c>
      <c r="AY11" t="s">
        <v>674</v>
      </c>
      <c r="AZ11" t="s">
        <v>674</v>
      </c>
      <c r="BA11" t="s">
        <v>674</v>
      </c>
      <c r="BB11" t="s">
        <v>674</v>
      </c>
      <c r="BC11" t="s">
        <v>674</v>
      </c>
      <c r="BD11" t="s">
        <v>674</v>
      </c>
      <c r="BE11" t="s">
        <v>674</v>
      </c>
      <c r="BF11" t="s">
        <v>674</v>
      </c>
      <c r="BG11" t="s">
        <v>674</v>
      </c>
      <c r="BH11" t="s">
        <v>674</v>
      </c>
      <c r="BI11" t="s">
        <v>674</v>
      </c>
      <c r="BJ11" t="s">
        <v>674</v>
      </c>
      <c r="BK11" t="s">
        <v>674</v>
      </c>
      <c r="BL11" t="s">
        <v>674</v>
      </c>
      <c r="BM11" t="s">
        <v>674</v>
      </c>
      <c r="BN11" t="s">
        <v>674</v>
      </c>
      <c r="BO11" t="s">
        <v>674</v>
      </c>
      <c r="BP11" t="s">
        <v>674</v>
      </c>
      <c r="BQ11" t="s">
        <v>674</v>
      </c>
      <c r="BR11" t="s">
        <v>674</v>
      </c>
      <c r="BS11" t="s">
        <v>674</v>
      </c>
      <c r="BT11" t="s">
        <v>674</v>
      </c>
      <c r="BU11" t="s">
        <v>674</v>
      </c>
      <c r="BV11" t="s">
        <v>674</v>
      </c>
      <c r="BW11" t="s">
        <v>674</v>
      </c>
      <c r="BX11" t="s">
        <v>674</v>
      </c>
      <c r="BY11" t="s">
        <v>674</v>
      </c>
      <c r="BZ11" t="s">
        <v>674</v>
      </c>
      <c r="CA11" t="s">
        <v>674</v>
      </c>
      <c r="CB11" t="s">
        <v>674</v>
      </c>
      <c r="CC11" t="s">
        <v>674</v>
      </c>
      <c r="CD11" t="s">
        <v>674</v>
      </c>
      <c r="CE11" t="s">
        <v>674</v>
      </c>
      <c r="CF11" t="s">
        <v>674</v>
      </c>
      <c r="CG11" t="s">
        <v>674</v>
      </c>
      <c r="CH11" t="s">
        <v>674</v>
      </c>
      <c r="CI11" t="s">
        <v>674</v>
      </c>
    </row>
    <row r="12" spans="1:87" x14ac:dyDescent="0.25">
      <c r="A12" t="s">
        <v>198</v>
      </c>
      <c r="B12" t="s">
        <v>126</v>
      </c>
      <c r="C12">
        <v>2024</v>
      </c>
      <c r="D12" t="s">
        <v>199</v>
      </c>
      <c r="E12" t="s">
        <v>200</v>
      </c>
      <c r="F12" t="s">
        <v>201</v>
      </c>
      <c r="G12" t="s">
        <v>202</v>
      </c>
      <c r="H12" t="s">
        <v>674</v>
      </c>
      <c r="I12" t="s">
        <v>203</v>
      </c>
      <c r="J12" t="s">
        <v>204</v>
      </c>
      <c r="K12" t="s">
        <v>674</v>
      </c>
      <c r="L12" t="s">
        <v>680</v>
      </c>
      <c r="M12" s="1">
        <v>46257.901932870373</v>
      </c>
      <c r="N12" s="1">
        <v>46257.924803240741</v>
      </c>
      <c r="O12" s="1">
        <v>46257.901932870373</v>
      </c>
      <c r="P12" t="s">
        <v>205</v>
      </c>
      <c r="Q12" t="s">
        <v>674</v>
      </c>
      <c r="T12" t="s">
        <v>674</v>
      </c>
      <c r="U12" t="s">
        <v>674</v>
      </c>
      <c r="V12" t="s">
        <v>674</v>
      </c>
      <c r="W12" t="s">
        <v>674</v>
      </c>
      <c r="X12" t="s">
        <v>674</v>
      </c>
      <c r="Y12" t="s">
        <v>674</v>
      </c>
      <c r="Z12" t="s">
        <v>674</v>
      </c>
      <c r="AA12" t="s">
        <v>133</v>
      </c>
      <c r="AB12" t="s">
        <v>206</v>
      </c>
      <c r="AC12" t="s">
        <v>674</v>
      </c>
      <c r="AD12" t="s">
        <v>135</v>
      </c>
      <c r="AE12" t="s">
        <v>674</v>
      </c>
      <c r="AF12" t="s">
        <v>674</v>
      </c>
      <c r="AG12" t="s">
        <v>674</v>
      </c>
      <c r="AH12" t="s">
        <v>99</v>
      </c>
      <c r="AJ12" t="s">
        <v>674</v>
      </c>
      <c r="AK12" t="s">
        <v>674</v>
      </c>
      <c r="AL12" t="s">
        <v>207</v>
      </c>
      <c r="AM12" t="s">
        <v>674</v>
      </c>
      <c r="AN12" t="s">
        <v>208</v>
      </c>
      <c r="AO12" t="s">
        <v>674</v>
      </c>
      <c r="AP12" t="s">
        <v>674</v>
      </c>
      <c r="AQ12" t="s">
        <v>674</v>
      </c>
      <c r="AR12" t="s">
        <v>674</v>
      </c>
      <c r="AS12" t="s">
        <v>674</v>
      </c>
      <c r="AT12" t="s">
        <v>674</v>
      </c>
      <c r="AU12" t="s">
        <v>674</v>
      </c>
      <c r="AV12" t="s">
        <v>674</v>
      </c>
      <c r="AW12" t="s">
        <v>674</v>
      </c>
      <c r="AX12" t="s">
        <v>674</v>
      </c>
      <c r="AY12" t="s">
        <v>674</v>
      </c>
      <c r="AZ12" t="s">
        <v>674</v>
      </c>
      <c r="BA12" t="s">
        <v>674</v>
      </c>
      <c r="BB12" t="s">
        <v>674</v>
      </c>
      <c r="BC12" t="s">
        <v>674</v>
      </c>
      <c r="BD12" t="s">
        <v>674</v>
      </c>
      <c r="BE12" t="s">
        <v>674</v>
      </c>
      <c r="BF12" t="s">
        <v>674</v>
      </c>
      <c r="BG12" t="s">
        <v>674</v>
      </c>
      <c r="BH12" t="s">
        <v>674</v>
      </c>
      <c r="BI12" t="s">
        <v>674</v>
      </c>
      <c r="BJ12" t="s">
        <v>674</v>
      </c>
      <c r="BK12" t="s">
        <v>674</v>
      </c>
      <c r="BL12" t="s">
        <v>674</v>
      </c>
      <c r="BM12" t="s">
        <v>674</v>
      </c>
      <c r="BN12" t="s">
        <v>674</v>
      </c>
      <c r="BO12" t="s">
        <v>674</v>
      </c>
      <c r="BP12" t="s">
        <v>674</v>
      </c>
      <c r="BQ12" t="s">
        <v>674</v>
      </c>
      <c r="BR12" t="s">
        <v>674</v>
      </c>
      <c r="BS12" t="s">
        <v>674</v>
      </c>
      <c r="BT12" t="s">
        <v>201</v>
      </c>
      <c r="BU12" t="s">
        <v>674</v>
      </c>
      <c r="BV12" t="s">
        <v>674</v>
      </c>
      <c r="BW12" t="s">
        <v>674</v>
      </c>
      <c r="BX12" t="s">
        <v>674</v>
      </c>
      <c r="BY12" t="s">
        <v>674</v>
      </c>
      <c r="BZ12" t="s">
        <v>674</v>
      </c>
      <c r="CA12" t="s">
        <v>674</v>
      </c>
      <c r="CB12" t="s">
        <v>674</v>
      </c>
      <c r="CC12" t="s">
        <v>674</v>
      </c>
      <c r="CD12" t="s">
        <v>674</v>
      </c>
      <c r="CE12" t="s">
        <v>674</v>
      </c>
      <c r="CF12" t="s">
        <v>674</v>
      </c>
      <c r="CG12" t="s">
        <v>674</v>
      </c>
      <c r="CH12" t="s">
        <v>674</v>
      </c>
      <c r="CI12" t="s">
        <v>674</v>
      </c>
    </row>
    <row r="13" spans="1:87" x14ac:dyDescent="0.25">
      <c r="A13" t="s">
        <v>209</v>
      </c>
      <c r="B13" t="s">
        <v>88</v>
      </c>
      <c r="D13" t="s">
        <v>210</v>
      </c>
      <c r="E13" t="s">
        <v>211</v>
      </c>
      <c r="F13" t="s">
        <v>674</v>
      </c>
      <c r="G13" t="s">
        <v>674</v>
      </c>
      <c r="H13" t="s">
        <v>674</v>
      </c>
      <c r="I13" t="s">
        <v>674</v>
      </c>
      <c r="J13" t="s">
        <v>674</v>
      </c>
      <c r="K13" t="s">
        <v>674</v>
      </c>
      <c r="L13" t="s">
        <v>674</v>
      </c>
      <c r="M13" s="1">
        <v>46257.902037037034</v>
      </c>
      <c r="N13" s="1">
        <v>46257.925740740742</v>
      </c>
      <c r="O13" s="1"/>
      <c r="P13" t="s">
        <v>674</v>
      </c>
      <c r="Q13" t="s">
        <v>674</v>
      </c>
      <c r="T13" t="s">
        <v>674</v>
      </c>
      <c r="U13" t="s">
        <v>674</v>
      </c>
      <c r="V13" t="s">
        <v>674</v>
      </c>
      <c r="W13" t="s">
        <v>674</v>
      </c>
      <c r="X13" t="s">
        <v>674</v>
      </c>
      <c r="Y13" t="s">
        <v>674</v>
      </c>
      <c r="Z13" t="s">
        <v>674</v>
      </c>
      <c r="AA13" t="s">
        <v>674</v>
      </c>
      <c r="AB13" t="s">
        <v>674</v>
      </c>
      <c r="AC13" t="s">
        <v>97</v>
      </c>
      <c r="AD13" t="s">
        <v>674</v>
      </c>
      <c r="AE13" t="s">
        <v>674</v>
      </c>
      <c r="AF13" t="s">
        <v>674</v>
      </c>
      <c r="AG13" t="s">
        <v>674</v>
      </c>
      <c r="AH13" t="s">
        <v>163</v>
      </c>
      <c r="AJ13" t="s">
        <v>674</v>
      </c>
      <c r="AK13" t="s">
        <v>674</v>
      </c>
      <c r="AL13" t="s">
        <v>212</v>
      </c>
      <c r="AM13" t="s">
        <v>674</v>
      </c>
      <c r="AN13" t="s">
        <v>213</v>
      </c>
      <c r="AO13" t="s">
        <v>674</v>
      </c>
      <c r="AP13" t="s">
        <v>674</v>
      </c>
      <c r="AQ13" t="s">
        <v>674</v>
      </c>
      <c r="AR13" t="s">
        <v>674</v>
      </c>
      <c r="AS13" t="s">
        <v>674</v>
      </c>
      <c r="AT13" t="s">
        <v>674</v>
      </c>
      <c r="AU13" t="s">
        <v>674</v>
      </c>
      <c r="AV13" t="s">
        <v>674</v>
      </c>
      <c r="AW13" t="s">
        <v>674</v>
      </c>
      <c r="AX13" t="s">
        <v>674</v>
      </c>
      <c r="AY13" t="s">
        <v>674</v>
      </c>
      <c r="AZ13" t="s">
        <v>674</v>
      </c>
      <c r="BA13" t="s">
        <v>674</v>
      </c>
      <c r="BB13" t="s">
        <v>674</v>
      </c>
      <c r="BC13" t="s">
        <v>674</v>
      </c>
      <c r="BD13" t="s">
        <v>674</v>
      </c>
      <c r="BE13" t="s">
        <v>674</v>
      </c>
      <c r="BF13" t="s">
        <v>674</v>
      </c>
      <c r="BG13" t="s">
        <v>674</v>
      </c>
      <c r="BH13" t="s">
        <v>674</v>
      </c>
      <c r="BI13" t="s">
        <v>674</v>
      </c>
      <c r="BJ13" t="s">
        <v>674</v>
      </c>
      <c r="BK13" t="s">
        <v>674</v>
      </c>
      <c r="BL13" t="s">
        <v>674</v>
      </c>
      <c r="BM13" t="s">
        <v>674</v>
      </c>
      <c r="BN13" t="s">
        <v>674</v>
      </c>
      <c r="BO13" t="s">
        <v>674</v>
      </c>
      <c r="BP13" t="s">
        <v>674</v>
      </c>
      <c r="BQ13" t="s">
        <v>674</v>
      </c>
      <c r="BR13" t="s">
        <v>674</v>
      </c>
      <c r="BS13" t="s">
        <v>674</v>
      </c>
      <c r="BT13" t="s">
        <v>674</v>
      </c>
      <c r="BU13" t="s">
        <v>674</v>
      </c>
      <c r="BV13" t="s">
        <v>674</v>
      </c>
      <c r="BW13" t="s">
        <v>674</v>
      </c>
      <c r="BX13" t="s">
        <v>674</v>
      </c>
      <c r="BY13" t="s">
        <v>674</v>
      </c>
      <c r="BZ13" t="s">
        <v>674</v>
      </c>
      <c r="CA13" t="s">
        <v>674</v>
      </c>
      <c r="CB13" t="s">
        <v>674</v>
      </c>
      <c r="CC13" t="s">
        <v>674</v>
      </c>
      <c r="CD13" t="s">
        <v>674</v>
      </c>
      <c r="CE13" t="s">
        <v>674</v>
      </c>
      <c r="CF13" t="s">
        <v>674</v>
      </c>
      <c r="CG13" t="s">
        <v>674</v>
      </c>
      <c r="CH13" t="s">
        <v>674</v>
      </c>
      <c r="CI13" t="s">
        <v>674</v>
      </c>
    </row>
    <row r="14" spans="1:87" x14ac:dyDescent="0.25">
      <c r="A14" t="s">
        <v>214</v>
      </c>
      <c r="B14" t="s">
        <v>126</v>
      </c>
      <c r="C14">
        <v>2024</v>
      </c>
      <c r="D14" t="s">
        <v>215</v>
      </c>
      <c r="E14" t="s">
        <v>216</v>
      </c>
      <c r="F14" t="s">
        <v>217</v>
      </c>
      <c r="G14" t="s">
        <v>218</v>
      </c>
      <c r="H14" t="s">
        <v>674</v>
      </c>
      <c r="I14" t="s">
        <v>219</v>
      </c>
      <c r="J14" t="s">
        <v>220</v>
      </c>
      <c r="K14" t="s">
        <v>674</v>
      </c>
      <c r="L14" t="s">
        <v>681</v>
      </c>
      <c r="M14" s="1">
        <v>46257.902071759258</v>
      </c>
      <c r="N14" s="1">
        <v>46257.915439814817</v>
      </c>
      <c r="O14" s="1">
        <v>46257.902071759258</v>
      </c>
      <c r="P14" t="s">
        <v>221</v>
      </c>
      <c r="Q14" t="s">
        <v>674</v>
      </c>
      <c r="T14" t="s">
        <v>674</v>
      </c>
      <c r="U14" t="s">
        <v>674</v>
      </c>
      <c r="V14" t="s">
        <v>674</v>
      </c>
      <c r="W14" t="s">
        <v>674</v>
      </c>
      <c r="X14" t="s">
        <v>674</v>
      </c>
      <c r="Y14" t="s">
        <v>674</v>
      </c>
      <c r="Z14" t="s">
        <v>674</v>
      </c>
      <c r="AA14" t="s">
        <v>133</v>
      </c>
      <c r="AB14" t="s">
        <v>222</v>
      </c>
      <c r="AC14" t="s">
        <v>674</v>
      </c>
      <c r="AD14" t="s">
        <v>135</v>
      </c>
      <c r="AE14" t="s">
        <v>674</v>
      </c>
      <c r="AF14" t="s">
        <v>674</v>
      </c>
      <c r="AG14" t="s">
        <v>674</v>
      </c>
      <c r="AH14" t="s">
        <v>99</v>
      </c>
      <c r="AJ14" t="s">
        <v>674</v>
      </c>
      <c r="AK14" t="s">
        <v>674</v>
      </c>
      <c r="AL14" t="s">
        <v>223</v>
      </c>
      <c r="AM14" t="s">
        <v>674</v>
      </c>
      <c r="AN14" t="s">
        <v>224</v>
      </c>
      <c r="AO14" t="s">
        <v>674</v>
      </c>
      <c r="AP14" t="s">
        <v>674</v>
      </c>
      <c r="AQ14" t="s">
        <v>674</v>
      </c>
      <c r="AR14" t="s">
        <v>674</v>
      </c>
      <c r="AS14" t="s">
        <v>674</v>
      </c>
      <c r="AT14" t="s">
        <v>674</v>
      </c>
      <c r="AU14" t="s">
        <v>674</v>
      </c>
      <c r="AV14" t="s">
        <v>674</v>
      </c>
      <c r="AW14" t="s">
        <v>674</v>
      </c>
      <c r="AX14" t="s">
        <v>674</v>
      </c>
      <c r="AY14" t="s">
        <v>674</v>
      </c>
      <c r="AZ14" t="s">
        <v>674</v>
      </c>
      <c r="BA14" t="s">
        <v>674</v>
      </c>
      <c r="BB14" t="s">
        <v>674</v>
      </c>
      <c r="BC14" t="s">
        <v>674</v>
      </c>
      <c r="BD14" t="s">
        <v>674</v>
      </c>
      <c r="BE14" t="s">
        <v>674</v>
      </c>
      <c r="BF14" t="s">
        <v>674</v>
      </c>
      <c r="BG14" t="s">
        <v>674</v>
      </c>
      <c r="BH14" t="s">
        <v>674</v>
      </c>
      <c r="BI14" t="s">
        <v>674</v>
      </c>
      <c r="BJ14" t="s">
        <v>674</v>
      </c>
      <c r="BK14" t="s">
        <v>674</v>
      </c>
      <c r="BL14" t="s">
        <v>674</v>
      </c>
      <c r="BM14" t="s">
        <v>674</v>
      </c>
      <c r="BN14" t="s">
        <v>674</v>
      </c>
      <c r="BO14" t="s">
        <v>674</v>
      </c>
      <c r="BP14" t="s">
        <v>674</v>
      </c>
      <c r="BQ14" t="s">
        <v>674</v>
      </c>
      <c r="BR14" t="s">
        <v>674</v>
      </c>
      <c r="BS14" t="s">
        <v>674</v>
      </c>
      <c r="BT14" t="s">
        <v>217</v>
      </c>
      <c r="BU14" t="s">
        <v>674</v>
      </c>
      <c r="BV14" t="s">
        <v>674</v>
      </c>
      <c r="BW14" t="s">
        <v>674</v>
      </c>
      <c r="BX14" t="s">
        <v>674</v>
      </c>
      <c r="BY14" t="s">
        <v>674</v>
      </c>
      <c r="BZ14" t="s">
        <v>674</v>
      </c>
      <c r="CA14" t="s">
        <v>674</v>
      </c>
      <c r="CB14" t="s">
        <v>674</v>
      </c>
      <c r="CC14" t="s">
        <v>674</v>
      </c>
      <c r="CD14" t="s">
        <v>674</v>
      </c>
      <c r="CE14" t="s">
        <v>674</v>
      </c>
      <c r="CF14" t="s">
        <v>674</v>
      </c>
      <c r="CG14" t="s">
        <v>674</v>
      </c>
      <c r="CH14" t="s">
        <v>674</v>
      </c>
      <c r="CI14" t="s">
        <v>674</v>
      </c>
    </row>
    <row r="15" spans="1:87" x14ac:dyDescent="0.25">
      <c r="A15" t="s">
        <v>225</v>
      </c>
      <c r="B15" t="s">
        <v>126</v>
      </c>
      <c r="C15">
        <v>1989</v>
      </c>
      <c r="D15" t="s">
        <v>226</v>
      </c>
      <c r="E15" t="s">
        <v>227</v>
      </c>
      <c r="F15" t="s">
        <v>228</v>
      </c>
      <c r="G15" t="s">
        <v>674</v>
      </c>
      <c r="H15" t="s">
        <v>674</v>
      </c>
      <c r="I15" t="s">
        <v>229</v>
      </c>
      <c r="J15" t="s">
        <v>230</v>
      </c>
      <c r="K15" t="s">
        <v>674</v>
      </c>
      <c r="L15" t="s">
        <v>231</v>
      </c>
      <c r="M15" s="1">
        <v>46257.902141203704</v>
      </c>
      <c r="N15" s="1">
        <v>46257.917569444442</v>
      </c>
      <c r="O15" s="1">
        <v>46257.902129629627</v>
      </c>
      <c r="P15" t="s">
        <v>232</v>
      </c>
      <c r="Q15" t="s">
        <v>674</v>
      </c>
      <c r="T15" t="s">
        <v>674</v>
      </c>
      <c r="U15" t="s">
        <v>674</v>
      </c>
      <c r="V15" t="s">
        <v>674</v>
      </c>
      <c r="W15" t="s">
        <v>674</v>
      </c>
      <c r="X15" t="s">
        <v>674</v>
      </c>
      <c r="Y15" t="s">
        <v>674</v>
      </c>
      <c r="Z15" t="s">
        <v>674</v>
      </c>
      <c r="AA15" t="s">
        <v>133</v>
      </c>
      <c r="AB15" t="s">
        <v>233</v>
      </c>
      <c r="AC15" t="s">
        <v>674</v>
      </c>
      <c r="AD15" t="s">
        <v>674</v>
      </c>
      <c r="AE15" t="s">
        <v>674</v>
      </c>
      <c r="AF15" t="s">
        <v>674</v>
      </c>
      <c r="AG15" t="s">
        <v>674</v>
      </c>
      <c r="AH15" t="s">
        <v>99</v>
      </c>
      <c r="AJ15" t="s">
        <v>674</v>
      </c>
      <c r="AK15" t="s">
        <v>674</v>
      </c>
      <c r="AL15" t="s">
        <v>234</v>
      </c>
      <c r="AM15" t="s">
        <v>674</v>
      </c>
      <c r="AN15" t="s">
        <v>235</v>
      </c>
      <c r="AO15" t="s">
        <v>674</v>
      </c>
      <c r="AP15" t="s">
        <v>674</v>
      </c>
      <c r="AQ15" t="s">
        <v>674</v>
      </c>
      <c r="AR15" t="s">
        <v>674</v>
      </c>
      <c r="AS15" t="s">
        <v>674</v>
      </c>
      <c r="AT15" t="s">
        <v>674</v>
      </c>
      <c r="AU15" t="s">
        <v>674</v>
      </c>
      <c r="AV15" t="s">
        <v>674</v>
      </c>
      <c r="AW15" t="s">
        <v>674</v>
      </c>
      <c r="AX15" t="s">
        <v>674</v>
      </c>
      <c r="AY15" t="s">
        <v>674</v>
      </c>
      <c r="AZ15" t="s">
        <v>674</v>
      </c>
      <c r="BA15" t="s">
        <v>674</v>
      </c>
      <c r="BB15" t="s">
        <v>674</v>
      </c>
      <c r="BC15" t="s">
        <v>674</v>
      </c>
      <c r="BD15" t="s">
        <v>674</v>
      </c>
      <c r="BE15" t="s">
        <v>674</v>
      </c>
      <c r="BF15" t="s">
        <v>674</v>
      </c>
      <c r="BG15" t="s">
        <v>674</v>
      </c>
      <c r="BH15" t="s">
        <v>674</v>
      </c>
      <c r="BI15" t="s">
        <v>674</v>
      </c>
      <c r="BJ15" t="s">
        <v>674</v>
      </c>
      <c r="BK15" t="s">
        <v>674</v>
      </c>
      <c r="BL15" t="s">
        <v>674</v>
      </c>
      <c r="BM15" t="s">
        <v>674</v>
      </c>
      <c r="BN15" t="s">
        <v>674</v>
      </c>
      <c r="BO15" t="s">
        <v>674</v>
      </c>
      <c r="BP15" t="s">
        <v>674</v>
      </c>
      <c r="BQ15" t="s">
        <v>674</v>
      </c>
      <c r="BR15" t="s">
        <v>674</v>
      </c>
      <c r="BS15" t="s">
        <v>674</v>
      </c>
      <c r="BT15" t="s">
        <v>228</v>
      </c>
      <c r="BU15" t="s">
        <v>674</v>
      </c>
      <c r="BV15" t="s">
        <v>674</v>
      </c>
      <c r="BW15" t="s">
        <v>674</v>
      </c>
      <c r="BX15" t="s">
        <v>674</v>
      </c>
      <c r="BY15" t="s">
        <v>674</v>
      </c>
      <c r="BZ15" t="s">
        <v>674</v>
      </c>
      <c r="CA15" t="s">
        <v>674</v>
      </c>
      <c r="CB15" t="s">
        <v>674</v>
      </c>
      <c r="CC15" t="s">
        <v>674</v>
      </c>
      <c r="CD15" t="s">
        <v>674</v>
      </c>
      <c r="CE15" t="s">
        <v>674</v>
      </c>
      <c r="CF15" t="s">
        <v>674</v>
      </c>
      <c r="CG15" t="s">
        <v>674</v>
      </c>
      <c r="CH15" t="s">
        <v>674</v>
      </c>
      <c r="CI15" t="s">
        <v>674</v>
      </c>
    </row>
    <row r="16" spans="1:87" x14ac:dyDescent="0.25">
      <c r="A16" t="s">
        <v>236</v>
      </c>
      <c r="B16" t="s">
        <v>88</v>
      </c>
      <c r="D16" t="s">
        <v>674</v>
      </c>
      <c r="E16" t="s">
        <v>237</v>
      </c>
      <c r="F16" t="s">
        <v>674</v>
      </c>
      <c r="G16" t="s">
        <v>674</v>
      </c>
      <c r="H16" t="s">
        <v>674</v>
      </c>
      <c r="I16" t="s">
        <v>674</v>
      </c>
      <c r="J16" t="s">
        <v>674</v>
      </c>
      <c r="K16" t="s">
        <v>674</v>
      </c>
      <c r="L16" t="s">
        <v>674</v>
      </c>
      <c r="M16" s="1">
        <v>46257.90216435185</v>
      </c>
      <c r="N16" s="1">
        <v>46257.918634259258</v>
      </c>
      <c r="O16" s="1"/>
      <c r="P16" t="s">
        <v>674</v>
      </c>
      <c r="Q16" t="s">
        <v>674</v>
      </c>
      <c r="T16" t="s">
        <v>674</v>
      </c>
      <c r="U16" t="s">
        <v>674</v>
      </c>
      <c r="V16" t="s">
        <v>674</v>
      </c>
      <c r="W16" t="s">
        <v>674</v>
      </c>
      <c r="X16" t="s">
        <v>674</v>
      </c>
      <c r="Y16" t="s">
        <v>674</v>
      </c>
      <c r="Z16" t="s">
        <v>674</v>
      </c>
      <c r="AA16" t="s">
        <v>674</v>
      </c>
      <c r="AB16" t="s">
        <v>674</v>
      </c>
      <c r="AC16" t="s">
        <v>674</v>
      </c>
      <c r="AD16" t="s">
        <v>674</v>
      </c>
      <c r="AE16" t="s">
        <v>674</v>
      </c>
      <c r="AF16" t="s">
        <v>674</v>
      </c>
      <c r="AG16" t="s">
        <v>674</v>
      </c>
      <c r="AH16" t="s">
        <v>163</v>
      </c>
      <c r="AJ16" t="s">
        <v>674</v>
      </c>
      <c r="AK16" t="s">
        <v>674</v>
      </c>
      <c r="AL16" t="s">
        <v>238</v>
      </c>
      <c r="AM16" t="s">
        <v>674</v>
      </c>
      <c r="AN16" t="s">
        <v>101</v>
      </c>
      <c r="AO16" t="s">
        <v>674</v>
      </c>
      <c r="AP16" t="s">
        <v>674</v>
      </c>
      <c r="AQ16" t="s">
        <v>674</v>
      </c>
      <c r="AR16" t="s">
        <v>674</v>
      </c>
      <c r="AS16" t="s">
        <v>674</v>
      </c>
      <c r="AT16" t="s">
        <v>674</v>
      </c>
      <c r="AU16" t="s">
        <v>674</v>
      </c>
      <c r="AV16" t="s">
        <v>674</v>
      </c>
      <c r="AW16" t="s">
        <v>674</v>
      </c>
      <c r="AX16" t="s">
        <v>674</v>
      </c>
      <c r="AY16" t="s">
        <v>674</v>
      </c>
      <c r="AZ16" t="s">
        <v>674</v>
      </c>
      <c r="BA16" t="s">
        <v>674</v>
      </c>
      <c r="BB16" t="s">
        <v>674</v>
      </c>
      <c r="BC16" t="s">
        <v>674</v>
      </c>
      <c r="BD16" t="s">
        <v>674</v>
      </c>
      <c r="BE16" t="s">
        <v>674</v>
      </c>
      <c r="BF16" t="s">
        <v>674</v>
      </c>
      <c r="BG16" t="s">
        <v>674</v>
      </c>
      <c r="BH16" t="s">
        <v>674</v>
      </c>
      <c r="BI16" t="s">
        <v>674</v>
      </c>
      <c r="BJ16" t="s">
        <v>674</v>
      </c>
      <c r="BK16" t="s">
        <v>674</v>
      </c>
      <c r="BL16" t="s">
        <v>674</v>
      </c>
      <c r="BM16" t="s">
        <v>674</v>
      </c>
      <c r="BN16" t="s">
        <v>674</v>
      </c>
      <c r="BO16" t="s">
        <v>674</v>
      </c>
      <c r="BP16" t="s">
        <v>674</v>
      </c>
      <c r="BQ16" t="s">
        <v>674</v>
      </c>
      <c r="BR16" t="s">
        <v>674</v>
      </c>
      <c r="BS16" t="s">
        <v>674</v>
      </c>
      <c r="BT16" t="s">
        <v>674</v>
      </c>
      <c r="BU16" t="s">
        <v>674</v>
      </c>
      <c r="BV16" t="s">
        <v>674</v>
      </c>
      <c r="BW16" t="s">
        <v>674</v>
      </c>
      <c r="BX16" t="s">
        <v>674</v>
      </c>
      <c r="BY16" t="s">
        <v>674</v>
      </c>
      <c r="BZ16" t="s">
        <v>674</v>
      </c>
      <c r="CA16" t="s">
        <v>674</v>
      </c>
      <c r="CB16" t="s">
        <v>674</v>
      </c>
      <c r="CC16" t="s">
        <v>674</v>
      </c>
      <c r="CD16" t="s">
        <v>674</v>
      </c>
      <c r="CE16" t="s">
        <v>674</v>
      </c>
      <c r="CF16" t="s">
        <v>674</v>
      </c>
      <c r="CG16" t="s">
        <v>674</v>
      </c>
      <c r="CH16" t="s">
        <v>674</v>
      </c>
      <c r="CI16" t="s">
        <v>674</v>
      </c>
    </row>
    <row r="17" spans="1:87" x14ac:dyDescent="0.25">
      <c r="A17" t="s">
        <v>239</v>
      </c>
      <c r="B17" t="s">
        <v>126</v>
      </c>
      <c r="C17">
        <v>2023</v>
      </c>
      <c r="D17" t="s">
        <v>240</v>
      </c>
      <c r="E17" t="s">
        <v>241</v>
      </c>
      <c r="F17" t="s">
        <v>242</v>
      </c>
      <c r="G17" t="s">
        <v>243</v>
      </c>
      <c r="H17" t="s">
        <v>674</v>
      </c>
      <c r="I17" t="s">
        <v>244</v>
      </c>
      <c r="J17" t="s">
        <v>245</v>
      </c>
      <c r="K17" t="s">
        <v>674</v>
      </c>
      <c r="L17" t="s">
        <v>682</v>
      </c>
      <c r="M17" s="1">
        <v>46257.902199074073</v>
      </c>
      <c r="N17" s="1">
        <v>46257.91815972222</v>
      </c>
      <c r="O17" s="1">
        <v>46257.902199074073</v>
      </c>
      <c r="P17" t="s">
        <v>683</v>
      </c>
      <c r="Q17" t="s">
        <v>674</v>
      </c>
      <c r="T17" t="s">
        <v>674</v>
      </c>
      <c r="U17" t="s">
        <v>674</v>
      </c>
      <c r="V17" t="s">
        <v>674</v>
      </c>
      <c r="W17" t="s">
        <v>674</v>
      </c>
      <c r="X17" t="s">
        <v>674</v>
      </c>
      <c r="Y17" t="s">
        <v>674</v>
      </c>
      <c r="Z17" t="s">
        <v>674</v>
      </c>
      <c r="AA17" t="s">
        <v>133</v>
      </c>
      <c r="AB17" t="s">
        <v>246</v>
      </c>
      <c r="AC17" t="s">
        <v>674</v>
      </c>
      <c r="AD17" t="s">
        <v>135</v>
      </c>
      <c r="AE17" t="s">
        <v>674</v>
      </c>
      <c r="AF17" t="s">
        <v>674</v>
      </c>
      <c r="AG17" t="s">
        <v>674</v>
      </c>
      <c r="AH17" t="s">
        <v>99</v>
      </c>
      <c r="AJ17" t="s">
        <v>674</v>
      </c>
      <c r="AK17" t="s">
        <v>674</v>
      </c>
      <c r="AL17" t="s">
        <v>247</v>
      </c>
      <c r="AM17" t="s">
        <v>674</v>
      </c>
      <c r="AN17" t="s">
        <v>248</v>
      </c>
      <c r="AO17" t="s">
        <v>674</v>
      </c>
      <c r="AP17" t="s">
        <v>674</v>
      </c>
      <c r="AQ17" t="s">
        <v>674</v>
      </c>
      <c r="AR17" t="s">
        <v>674</v>
      </c>
      <c r="AS17" t="s">
        <v>674</v>
      </c>
      <c r="AT17" t="s">
        <v>674</v>
      </c>
      <c r="AU17" t="s">
        <v>674</v>
      </c>
      <c r="AV17" t="s">
        <v>674</v>
      </c>
      <c r="AW17" t="s">
        <v>674</v>
      </c>
      <c r="AX17" t="s">
        <v>674</v>
      </c>
      <c r="AY17" t="s">
        <v>674</v>
      </c>
      <c r="AZ17" t="s">
        <v>674</v>
      </c>
      <c r="BA17" t="s">
        <v>674</v>
      </c>
      <c r="BB17" t="s">
        <v>674</v>
      </c>
      <c r="BC17" t="s">
        <v>674</v>
      </c>
      <c r="BD17" t="s">
        <v>674</v>
      </c>
      <c r="BE17" t="s">
        <v>674</v>
      </c>
      <c r="BF17" t="s">
        <v>674</v>
      </c>
      <c r="BG17" t="s">
        <v>674</v>
      </c>
      <c r="BH17" t="s">
        <v>674</v>
      </c>
      <c r="BI17" t="s">
        <v>674</v>
      </c>
      <c r="BJ17" t="s">
        <v>674</v>
      </c>
      <c r="BK17" t="s">
        <v>674</v>
      </c>
      <c r="BL17" t="s">
        <v>674</v>
      </c>
      <c r="BM17" t="s">
        <v>674</v>
      </c>
      <c r="BN17" t="s">
        <v>674</v>
      </c>
      <c r="BO17" t="s">
        <v>674</v>
      </c>
      <c r="BP17" t="s">
        <v>674</v>
      </c>
      <c r="BQ17" t="s">
        <v>674</v>
      </c>
      <c r="BR17" t="s">
        <v>674</v>
      </c>
      <c r="BS17" t="s">
        <v>674</v>
      </c>
      <c r="BT17" t="s">
        <v>242</v>
      </c>
      <c r="BU17" t="s">
        <v>674</v>
      </c>
      <c r="BV17" t="s">
        <v>674</v>
      </c>
      <c r="BW17" t="s">
        <v>674</v>
      </c>
      <c r="BX17" t="s">
        <v>674</v>
      </c>
      <c r="BY17" t="s">
        <v>674</v>
      </c>
      <c r="BZ17" t="s">
        <v>674</v>
      </c>
      <c r="CA17" t="s">
        <v>674</v>
      </c>
      <c r="CB17" t="s">
        <v>674</v>
      </c>
      <c r="CC17" t="s">
        <v>674</v>
      </c>
      <c r="CD17" t="s">
        <v>674</v>
      </c>
      <c r="CE17" t="s">
        <v>674</v>
      </c>
      <c r="CF17" t="s">
        <v>674</v>
      </c>
      <c r="CG17" t="s">
        <v>674</v>
      </c>
      <c r="CH17" t="s">
        <v>674</v>
      </c>
      <c r="CI17" t="s">
        <v>674</v>
      </c>
    </row>
    <row r="18" spans="1:87" x14ac:dyDescent="0.25">
      <c r="A18" t="s">
        <v>249</v>
      </c>
      <c r="B18" t="s">
        <v>126</v>
      </c>
      <c r="C18">
        <v>2016</v>
      </c>
      <c r="D18" t="s">
        <v>250</v>
      </c>
      <c r="E18" t="s">
        <v>251</v>
      </c>
      <c r="F18" t="s">
        <v>252</v>
      </c>
      <c r="G18" t="s">
        <v>253</v>
      </c>
      <c r="H18" t="s">
        <v>674</v>
      </c>
      <c r="I18" t="s">
        <v>254</v>
      </c>
      <c r="J18" t="s">
        <v>255</v>
      </c>
      <c r="K18" t="s">
        <v>674</v>
      </c>
      <c r="L18" t="s">
        <v>256</v>
      </c>
      <c r="M18" s="1">
        <v>46257.902256944442</v>
      </c>
      <c r="N18" s="1">
        <v>46257.917442129627</v>
      </c>
      <c r="O18" s="1">
        <v>46257.902256944442</v>
      </c>
      <c r="P18" t="s">
        <v>684</v>
      </c>
      <c r="Q18" t="s">
        <v>674</v>
      </c>
      <c r="T18" t="s">
        <v>674</v>
      </c>
      <c r="U18" t="s">
        <v>674</v>
      </c>
      <c r="V18" t="s">
        <v>674</v>
      </c>
      <c r="W18" t="s">
        <v>674</v>
      </c>
      <c r="X18" t="s">
        <v>674</v>
      </c>
      <c r="Y18" t="s">
        <v>674</v>
      </c>
      <c r="Z18" t="s">
        <v>674</v>
      </c>
      <c r="AA18" t="s">
        <v>133</v>
      </c>
      <c r="AB18" t="s">
        <v>257</v>
      </c>
      <c r="AC18" t="s">
        <v>674</v>
      </c>
      <c r="AD18" t="s">
        <v>674</v>
      </c>
      <c r="AE18" t="s">
        <v>674</v>
      </c>
      <c r="AF18" t="s">
        <v>674</v>
      </c>
      <c r="AG18" t="s">
        <v>674</v>
      </c>
      <c r="AH18" t="s">
        <v>99</v>
      </c>
      <c r="AJ18" t="s">
        <v>674</v>
      </c>
      <c r="AK18" t="s">
        <v>674</v>
      </c>
      <c r="AL18" t="s">
        <v>258</v>
      </c>
      <c r="AM18" t="s">
        <v>674</v>
      </c>
      <c r="AN18" t="s">
        <v>235</v>
      </c>
      <c r="AO18" t="s">
        <v>674</v>
      </c>
      <c r="AP18" t="s">
        <v>674</v>
      </c>
      <c r="AQ18" t="s">
        <v>674</v>
      </c>
      <c r="AR18" t="s">
        <v>674</v>
      </c>
      <c r="AS18" t="s">
        <v>674</v>
      </c>
      <c r="AT18" t="s">
        <v>674</v>
      </c>
      <c r="AU18" t="s">
        <v>674</v>
      </c>
      <c r="AV18" t="s">
        <v>674</v>
      </c>
      <c r="AW18" t="s">
        <v>674</v>
      </c>
      <c r="AX18" t="s">
        <v>674</v>
      </c>
      <c r="AY18" t="s">
        <v>674</v>
      </c>
      <c r="AZ18" t="s">
        <v>674</v>
      </c>
      <c r="BA18" t="s">
        <v>674</v>
      </c>
      <c r="BB18" t="s">
        <v>674</v>
      </c>
      <c r="BC18" t="s">
        <v>674</v>
      </c>
      <c r="BD18" t="s">
        <v>674</v>
      </c>
      <c r="BE18" t="s">
        <v>674</v>
      </c>
      <c r="BF18" t="s">
        <v>674</v>
      </c>
      <c r="BG18" t="s">
        <v>674</v>
      </c>
      <c r="BH18" t="s">
        <v>674</v>
      </c>
      <c r="BI18" t="s">
        <v>674</v>
      </c>
      <c r="BJ18" t="s">
        <v>674</v>
      </c>
      <c r="BK18" t="s">
        <v>674</v>
      </c>
      <c r="BL18" t="s">
        <v>674</v>
      </c>
      <c r="BM18" t="s">
        <v>674</v>
      </c>
      <c r="BN18" t="s">
        <v>674</v>
      </c>
      <c r="BO18" t="s">
        <v>674</v>
      </c>
      <c r="BP18" t="s">
        <v>674</v>
      </c>
      <c r="BQ18" t="s">
        <v>674</v>
      </c>
      <c r="BR18" t="s">
        <v>674</v>
      </c>
      <c r="BS18" t="s">
        <v>674</v>
      </c>
      <c r="BT18" t="s">
        <v>252</v>
      </c>
      <c r="BU18" t="s">
        <v>674</v>
      </c>
      <c r="BV18" t="s">
        <v>674</v>
      </c>
      <c r="BW18" t="s">
        <v>674</v>
      </c>
      <c r="BX18" t="s">
        <v>674</v>
      </c>
      <c r="BY18" t="s">
        <v>674</v>
      </c>
      <c r="BZ18" t="s">
        <v>674</v>
      </c>
      <c r="CA18" t="s">
        <v>674</v>
      </c>
      <c r="CB18" t="s">
        <v>674</v>
      </c>
      <c r="CC18" t="s">
        <v>674</v>
      </c>
      <c r="CD18" t="s">
        <v>674</v>
      </c>
      <c r="CE18" t="s">
        <v>674</v>
      </c>
      <c r="CF18" t="s">
        <v>674</v>
      </c>
      <c r="CG18" t="s">
        <v>674</v>
      </c>
      <c r="CH18" t="s">
        <v>674</v>
      </c>
      <c r="CI18" t="s">
        <v>674</v>
      </c>
    </row>
    <row r="19" spans="1:87" x14ac:dyDescent="0.25">
      <c r="A19" t="s">
        <v>259</v>
      </c>
      <c r="B19" t="s">
        <v>88</v>
      </c>
      <c r="D19" t="s">
        <v>674</v>
      </c>
      <c r="E19" t="s">
        <v>260</v>
      </c>
      <c r="F19" t="s">
        <v>674</v>
      </c>
      <c r="G19" t="s">
        <v>674</v>
      </c>
      <c r="H19" t="s">
        <v>674</v>
      </c>
      <c r="I19" t="s">
        <v>674</v>
      </c>
      <c r="J19" t="s">
        <v>674</v>
      </c>
      <c r="K19" t="s">
        <v>674</v>
      </c>
      <c r="L19" t="s">
        <v>674</v>
      </c>
      <c r="M19" s="1">
        <v>46257.904942129629</v>
      </c>
      <c r="N19" s="1">
        <v>46258.611840277779</v>
      </c>
      <c r="O19" s="1"/>
      <c r="P19" t="s">
        <v>674</v>
      </c>
      <c r="Q19" t="s">
        <v>674</v>
      </c>
      <c r="T19" t="s">
        <v>674</v>
      </c>
      <c r="U19" t="s">
        <v>674</v>
      </c>
      <c r="V19" t="s">
        <v>674</v>
      </c>
      <c r="W19" t="s">
        <v>674</v>
      </c>
      <c r="X19" t="s">
        <v>674</v>
      </c>
      <c r="Y19" t="s">
        <v>674</v>
      </c>
      <c r="Z19" t="s">
        <v>674</v>
      </c>
      <c r="AA19" t="s">
        <v>674</v>
      </c>
      <c r="AB19" t="s">
        <v>674</v>
      </c>
      <c r="AC19" t="s">
        <v>674</v>
      </c>
      <c r="AD19" t="s">
        <v>674</v>
      </c>
      <c r="AE19" t="s">
        <v>674</v>
      </c>
      <c r="AF19" t="s">
        <v>674</v>
      </c>
      <c r="AG19" t="s">
        <v>674</v>
      </c>
      <c r="AH19" t="s">
        <v>674</v>
      </c>
      <c r="AJ19" t="s">
        <v>674</v>
      </c>
      <c r="AK19" t="s">
        <v>674</v>
      </c>
      <c r="AL19" t="s">
        <v>674</v>
      </c>
      <c r="AM19" t="s">
        <v>674</v>
      </c>
      <c r="AN19" t="s">
        <v>261</v>
      </c>
      <c r="AO19" t="s">
        <v>674</v>
      </c>
      <c r="AP19" t="s">
        <v>674</v>
      </c>
      <c r="AQ19" t="s">
        <v>674</v>
      </c>
      <c r="AR19" t="s">
        <v>674</v>
      </c>
      <c r="AS19" t="s">
        <v>674</v>
      </c>
      <c r="AT19" t="s">
        <v>674</v>
      </c>
      <c r="AU19" t="s">
        <v>674</v>
      </c>
      <c r="AV19" t="s">
        <v>674</v>
      </c>
      <c r="AW19" t="s">
        <v>674</v>
      </c>
      <c r="AX19" t="s">
        <v>674</v>
      </c>
      <c r="AY19" t="s">
        <v>674</v>
      </c>
      <c r="AZ19" t="s">
        <v>674</v>
      </c>
      <c r="BA19" t="s">
        <v>674</v>
      </c>
      <c r="BB19" t="s">
        <v>674</v>
      </c>
      <c r="BC19" t="s">
        <v>674</v>
      </c>
      <c r="BD19" t="s">
        <v>674</v>
      </c>
      <c r="BE19" t="s">
        <v>674</v>
      </c>
      <c r="BF19" t="s">
        <v>674</v>
      </c>
      <c r="BG19" t="s">
        <v>674</v>
      </c>
      <c r="BH19" t="s">
        <v>674</v>
      </c>
      <c r="BI19" t="s">
        <v>674</v>
      </c>
      <c r="BJ19" t="s">
        <v>674</v>
      </c>
      <c r="BK19" t="s">
        <v>674</v>
      </c>
      <c r="BL19" t="s">
        <v>674</v>
      </c>
      <c r="BM19" t="s">
        <v>674</v>
      </c>
      <c r="BN19" t="s">
        <v>674</v>
      </c>
      <c r="BO19" t="s">
        <v>674</v>
      </c>
      <c r="BP19" t="s">
        <v>674</v>
      </c>
      <c r="BQ19" t="s">
        <v>674</v>
      </c>
      <c r="BR19" t="s">
        <v>674</v>
      </c>
      <c r="BS19" t="s">
        <v>674</v>
      </c>
      <c r="BT19" t="s">
        <v>674</v>
      </c>
      <c r="BU19" t="s">
        <v>674</v>
      </c>
      <c r="BV19" t="s">
        <v>674</v>
      </c>
      <c r="BW19" t="s">
        <v>674</v>
      </c>
      <c r="BX19" t="s">
        <v>674</v>
      </c>
      <c r="BY19" t="s">
        <v>674</v>
      </c>
      <c r="BZ19" t="s">
        <v>674</v>
      </c>
      <c r="CA19" t="s">
        <v>674</v>
      </c>
      <c r="CB19" t="s">
        <v>674</v>
      </c>
      <c r="CC19" t="s">
        <v>674</v>
      </c>
      <c r="CD19" t="s">
        <v>674</v>
      </c>
      <c r="CE19" t="s">
        <v>674</v>
      </c>
      <c r="CF19" t="s">
        <v>674</v>
      </c>
      <c r="CG19" t="s">
        <v>674</v>
      </c>
      <c r="CH19" t="s">
        <v>674</v>
      </c>
      <c r="CI19" t="s">
        <v>674</v>
      </c>
    </row>
    <row r="20" spans="1:87" x14ac:dyDescent="0.25">
      <c r="A20" t="s">
        <v>262</v>
      </c>
      <c r="B20" t="s">
        <v>88</v>
      </c>
      <c r="C20">
        <v>2017</v>
      </c>
      <c r="D20" t="s">
        <v>263</v>
      </c>
      <c r="E20" t="s">
        <v>264</v>
      </c>
      <c r="F20" t="s">
        <v>265</v>
      </c>
      <c r="G20" t="s">
        <v>674</v>
      </c>
      <c r="H20" t="s">
        <v>266</v>
      </c>
      <c r="I20" t="s">
        <v>267</v>
      </c>
      <c r="J20" t="s">
        <v>268</v>
      </c>
      <c r="K20" t="s">
        <v>674</v>
      </c>
      <c r="L20" t="s">
        <v>269</v>
      </c>
      <c r="M20" s="1">
        <v>46258.612557870372</v>
      </c>
      <c r="N20" s="1">
        <v>46258.617615740739</v>
      </c>
      <c r="O20" s="1">
        <v>46258.612557870372</v>
      </c>
      <c r="P20" t="s">
        <v>685</v>
      </c>
      <c r="Q20" t="s">
        <v>674</v>
      </c>
      <c r="S20">
        <v>43</v>
      </c>
      <c r="T20" t="s">
        <v>674</v>
      </c>
      <c r="U20" t="s">
        <v>265</v>
      </c>
      <c r="V20" t="s">
        <v>674</v>
      </c>
      <c r="W20" t="s">
        <v>674</v>
      </c>
      <c r="X20" t="s">
        <v>674</v>
      </c>
      <c r="Y20" t="s">
        <v>674</v>
      </c>
      <c r="Z20" t="s">
        <v>674</v>
      </c>
      <c r="AA20" t="s">
        <v>674</v>
      </c>
      <c r="AB20" t="s">
        <v>674</v>
      </c>
      <c r="AC20" t="s">
        <v>97</v>
      </c>
      <c r="AD20" t="s">
        <v>674</v>
      </c>
      <c r="AE20" t="s">
        <v>674</v>
      </c>
      <c r="AF20" t="s">
        <v>674</v>
      </c>
      <c r="AG20" t="s">
        <v>674</v>
      </c>
      <c r="AH20" t="s">
        <v>99</v>
      </c>
      <c r="AJ20" t="s">
        <v>674</v>
      </c>
      <c r="AK20" t="s">
        <v>674</v>
      </c>
      <c r="AL20" t="s">
        <v>270</v>
      </c>
      <c r="AM20" t="s">
        <v>674</v>
      </c>
      <c r="AN20" t="s">
        <v>213</v>
      </c>
      <c r="AO20" t="s">
        <v>674</v>
      </c>
      <c r="AP20" t="s">
        <v>674</v>
      </c>
      <c r="AQ20" t="s">
        <v>674</v>
      </c>
      <c r="AR20" t="s">
        <v>674</v>
      </c>
      <c r="AS20" t="s">
        <v>674</v>
      </c>
      <c r="AT20" t="s">
        <v>674</v>
      </c>
      <c r="AU20" t="s">
        <v>674</v>
      </c>
      <c r="AV20" t="s">
        <v>674</v>
      </c>
      <c r="AW20" t="s">
        <v>674</v>
      </c>
      <c r="AX20" t="s">
        <v>674</v>
      </c>
      <c r="AY20" t="s">
        <v>674</v>
      </c>
      <c r="AZ20" t="s">
        <v>674</v>
      </c>
      <c r="BA20" t="s">
        <v>674</v>
      </c>
      <c r="BB20" t="s">
        <v>674</v>
      </c>
      <c r="BC20" t="s">
        <v>674</v>
      </c>
      <c r="BD20" t="s">
        <v>674</v>
      </c>
      <c r="BE20" t="s">
        <v>674</v>
      </c>
      <c r="BF20" t="s">
        <v>674</v>
      </c>
      <c r="BG20" t="s">
        <v>674</v>
      </c>
      <c r="BH20" t="s">
        <v>674</v>
      </c>
      <c r="BI20" t="s">
        <v>674</v>
      </c>
      <c r="BJ20" t="s">
        <v>674</v>
      </c>
      <c r="BK20" t="s">
        <v>674</v>
      </c>
      <c r="BL20" t="s">
        <v>674</v>
      </c>
      <c r="BM20" t="s">
        <v>674</v>
      </c>
      <c r="BN20" t="s">
        <v>674</v>
      </c>
      <c r="BO20" t="s">
        <v>674</v>
      </c>
      <c r="BP20" t="s">
        <v>674</v>
      </c>
      <c r="BQ20" t="s">
        <v>674</v>
      </c>
      <c r="BR20" t="s">
        <v>674</v>
      </c>
      <c r="BS20" t="s">
        <v>674</v>
      </c>
      <c r="BT20" t="s">
        <v>674</v>
      </c>
      <c r="BU20" t="s">
        <v>674</v>
      </c>
      <c r="BV20" t="s">
        <v>674</v>
      </c>
      <c r="BW20" t="s">
        <v>674</v>
      </c>
      <c r="BX20" t="s">
        <v>674</v>
      </c>
      <c r="BY20" t="s">
        <v>674</v>
      </c>
      <c r="BZ20" t="s">
        <v>674</v>
      </c>
      <c r="CA20" t="s">
        <v>674</v>
      </c>
      <c r="CB20" t="s">
        <v>674</v>
      </c>
      <c r="CC20" t="s">
        <v>674</v>
      </c>
      <c r="CD20" t="s">
        <v>674</v>
      </c>
      <c r="CE20" t="s">
        <v>674</v>
      </c>
      <c r="CF20" t="s">
        <v>674</v>
      </c>
      <c r="CG20" t="s">
        <v>674</v>
      </c>
      <c r="CH20" t="s">
        <v>674</v>
      </c>
      <c r="CI20" t="s">
        <v>674</v>
      </c>
    </row>
    <row r="21" spans="1:87" x14ac:dyDescent="0.25">
      <c r="A21" t="s">
        <v>271</v>
      </c>
      <c r="B21" t="s">
        <v>126</v>
      </c>
      <c r="C21">
        <v>2017</v>
      </c>
      <c r="D21" t="s">
        <v>272</v>
      </c>
      <c r="E21" t="s">
        <v>273</v>
      </c>
      <c r="F21" t="s">
        <v>274</v>
      </c>
      <c r="G21" t="s">
        <v>275</v>
      </c>
      <c r="H21" t="s">
        <v>674</v>
      </c>
      <c r="I21" t="s">
        <v>276</v>
      </c>
      <c r="J21" t="s">
        <v>277</v>
      </c>
      <c r="K21" t="s">
        <v>278</v>
      </c>
      <c r="L21" t="s">
        <v>279</v>
      </c>
      <c r="M21" s="1">
        <v>46258.612615740742</v>
      </c>
      <c r="N21" s="1">
        <v>46258.619039351855</v>
      </c>
      <c r="O21" s="1">
        <v>46258.612615740742</v>
      </c>
      <c r="P21" t="s">
        <v>280</v>
      </c>
      <c r="Q21" t="s">
        <v>674</v>
      </c>
      <c r="T21" t="s">
        <v>674</v>
      </c>
      <c r="U21" t="s">
        <v>674</v>
      </c>
      <c r="V21" t="s">
        <v>674</v>
      </c>
      <c r="W21" t="s">
        <v>674</v>
      </c>
      <c r="X21" t="s">
        <v>674</v>
      </c>
      <c r="Y21" t="s">
        <v>674</v>
      </c>
      <c r="Z21" t="s">
        <v>674</v>
      </c>
      <c r="AA21" t="s">
        <v>133</v>
      </c>
      <c r="AB21" t="s">
        <v>281</v>
      </c>
      <c r="AC21" t="s">
        <v>674</v>
      </c>
      <c r="AD21" t="s">
        <v>674</v>
      </c>
      <c r="AE21" t="s">
        <v>674</v>
      </c>
      <c r="AF21" t="s">
        <v>674</v>
      </c>
      <c r="AG21" t="s">
        <v>674</v>
      </c>
      <c r="AH21" t="s">
        <v>99</v>
      </c>
      <c r="AJ21" t="s">
        <v>674</v>
      </c>
      <c r="AK21" t="s">
        <v>674</v>
      </c>
      <c r="AL21" t="s">
        <v>282</v>
      </c>
      <c r="AM21" t="s">
        <v>674</v>
      </c>
      <c r="AN21" t="s">
        <v>235</v>
      </c>
      <c r="AO21" t="s">
        <v>674</v>
      </c>
      <c r="AP21" t="s">
        <v>674</v>
      </c>
      <c r="AQ21" t="s">
        <v>674</v>
      </c>
      <c r="AR21" t="s">
        <v>674</v>
      </c>
      <c r="AS21" t="s">
        <v>674</v>
      </c>
      <c r="AT21" t="s">
        <v>674</v>
      </c>
      <c r="AU21" t="s">
        <v>674</v>
      </c>
      <c r="AV21" t="s">
        <v>674</v>
      </c>
      <c r="AW21" t="s">
        <v>674</v>
      </c>
      <c r="AX21" t="s">
        <v>674</v>
      </c>
      <c r="AY21" t="s">
        <v>674</v>
      </c>
      <c r="AZ21" t="s">
        <v>674</v>
      </c>
      <c r="BA21" t="s">
        <v>674</v>
      </c>
      <c r="BB21" t="s">
        <v>674</v>
      </c>
      <c r="BC21" t="s">
        <v>674</v>
      </c>
      <c r="BD21" t="s">
        <v>674</v>
      </c>
      <c r="BE21" t="s">
        <v>674</v>
      </c>
      <c r="BF21" t="s">
        <v>674</v>
      </c>
      <c r="BG21" t="s">
        <v>674</v>
      </c>
      <c r="BH21" t="s">
        <v>674</v>
      </c>
      <c r="BI21" t="s">
        <v>674</v>
      </c>
      <c r="BJ21" t="s">
        <v>674</v>
      </c>
      <c r="BK21" t="s">
        <v>674</v>
      </c>
      <c r="BL21" t="s">
        <v>674</v>
      </c>
      <c r="BM21" t="s">
        <v>674</v>
      </c>
      <c r="BN21" t="s">
        <v>674</v>
      </c>
      <c r="BO21" t="s">
        <v>674</v>
      </c>
      <c r="BP21" t="s">
        <v>674</v>
      </c>
      <c r="BQ21" t="s">
        <v>674</v>
      </c>
      <c r="BR21" t="s">
        <v>674</v>
      </c>
      <c r="BS21" t="s">
        <v>674</v>
      </c>
      <c r="BT21" t="s">
        <v>274</v>
      </c>
      <c r="BU21" t="s">
        <v>674</v>
      </c>
      <c r="BV21" t="s">
        <v>674</v>
      </c>
      <c r="BW21" t="s">
        <v>674</v>
      </c>
      <c r="BX21" t="s">
        <v>674</v>
      </c>
      <c r="BY21" t="s">
        <v>674</v>
      </c>
      <c r="BZ21" t="s">
        <v>674</v>
      </c>
      <c r="CA21" t="s">
        <v>674</v>
      </c>
      <c r="CB21" t="s">
        <v>674</v>
      </c>
      <c r="CC21" t="s">
        <v>674</v>
      </c>
      <c r="CD21" t="s">
        <v>674</v>
      </c>
      <c r="CE21" t="s">
        <v>674</v>
      </c>
      <c r="CF21" t="s">
        <v>674</v>
      </c>
      <c r="CG21" t="s">
        <v>674</v>
      </c>
      <c r="CH21" t="s">
        <v>674</v>
      </c>
      <c r="CI21" t="s">
        <v>674</v>
      </c>
    </row>
    <row r="22" spans="1:87" x14ac:dyDescent="0.25">
      <c r="A22" t="s">
        <v>283</v>
      </c>
      <c r="B22" t="s">
        <v>88</v>
      </c>
      <c r="C22">
        <v>2016</v>
      </c>
      <c r="D22" t="s">
        <v>284</v>
      </c>
      <c r="E22" t="s">
        <v>285</v>
      </c>
      <c r="F22" t="s">
        <v>286</v>
      </c>
      <c r="G22" t="s">
        <v>674</v>
      </c>
      <c r="H22" t="s">
        <v>287</v>
      </c>
      <c r="I22" t="s">
        <v>288</v>
      </c>
      <c r="J22" t="s">
        <v>289</v>
      </c>
      <c r="K22" t="s">
        <v>674</v>
      </c>
      <c r="L22" t="s">
        <v>686</v>
      </c>
      <c r="M22" s="1">
        <v>46258.612719907411</v>
      </c>
      <c r="N22" s="1">
        <v>46258.618090277778</v>
      </c>
      <c r="O22" s="1">
        <v>46258.612719907411</v>
      </c>
      <c r="P22" t="s">
        <v>290</v>
      </c>
      <c r="Q22" t="s">
        <v>674</v>
      </c>
      <c r="R22">
        <v>1</v>
      </c>
      <c r="S22">
        <v>14</v>
      </c>
      <c r="T22" t="s">
        <v>674</v>
      </c>
      <c r="U22" t="s">
        <v>291</v>
      </c>
      <c r="V22" t="s">
        <v>674</v>
      </c>
      <c r="W22" t="s">
        <v>674</v>
      </c>
      <c r="X22" t="s">
        <v>674</v>
      </c>
      <c r="Y22" t="s">
        <v>674</v>
      </c>
      <c r="Z22" t="s">
        <v>674</v>
      </c>
      <c r="AA22" t="s">
        <v>674</v>
      </c>
      <c r="AB22" t="s">
        <v>674</v>
      </c>
      <c r="AC22" t="s">
        <v>674</v>
      </c>
      <c r="AD22" t="s">
        <v>674</v>
      </c>
      <c r="AE22" t="s">
        <v>674</v>
      </c>
      <c r="AF22" t="s">
        <v>674</v>
      </c>
      <c r="AG22" t="s">
        <v>674</v>
      </c>
      <c r="AH22" t="s">
        <v>99</v>
      </c>
      <c r="AJ22" t="s">
        <v>674</v>
      </c>
      <c r="AK22" t="s">
        <v>674</v>
      </c>
      <c r="AL22" t="s">
        <v>292</v>
      </c>
      <c r="AM22" t="s">
        <v>674</v>
      </c>
      <c r="AN22" t="s">
        <v>293</v>
      </c>
      <c r="AO22" t="s">
        <v>674</v>
      </c>
      <c r="AP22" t="s">
        <v>674</v>
      </c>
      <c r="AQ22" t="s">
        <v>674</v>
      </c>
      <c r="AR22" t="s">
        <v>674</v>
      </c>
      <c r="AS22" t="s">
        <v>674</v>
      </c>
      <c r="AT22" t="s">
        <v>674</v>
      </c>
      <c r="AU22" t="s">
        <v>674</v>
      </c>
      <c r="AV22" t="s">
        <v>674</v>
      </c>
      <c r="AW22" t="s">
        <v>674</v>
      </c>
      <c r="AX22" t="s">
        <v>674</v>
      </c>
      <c r="AY22" t="s">
        <v>674</v>
      </c>
      <c r="AZ22" t="s">
        <v>674</v>
      </c>
      <c r="BA22" t="s">
        <v>674</v>
      </c>
      <c r="BB22" t="s">
        <v>674</v>
      </c>
      <c r="BC22" t="s">
        <v>674</v>
      </c>
      <c r="BD22" t="s">
        <v>674</v>
      </c>
      <c r="BE22" t="s">
        <v>674</v>
      </c>
      <c r="BF22" t="s">
        <v>674</v>
      </c>
      <c r="BG22" t="s">
        <v>674</v>
      </c>
      <c r="BH22" t="s">
        <v>674</v>
      </c>
      <c r="BI22" t="s">
        <v>674</v>
      </c>
      <c r="BJ22" t="s">
        <v>674</v>
      </c>
      <c r="BK22" t="s">
        <v>674</v>
      </c>
      <c r="BL22" t="s">
        <v>674</v>
      </c>
      <c r="BM22" t="s">
        <v>674</v>
      </c>
      <c r="BN22" t="s">
        <v>674</v>
      </c>
      <c r="BO22" t="s">
        <v>674</v>
      </c>
      <c r="BP22" t="s">
        <v>674</v>
      </c>
      <c r="BQ22" t="s">
        <v>674</v>
      </c>
      <c r="BR22" t="s">
        <v>674</v>
      </c>
      <c r="BS22" t="s">
        <v>674</v>
      </c>
      <c r="BT22" t="s">
        <v>674</v>
      </c>
      <c r="BU22" t="s">
        <v>674</v>
      </c>
      <c r="BV22" t="s">
        <v>674</v>
      </c>
      <c r="BW22" t="s">
        <v>674</v>
      </c>
      <c r="BX22" t="s">
        <v>674</v>
      </c>
      <c r="BY22" t="s">
        <v>674</v>
      </c>
      <c r="BZ22" t="s">
        <v>674</v>
      </c>
      <c r="CA22" t="s">
        <v>674</v>
      </c>
      <c r="CB22" t="s">
        <v>674</v>
      </c>
      <c r="CC22" t="s">
        <v>674</v>
      </c>
      <c r="CD22" t="s">
        <v>674</v>
      </c>
      <c r="CE22" t="s">
        <v>674</v>
      </c>
      <c r="CF22" t="s">
        <v>674</v>
      </c>
      <c r="CG22" t="s">
        <v>674</v>
      </c>
      <c r="CH22" t="s">
        <v>674</v>
      </c>
      <c r="CI22" t="s">
        <v>674</v>
      </c>
    </row>
    <row r="23" spans="1:87" x14ac:dyDescent="0.25">
      <c r="A23" t="s">
        <v>294</v>
      </c>
      <c r="B23" t="s">
        <v>88</v>
      </c>
      <c r="C23">
        <v>2022</v>
      </c>
      <c r="D23" t="s">
        <v>295</v>
      </c>
      <c r="E23" t="s">
        <v>296</v>
      </c>
      <c r="F23" t="s">
        <v>297</v>
      </c>
      <c r="G23" t="s">
        <v>674</v>
      </c>
      <c r="H23" t="s">
        <v>298</v>
      </c>
      <c r="I23" t="s">
        <v>299</v>
      </c>
      <c r="J23" t="s">
        <v>300</v>
      </c>
      <c r="K23" t="s">
        <v>301</v>
      </c>
      <c r="L23" t="s">
        <v>687</v>
      </c>
      <c r="M23" s="1">
        <v>46258.612835648149</v>
      </c>
      <c r="N23" s="1">
        <v>46258.616631944446</v>
      </c>
      <c r="O23" s="1">
        <v>46258.612835648149</v>
      </c>
      <c r="P23" t="s">
        <v>688</v>
      </c>
      <c r="Q23" t="s">
        <v>674</v>
      </c>
      <c r="R23">
        <v>1</v>
      </c>
      <c r="S23">
        <v>12</v>
      </c>
      <c r="T23" t="s">
        <v>674</v>
      </c>
      <c r="U23" t="s">
        <v>302</v>
      </c>
      <c r="V23" t="s">
        <v>674</v>
      </c>
      <c r="W23" t="s">
        <v>674</v>
      </c>
      <c r="X23" t="s">
        <v>674</v>
      </c>
      <c r="Y23" t="s">
        <v>674</v>
      </c>
      <c r="Z23" t="s">
        <v>674</v>
      </c>
      <c r="AA23" t="s">
        <v>674</v>
      </c>
      <c r="AB23" t="s">
        <v>674</v>
      </c>
      <c r="AC23" t="s">
        <v>97</v>
      </c>
      <c r="AD23" t="s">
        <v>674</v>
      </c>
      <c r="AE23" t="s">
        <v>674</v>
      </c>
      <c r="AF23" t="s">
        <v>674</v>
      </c>
      <c r="AG23" t="s">
        <v>674</v>
      </c>
      <c r="AH23" t="s">
        <v>99</v>
      </c>
      <c r="AJ23" t="s">
        <v>674</v>
      </c>
      <c r="AK23" t="s">
        <v>674</v>
      </c>
      <c r="AL23" t="s">
        <v>303</v>
      </c>
      <c r="AM23" t="s">
        <v>674</v>
      </c>
      <c r="AN23" t="s">
        <v>235</v>
      </c>
      <c r="AO23" t="s">
        <v>674</v>
      </c>
      <c r="AP23" t="s">
        <v>674</v>
      </c>
      <c r="AQ23" t="s">
        <v>674</v>
      </c>
      <c r="AR23" t="s">
        <v>674</v>
      </c>
      <c r="AS23" t="s">
        <v>674</v>
      </c>
      <c r="AT23" t="s">
        <v>674</v>
      </c>
      <c r="AU23" t="s">
        <v>674</v>
      </c>
      <c r="AV23" t="s">
        <v>674</v>
      </c>
      <c r="AW23" t="s">
        <v>674</v>
      </c>
      <c r="AX23" t="s">
        <v>674</v>
      </c>
      <c r="AY23" t="s">
        <v>674</v>
      </c>
      <c r="AZ23" t="s">
        <v>674</v>
      </c>
      <c r="BA23" t="s">
        <v>674</v>
      </c>
      <c r="BB23" t="s">
        <v>674</v>
      </c>
      <c r="BC23" t="s">
        <v>674</v>
      </c>
      <c r="BD23" t="s">
        <v>674</v>
      </c>
      <c r="BE23" t="s">
        <v>674</v>
      </c>
      <c r="BF23" t="s">
        <v>674</v>
      </c>
      <c r="BG23" t="s">
        <v>674</v>
      </c>
      <c r="BH23" t="s">
        <v>674</v>
      </c>
      <c r="BI23" t="s">
        <v>674</v>
      </c>
      <c r="BJ23" t="s">
        <v>674</v>
      </c>
      <c r="BK23" t="s">
        <v>674</v>
      </c>
      <c r="BL23" t="s">
        <v>674</v>
      </c>
      <c r="BM23" t="s">
        <v>674</v>
      </c>
      <c r="BN23" t="s">
        <v>674</v>
      </c>
      <c r="BO23" t="s">
        <v>674</v>
      </c>
      <c r="BP23" t="s">
        <v>674</v>
      </c>
      <c r="BQ23" t="s">
        <v>674</v>
      </c>
      <c r="BR23" t="s">
        <v>674</v>
      </c>
      <c r="BS23" t="s">
        <v>674</v>
      </c>
      <c r="BT23" t="s">
        <v>674</v>
      </c>
      <c r="BU23" t="s">
        <v>674</v>
      </c>
      <c r="BV23" t="s">
        <v>674</v>
      </c>
      <c r="BW23" t="s">
        <v>674</v>
      </c>
      <c r="BX23" t="s">
        <v>674</v>
      </c>
      <c r="BY23" t="s">
        <v>674</v>
      </c>
      <c r="BZ23" t="s">
        <v>674</v>
      </c>
      <c r="CA23" t="s">
        <v>674</v>
      </c>
      <c r="CB23" t="s">
        <v>674</v>
      </c>
      <c r="CC23" t="s">
        <v>674</v>
      </c>
      <c r="CD23" t="s">
        <v>674</v>
      </c>
      <c r="CE23" t="s">
        <v>674</v>
      </c>
      <c r="CF23" t="s">
        <v>674</v>
      </c>
      <c r="CG23" t="s">
        <v>674</v>
      </c>
      <c r="CH23" t="s">
        <v>674</v>
      </c>
      <c r="CI23" t="s">
        <v>674</v>
      </c>
    </row>
    <row r="24" spans="1:87" x14ac:dyDescent="0.25">
      <c r="A24" t="s">
        <v>304</v>
      </c>
      <c r="B24" t="s">
        <v>88</v>
      </c>
      <c r="C24">
        <v>2016</v>
      </c>
      <c r="D24" t="s">
        <v>305</v>
      </c>
      <c r="E24" t="s">
        <v>306</v>
      </c>
      <c r="F24" t="s">
        <v>307</v>
      </c>
      <c r="G24" t="s">
        <v>674</v>
      </c>
      <c r="H24" t="s">
        <v>308</v>
      </c>
      <c r="I24" t="s">
        <v>309</v>
      </c>
      <c r="J24" t="s">
        <v>310</v>
      </c>
      <c r="K24" t="s">
        <v>311</v>
      </c>
      <c r="L24" t="s">
        <v>312</v>
      </c>
      <c r="M24" s="1">
        <v>46258.612893518519</v>
      </c>
      <c r="N24" s="1">
        <v>46258.615659722222</v>
      </c>
      <c r="O24" s="1">
        <v>46258.612893518519</v>
      </c>
      <c r="P24" t="s">
        <v>313</v>
      </c>
      <c r="Q24" t="s">
        <v>674</v>
      </c>
      <c r="R24">
        <v>8</v>
      </c>
      <c r="S24">
        <v>10</v>
      </c>
      <c r="T24" t="s">
        <v>674</v>
      </c>
      <c r="U24" t="s">
        <v>314</v>
      </c>
      <c r="V24" t="s">
        <v>674</v>
      </c>
      <c r="W24" t="s">
        <v>674</v>
      </c>
      <c r="X24" t="s">
        <v>674</v>
      </c>
      <c r="Y24" t="s">
        <v>674</v>
      </c>
      <c r="Z24" t="s">
        <v>674</v>
      </c>
      <c r="AA24" t="s">
        <v>674</v>
      </c>
      <c r="AB24" t="s">
        <v>674</v>
      </c>
      <c r="AC24" t="s">
        <v>97</v>
      </c>
      <c r="AD24" t="s">
        <v>315</v>
      </c>
      <c r="AE24" t="s">
        <v>674</v>
      </c>
      <c r="AF24" t="s">
        <v>674</v>
      </c>
      <c r="AG24" t="s">
        <v>674</v>
      </c>
      <c r="AH24" t="s">
        <v>99</v>
      </c>
      <c r="AJ24" t="s">
        <v>674</v>
      </c>
      <c r="AK24" t="s">
        <v>674</v>
      </c>
      <c r="AL24" t="s">
        <v>316</v>
      </c>
      <c r="AM24" t="s">
        <v>674</v>
      </c>
      <c r="AN24" t="s">
        <v>317</v>
      </c>
      <c r="AO24" t="s">
        <v>674</v>
      </c>
      <c r="AP24" t="s">
        <v>674</v>
      </c>
      <c r="AQ24" t="s">
        <v>674</v>
      </c>
      <c r="AR24" t="s">
        <v>674</v>
      </c>
      <c r="AS24" t="s">
        <v>674</v>
      </c>
      <c r="AT24" t="s">
        <v>674</v>
      </c>
      <c r="AU24" t="s">
        <v>674</v>
      </c>
      <c r="AV24" t="s">
        <v>674</v>
      </c>
      <c r="AW24" t="s">
        <v>674</v>
      </c>
      <c r="AX24" t="s">
        <v>674</v>
      </c>
      <c r="AY24" t="s">
        <v>674</v>
      </c>
      <c r="AZ24" t="s">
        <v>674</v>
      </c>
      <c r="BA24" t="s">
        <v>674</v>
      </c>
      <c r="BB24" t="s">
        <v>674</v>
      </c>
      <c r="BC24" t="s">
        <v>674</v>
      </c>
      <c r="BD24" t="s">
        <v>674</v>
      </c>
      <c r="BE24" t="s">
        <v>674</v>
      </c>
      <c r="BF24" t="s">
        <v>674</v>
      </c>
      <c r="BG24" t="s">
        <v>674</v>
      </c>
      <c r="BH24" t="s">
        <v>674</v>
      </c>
      <c r="BI24" t="s">
        <v>674</v>
      </c>
      <c r="BJ24" t="s">
        <v>674</v>
      </c>
      <c r="BK24" t="s">
        <v>674</v>
      </c>
      <c r="BL24" t="s">
        <v>674</v>
      </c>
      <c r="BM24" t="s">
        <v>674</v>
      </c>
      <c r="BN24" t="s">
        <v>674</v>
      </c>
      <c r="BO24" t="s">
        <v>674</v>
      </c>
      <c r="BP24" t="s">
        <v>674</v>
      </c>
      <c r="BQ24" t="s">
        <v>674</v>
      </c>
      <c r="BR24" t="s">
        <v>674</v>
      </c>
      <c r="BS24" t="s">
        <v>674</v>
      </c>
      <c r="BT24" t="s">
        <v>674</v>
      </c>
      <c r="BU24" t="s">
        <v>674</v>
      </c>
      <c r="BV24" t="s">
        <v>674</v>
      </c>
      <c r="BW24" t="s">
        <v>674</v>
      </c>
      <c r="BX24" t="s">
        <v>674</v>
      </c>
      <c r="BY24" t="s">
        <v>674</v>
      </c>
      <c r="BZ24" t="s">
        <v>674</v>
      </c>
      <c r="CA24" t="s">
        <v>674</v>
      </c>
      <c r="CB24" t="s">
        <v>674</v>
      </c>
      <c r="CC24" t="s">
        <v>674</v>
      </c>
      <c r="CD24" t="s">
        <v>674</v>
      </c>
      <c r="CE24" t="s">
        <v>674</v>
      </c>
      <c r="CF24" t="s">
        <v>674</v>
      </c>
      <c r="CG24" t="s">
        <v>674</v>
      </c>
      <c r="CH24" t="s">
        <v>674</v>
      </c>
      <c r="CI24" t="s">
        <v>674</v>
      </c>
    </row>
    <row r="25" spans="1:87" x14ac:dyDescent="0.25">
      <c r="A25" t="s">
        <v>318</v>
      </c>
      <c r="B25" t="s">
        <v>88</v>
      </c>
      <c r="C25">
        <v>2016</v>
      </c>
      <c r="D25" t="s">
        <v>319</v>
      </c>
      <c r="E25" t="s">
        <v>320</v>
      </c>
      <c r="F25" t="s">
        <v>115</v>
      </c>
      <c r="G25" t="s">
        <v>674</v>
      </c>
      <c r="H25" t="s">
        <v>116</v>
      </c>
      <c r="I25" t="s">
        <v>321</v>
      </c>
      <c r="J25" t="s">
        <v>322</v>
      </c>
      <c r="K25" t="s">
        <v>674</v>
      </c>
      <c r="L25" t="s">
        <v>323</v>
      </c>
      <c r="M25" s="1">
        <v>46258.637569444443</v>
      </c>
      <c r="N25" s="1">
        <v>46258.638831018521</v>
      </c>
      <c r="O25" s="1">
        <v>46258.637569444443</v>
      </c>
      <c r="P25" t="s">
        <v>324</v>
      </c>
      <c r="Q25" t="s">
        <v>674</v>
      </c>
      <c r="R25">
        <v>7</v>
      </c>
      <c r="S25">
        <v>63</v>
      </c>
      <c r="T25" t="s">
        <v>674</v>
      </c>
      <c r="U25" t="s">
        <v>121</v>
      </c>
      <c r="V25" t="s">
        <v>674</v>
      </c>
      <c r="W25" t="s">
        <v>674</v>
      </c>
      <c r="X25" t="s">
        <v>674</v>
      </c>
      <c r="Y25" t="s">
        <v>674</v>
      </c>
      <c r="Z25" t="s">
        <v>674</v>
      </c>
      <c r="AA25" t="s">
        <v>674</v>
      </c>
      <c r="AB25" t="s">
        <v>674</v>
      </c>
      <c r="AC25" t="s">
        <v>674</v>
      </c>
      <c r="AD25" t="s">
        <v>122</v>
      </c>
      <c r="AE25" t="s">
        <v>674</v>
      </c>
      <c r="AF25" t="s">
        <v>674</v>
      </c>
      <c r="AG25" t="s">
        <v>674</v>
      </c>
      <c r="AH25" t="s">
        <v>99</v>
      </c>
      <c r="AJ25" t="s">
        <v>674</v>
      </c>
      <c r="AK25" t="s">
        <v>674</v>
      </c>
      <c r="AL25" t="s">
        <v>325</v>
      </c>
      <c r="AM25" t="s">
        <v>674</v>
      </c>
      <c r="AN25" t="s">
        <v>326</v>
      </c>
      <c r="AO25" t="s">
        <v>674</v>
      </c>
      <c r="AP25" t="s">
        <v>674</v>
      </c>
      <c r="AQ25" t="s">
        <v>674</v>
      </c>
      <c r="AR25" t="s">
        <v>674</v>
      </c>
      <c r="AS25" t="s">
        <v>674</v>
      </c>
      <c r="AT25" t="s">
        <v>674</v>
      </c>
      <c r="AU25" t="s">
        <v>674</v>
      </c>
      <c r="AV25" t="s">
        <v>674</v>
      </c>
      <c r="AW25" t="s">
        <v>674</v>
      </c>
      <c r="AX25" t="s">
        <v>674</v>
      </c>
      <c r="AY25" t="s">
        <v>674</v>
      </c>
      <c r="AZ25" t="s">
        <v>674</v>
      </c>
      <c r="BA25" t="s">
        <v>674</v>
      </c>
      <c r="BB25" t="s">
        <v>674</v>
      </c>
      <c r="BC25" t="s">
        <v>674</v>
      </c>
      <c r="BD25" t="s">
        <v>674</v>
      </c>
      <c r="BE25" t="s">
        <v>674</v>
      </c>
      <c r="BF25" t="s">
        <v>674</v>
      </c>
      <c r="BG25" t="s">
        <v>674</v>
      </c>
      <c r="BH25" t="s">
        <v>674</v>
      </c>
      <c r="BI25" t="s">
        <v>674</v>
      </c>
      <c r="BJ25" t="s">
        <v>674</v>
      </c>
      <c r="BK25" t="s">
        <v>674</v>
      </c>
      <c r="BL25" t="s">
        <v>674</v>
      </c>
      <c r="BM25" t="s">
        <v>674</v>
      </c>
      <c r="BN25" t="s">
        <v>674</v>
      </c>
      <c r="BO25" t="s">
        <v>674</v>
      </c>
      <c r="BP25" t="s">
        <v>674</v>
      </c>
      <c r="BQ25" t="s">
        <v>674</v>
      </c>
      <c r="BR25" t="s">
        <v>674</v>
      </c>
      <c r="BS25" t="s">
        <v>674</v>
      </c>
      <c r="BT25" t="s">
        <v>674</v>
      </c>
      <c r="BU25" t="s">
        <v>674</v>
      </c>
      <c r="BV25" t="s">
        <v>674</v>
      </c>
      <c r="BW25" t="s">
        <v>674</v>
      </c>
      <c r="BX25" t="s">
        <v>674</v>
      </c>
      <c r="BY25" t="s">
        <v>674</v>
      </c>
      <c r="BZ25" t="s">
        <v>674</v>
      </c>
      <c r="CA25" t="s">
        <v>674</v>
      </c>
      <c r="CB25" t="s">
        <v>674</v>
      </c>
      <c r="CC25" t="s">
        <v>674</v>
      </c>
      <c r="CD25" t="s">
        <v>674</v>
      </c>
      <c r="CE25" t="s">
        <v>674</v>
      </c>
      <c r="CF25" t="s">
        <v>674</v>
      </c>
      <c r="CG25" t="s">
        <v>674</v>
      </c>
      <c r="CH25" t="s">
        <v>674</v>
      </c>
      <c r="CI25" t="s">
        <v>674</v>
      </c>
    </row>
    <row r="26" spans="1:87" x14ac:dyDescent="0.25">
      <c r="A26" t="s">
        <v>327</v>
      </c>
      <c r="B26" t="s">
        <v>126</v>
      </c>
      <c r="C26">
        <v>2025</v>
      </c>
      <c r="D26" t="s">
        <v>328</v>
      </c>
      <c r="E26" t="s">
        <v>329</v>
      </c>
      <c r="F26" t="s">
        <v>330</v>
      </c>
      <c r="G26" t="s">
        <v>331</v>
      </c>
      <c r="H26" t="s">
        <v>674</v>
      </c>
      <c r="I26" t="s">
        <v>332</v>
      </c>
      <c r="J26" t="s">
        <v>333</v>
      </c>
      <c r="K26" t="s">
        <v>674</v>
      </c>
      <c r="L26" t="s">
        <v>689</v>
      </c>
      <c r="M26" s="1">
        <v>46258.637627314813</v>
      </c>
      <c r="N26" s="1">
        <v>46258.638101851851</v>
      </c>
      <c r="O26" s="1">
        <v>46258.637627314813</v>
      </c>
      <c r="P26" t="s">
        <v>334</v>
      </c>
      <c r="Q26" t="s">
        <v>674</v>
      </c>
      <c r="T26" t="s">
        <v>674</v>
      </c>
      <c r="U26" t="s">
        <v>674</v>
      </c>
      <c r="V26" t="s">
        <v>674</v>
      </c>
      <c r="W26" t="s">
        <v>674</v>
      </c>
      <c r="X26" t="s">
        <v>674</v>
      </c>
      <c r="Y26" t="s">
        <v>674</v>
      </c>
      <c r="Z26" t="s">
        <v>674</v>
      </c>
      <c r="AA26" t="s">
        <v>133</v>
      </c>
      <c r="AB26" t="s">
        <v>335</v>
      </c>
      <c r="AC26" t="s">
        <v>674</v>
      </c>
      <c r="AD26" t="s">
        <v>135</v>
      </c>
      <c r="AE26" t="s">
        <v>674</v>
      </c>
      <c r="AF26" t="s">
        <v>674</v>
      </c>
      <c r="AG26" t="s">
        <v>674</v>
      </c>
      <c r="AH26" t="s">
        <v>99</v>
      </c>
      <c r="AJ26" t="s">
        <v>674</v>
      </c>
      <c r="AK26" t="s">
        <v>674</v>
      </c>
      <c r="AL26" t="s">
        <v>336</v>
      </c>
      <c r="AM26" t="s">
        <v>674</v>
      </c>
      <c r="AN26" t="s">
        <v>337</v>
      </c>
      <c r="AO26" t="s">
        <v>674</v>
      </c>
      <c r="AP26" t="s">
        <v>674</v>
      </c>
      <c r="AQ26" t="s">
        <v>674</v>
      </c>
      <c r="AR26" t="s">
        <v>674</v>
      </c>
      <c r="AS26" t="s">
        <v>674</v>
      </c>
      <c r="AT26" t="s">
        <v>674</v>
      </c>
      <c r="AU26" t="s">
        <v>674</v>
      </c>
      <c r="AV26" t="s">
        <v>674</v>
      </c>
      <c r="AW26" t="s">
        <v>674</v>
      </c>
      <c r="AX26" t="s">
        <v>674</v>
      </c>
      <c r="AY26" t="s">
        <v>674</v>
      </c>
      <c r="AZ26" t="s">
        <v>674</v>
      </c>
      <c r="BA26" t="s">
        <v>674</v>
      </c>
      <c r="BB26" t="s">
        <v>674</v>
      </c>
      <c r="BC26" t="s">
        <v>674</v>
      </c>
      <c r="BD26" t="s">
        <v>674</v>
      </c>
      <c r="BE26" t="s">
        <v>674</v>
      </c>
      <c r="BF26" t="s">
        <v>674</v>
      </c>
      <c r="BG26" t="s">
        <v>674</v>
      </c>
      <c r="BH26" t="s">
        <v>674</v>
      </c>
      <c r="BI26" t="s">
        <v>674</v>
      </c>
      <c r="BJ26" t="s">
        <v>674</v>
      </c>
      <c r="BK26" t="s">
        <v>674</v>
      </c>
      <c r="BL26" t="s">
        <v>674</v>
      </c>
      <c r="BM26" t="s">
        <v>674</v>
      </c>
      <c r="BN26" t="s">
        <v>674</v>
      </c>
      <c r="BO26" t="s">
        <v>674</v>
      </c>
      <c r="BP26" t="s">
        <v>674</v>
      </c>
      <c r="BQ26" t="s">
        <v>674</v>
      </c>
      <c r="BR26" t="s">
        <v>674</v>
      </c>
      <c r="BS26" t="s">
        <v>674</v>
      </c>
      <c r="BT26" t="s">
        <v>330</v>
      </c>
      <c r="BU26" t="s">
        <v>674</v>
      </c>
      <c r="BV26" t="s">
        <v>674</v>
      </c>
      <c r="BW26" t="s">
        <v>674</v>
      </c>
      <c r="BX26" t="s">
        <v>674</v>
      </c>
      <c r="BY26" t="s">
        <v>674</v>
      </c>
      <c r="BZ26" t="s">
        <v>674</v>
      </c>
      <c r="CA26" t="s">
        <v>674</v>
      </c>
      <c r="CB26" t="s">
        <v>674</v>
      </c>
      <c r="CC26" t="s">
        <v>674</v>
      </c>
      <c r="CD26" t="s">
        <v>674</v>
      </c>
      <c r="CE26" t="s">
        <v>674</v>
      </c>
      <c r="CF26" t="s">
        <v>674</v>
      </c>
      <c r="CG26" t="s">
        <v>674</v>
      </c>
      <c r="CH26" t="s">
        <v>674</v>
      </c>
      <c r="CI26" t="s">
        <v>674</v>
      </c>
    </row>
    <row r="27" spans="1:87" x14ac:dyDescent="0.25">
      <c r="A27" t="s">
        <v>338</v>
      </c>
      <c r="B27" t="s">
        <v>88</v>
      </c>
      <c r="C27">
        <v>2019</v>
      </c>
      <c r="D27" t="s">
        <v>339</v>
      </c>
      <c r="E27" t="s">
        <v>340</v>
      </c>
      <c r="F27" t="s">
        <v>341</v>
      </c>
      <c r="G27" t="s">
        <v>674</v>
      </c>
      <c r="H27" t="s">
        <v>342</v>
      </c>
      <c r="I27" t="s">
        <v>343</v>
      </c>
      <c r="J27" t="s">
        <v>344</v>
      </c>
      <c r="K27" t="s">
        <v>674</v>
      </c>
      <c r="L27" t="s">
        <v>345</v>
      </c>
      <c r="M27" s="1">
        <v>46258.639016203706</v>
      </c>
      <c r="N27" s="1">
        <v>46258.647268518522</v>
      </c>
      <c r="O27" s="1">
        <v>46258.639016203706</v>
      </c>
      <c r="P27" t="s">
        <v>346</v>
      </c>
      <c r="Q27" t="s">
        <v>674</v>
      </c>
      <c r="R27">
        <v>4</v>
      </c>
      <c r="S27">
        <v>27</v>
      </c>
      <c r="T27" t="s">
        <v>674</v>
      </c>
      <c r="U27" t="s">
        <v>347</v>
      </c>
      <c r="V27" t="s">
        <v>674</v>
      </c>
      <c r="W27" t="s">
        <v>674</v>
      </c>
      <c r="X27" t="s">
        <v>674</v>
      </c>
      <c r="Y27" t="s">
        <v>674</v>
      </c>
      <c r="Z27" t="s">
        <v>674</v>
      </c>
      <c r="AA27" t="s">
        <v>674</v>
      </c>
      <c r="AB27" t="s">
        <v>674</v>
      </c>
      <c r="AC27" t="s">
        <v>674</v>
      </c>
      <c r="AD27" t="s">
        <v>122</v>
      </c>
      <c r="AE27" t="s">
        <v>674</v>
      </c>
      <c r="AF27" t="s">
        <v>674</v>
      </c>
      <c r="AG27" t="s">
        <v>674</v>
      </c>
      <c r="AH27" t="s">
        <v>99</v>
      </c>
      <c r="AJ27" t="s">
        <v>674</v>
      </c>
      <c r="AK27" t="s">
        <v>674</v>
      </c>
      <c r="AL27" t="s">
        <v>348</v>
      </c>
      <c r="AM27" t="s">
        <v>674</v>
      </c>
      <c r="AN27" t="s">
        <v>349</v>
      </c>
      <c r="AO27" t="s">
        <v>674</v>
      </c>
      <c r="AP27" t="s">
        <v>674</v>
      </c>
      <c r="AQ27" t="s">
        <v>674</v>
      </c>
      <c r="AR27" t="s">
        <v>674</v>
      </c>
      <c r="AS27" t="s">
        <v>674</v>
      </c>
      <c r="AT27" t="s">
        <v>674</v>
      </c>
      <c r="AU27" t="s">
        <v>674</v>
      </c>
      <c r="AV27" t="s">
        <v>674</v>
      </c>
      <c r="AW27" t="s">
        <v>674</v>
      </c>
      <c r="AX27" t="s">
        <v>674</v>
      </c>
      <c r="AY27" t="s">
        <v>674</v>
      </c>
      <c r="AZ27" t="s">
        <v>674</v>
      </c>
      <c r="BA27" t="s">
        <v>674</v>
      </c>
      <c r="BB27" t="s">
        <v>674</v>
      </c>
      <c r="BC27" t="s">
        <v>674</v>
      </c>
      <c r="BD27" t="s">
        <v>674</v>
      </c>
      <c r="BE27" t="s">
        <v>674</v>
      </c>
      <c r="BF27" t="s">
        <v>674</v>
      </c>
      <c r="BG27" t="s">
        <v>674</v>
      </c>
      <c r="BH27" t="s">
        <v>674</v>
      </c>
      <c r="BI27" t="s">
        <v>674</v>
      </c>
      <c r="BJ27" t="s">
        <v>674</v>
      </c>
      <c r="BK27" t="s">
        <v>674</v>
      </c>
      <c r="BL27" t="s">
        <v>674</v>
      </c>
      <c r="BM27" t="s">
        <v>674</v>
      </c>
      <c r="BN27" t="s">
        <v>674</v>
      </c>
      <c r="BO27" t="s">
        <v>674</v>
      </c>
      <c r="BP27" t="s">
        <v>674</v>
      </c>
      <c r="BQ27" t="s">
        <v>674</v>
      </c>
      <c r="BR27" t="s">
        <v>674</v>
      </c>
      <c r="BS27" t="s">
        <v>674</v>
      </c>
      <c r="BT27" t="s">
        <v>674</v>
      </c>
      <c r="BU27" t="s">
        <v>674</v>
      </c>
      <c r="BV27" t="s">
        <v>674</v>
      </c>
      <c r="BW27" t="s">
        <v>674</v>
      </c>
      <c r="BX27" t="s">
        <v>674</v>
      </c>
      <c r="BY27" t="s">
        <v>674</v>
      </c>
      <c r="BZ27" t="s">
        <v>674</v>
      </c>
      <c r="CA27" t="s">
        <v>674</v>
      </c>
      <c r="CB27" t="s">
        <v>674</v>
      </c>
      <c r="CC27" t="s">
        <v>674</v>
      </c>
      <c r="CD27" t="s">
        <v>674</v>
      </c>
      <c r="CE27" t="s">
        <v>674</v>
      </c>
      <c r="CF27" t="s">
        <v>674</v>
      </c>
      <c r="CG27" t="s">
        <v>674</v>
      </c>
      <c r="CH27" t="s">
        <v>674</v>
      </c>
      <c r="CI27" t="s">
        <v>674</v>
      </c>
    </row>
    <row r="28" spans="1:87" x14ac:dyDescent="0.25">
      <c r="A28" t="s">
        <v>350</v>
      </c>
      <c r="B28" t="s">
        <v>88</v>
      </c>
      <c r="C28">
        <v>2019</v>
      </c>
      <c r="D28" t="s">
        <v>351</v>
      </c>
      <c r="E28" t="s">
        <v>352</v>
      </c>
      <c r="F28" t="s">
        <v>115</v>
      </c>
      <c r="G28" t="s">
        <v>674</v>
      </c>
      <c r="H28" t="s">
        <v>116</v>
      </c>
      <c r="I28" t="s">
        <v>353</v>
      </c>
      <c r="J28" t="s">
        <v>354</v>
      </c>
      <c r="K28" t="s">
        <v>674</v>
      </c>
      <c r="L28" t="s">
        <v>355</v>
      </c>
      <c r="M28" s="1">
        <v>46258.639074074075</v>
      </c>
      <c r="N28" s="1">
        <v>46258.647997685184</v>
      </c>
      <c r="O28" s="1">
        <v>46258.639074074075</v>
      </c>
      <c r="P28" t="s">
        <v>356</v>
      </c>
      <c r="Q28" t="s">
        <v>674</v>
      </c>
      <c r="R28">
        <v>4</v>
      </c>
      <c r="S28">
        <v>66</v>
      </c>
      <c r="T28" t="s">
        <v>674</v>
      </c>
      <c r="U28" t="s">
        <v>121</v>
      </c>
      <c r="V28" t="s">
        <v>674</v>
      </c>
      <c r="W28" t="s">
        <v>674</v>
      </c>
      <c r="X28" t="s">
        <v>674</v>
      </c>
      <c r="Y28" t="s">
        <v>674</v>
      </c>
      <c r="Z28" t="s">
        <v>674</v>
      </c>
      <c r="AA28" t="s">
        <v>674</v>
      </c>
      <c r="AB28" t="s">
        <v>674</v>
      </c>
      <c r="AC28" t="s">
        <v>674</v>
      </c>
      <c r="AD28" t="s">
        <v>122</v>
      </c>
      <c r="AE28" t="s">
        <v>674</v>
      </c>
      <c r="AF28" t="s">
        <v>674</v>
      </c>
      <c r="AG28" t="s">
        <v>674</v>
      </c>
      <c r="AH28" t="s">
        <v>99</v>
      </c>
      <c r="AJ28" t="s">
        <v>674</v>
      </c>
      <c r="AK28" t="s">
        <v>674</v>
      </c>
      <c r="AL28" t="s">
        <v>357</v>
      </c>
      <c r="AM28" t="s">
        <v>674</v>
      </c>
      <c r="AN28" t="s">
        <v>358</v>
      </c>
      <c r="AO28" t="s">
        <v>674</v>
      </c>
      <c r="AP28" t="s">
        <v>674</v>
      </c>
      <c r="AQ28" t="s">
        <v>674</v>
      </c>
      <c r="AR28" t="s">
        <v>674</v>
      </c>
      <c r="AS28" t="s">
        <v>674</v>
      </c>
      <c r="AT28" t="s">
        <v>674</v>
      </c>
      <c r="AU28" t="s">
        <v>674</v>
      </c>
      <c r="AV28" t="s">
        <v>674</v>
      </c>
      <c r="AW28" t="s">
        <v>674</v>
      </c>
      <c r="AX28" t="s">
        <v>674</v>
      </c>
      <c r="AY28" t="s">
        <v>674</v>
      </c>
      <c r="AZ28" t="s">
        <v>674</v>
      </c>
      <c r="BA28" t="s">
        <v>674</v>
      </c>
      <c r="BB28" t="s">
        <v>674</v>
      </c>
      <c r="BC28" t="s">
        <v>674</v>
      </c>
      <c r="BD28" t="s">
        <v>674</v>
      </c>
      <c r="BE28" t="s">
        <v>674</v>
      </c>
      <c r="BF28" t="s">
        <v>674</v>
      </c>
      <c r="BG28" t="s">
        <v>674</v>
      </c>
      <c r="BH28" t="s">
        <v>674</v>
      </c>
      <c r="BI28" t="s">
        <v>674</v>
      </c>
      <c r="BJ28" t="s">
        <v>674</v>
      </c>
      <c r="BK28" t="s">
        <v>674</v>
      </c>
      <c r="BL28" t="s">
        <v>674</v>
      </c>
      <c r="BM28" t="s">
        <v>674</v>
      </c>
      <c r="BN28" t="s">
        <v>674</v>
      </c>
      <c r="BO28" t="s">
        <v>674</v>
      </c>
      <c r="BP28" t="s">
        <v>674</v>
      </c>
      <c r="BQ28" t="s">
        <v>674</v>
      </c>
      <c r="BR28" t="s">
        <v>674</v>
      </c>
      <c r="BS28" t="s">
        <v>674</v>
      </c>
      <c r="BT28" t="s">
        <v>674</v>
      </c>
      <c r="BU28" t="s">
        <v>674</v>
      </c>
      <c r="BV28" t="s">
        <v>674</v>
      </c>
      <c r="BW28" t="s">
        <v>674</v>
      </c>
      <c r="BX28" t="s">
        <v>674</v>
      </c>
      <c r="BY28" t="s">
        <v>674</v>
      </c>
      <c r="BZ28" t="s">
        <v>674</v>
      </c>
      <c r="CA28" t="s">
        <v>674</v>
      </c>
      <c r="CB28" t="s">
        <v>674</v>
      </c>
      <c r="CC28" t="s">
        <v>674</v>
      </c>
      <c r="CD28" t="s">
        <v>674</v>
      </c>
      <c r="CE28" t="s">
        <v>674</v>
      </c>
      <c r="CF28" t="s">
        <v>674</v>
      </c>
      <c r="CG28" t="s">
        <v>674</v>
      </c>
      <c r="CH28" t="s">
        <v>674</v>
      </c>
      <c r="CI28" t="s">
        <v>674</v>
      </c>
    </row>
    <row r="29" spans="1:87" x14ac:dyDescent="0.25">
      <c r="A29" t="s">
        <v>359</v>
      </c>
      <c r="B29" t="s">
        <v>126</v>
      </c>
      <c r="C29">
        <v>2014</v>
      </c>
      <c r="D29" t="s">
        <v>360</v>
      </c>
      <c r="E29" t="s">
        <v>361</v>
      </c>
      <c r="F29" t="s">
        <v>362</v>
      </c>
      <c r="G29" t="s">
        <v>363</v>
      </c>
      <c r="H29" t="s">
        <v>674</v>
      </c>
      <c r="I29" t="s">
        <v>364</v>
      </c>
      <c r="J29" t="s">
        <v>365</v>
      </c>
      <c r="K29" t="s">
        <v>674</v>
      </c>
      <c r="L29" t="s">
        <v>690</v>
      </c>
      <c r="M29" s="1">
        <v>46258.639236111114</v>
      </c>
      <c r="N29" s="1">
        <v>46258.646979166668</v>
      </c>
      <c r="O29" s="1">
        <v>46258.639236111114</v>
      </c>
      <c r="P29" t="s">
        <v>674</v>
      </c>
      <c r="Q29" t="s">
        <v>674</v>
      </c>
      <c r="T29" t="s">
        <v>674</v>
      </c>
      <c r="U29" t="s">
        <v>674</v>
      </c>
      <c r="V29" t="s">
        <v>674</v>
      </c>
      <c r="W29" t="s">
        <v>674</v>
      </c>
      <c r="X29" t="s">
        <v>674</v>
      </c>
      <c r="Y29" t="s">
        <v>674</v>
      </c>
      <c r="Z29" t="s">
        <v>674</v>
      </c>
      <c r="AA29" t="s">
        <v>366</v>
      </c>
      <c r="AB29" t="s">
        <v>674</v>
      </c>
      <c r="AC29" t="s">
        <v>674</v>
      </c>
      <c r="AD29" t="s">
        <v>674</v>
      </c>
      <c r="AE29" t="s">
        <v>674</v>
      </c>
      <c r="AF29" t="s">
        <v>674</v>
      </c>
      <c r="AG29" t="s">
        <v>674</v>
      </c>
      <c r="AH29" t="s">
        <v>99</v>
      </c>
      <c r="AJ29" t="s">
        <v>674</v>
      </c>
      <c r="AK29" t="s">
        <v>674</v>
      </c>
      <c r="AL29" t="s">
        <v>367</v>
      </c>
      <c r="AM29" t="s">
        <v>674</v>
      </c>
      <c r="AN29" t="s">
        <v>358</v>
      </c>
      <c r="AO29" t="s">
        <v>674</v>
      </c>
      <c r="AP29" t="s">
        <v>674</v>
      </c>
      <c r="AQ29" t="s">
        <v>674</v>
      </c>
      <c r="AR29" t="s">
        <v>674</v>
      </c>
      <c r="AS29" t="s">
        <v>674</v>
      </c>
      <c r="AT29" t="s">
        <v>674</v>
      </c>
      <c r="AU29" t="s">
        <v>674</v>
      </c>
      <c r="AV29" t="s">
        <v>674</v>
      </c>
      <c r="AW29" t="s">
        <v>674</v>
      </c>
      <c r="AX29" t="s">
        <v>674</v>
      </c>
      <c r="AY29" t="s">
        <v>674</v>
      </c>
      <c r="AZ29" t="s">
        <v>674</v>
      </c>
      <c r="BA29" t="s">
        <v>674</v>
      </c>
      <c r="BB29" t="s">
        <v>674</v>
      </c>
      <c r="BC29" t="s">
        <v>674</v>
      </c>
      <c r="BD29" t="s">
        <v>674</v>
      </c>
      <c r="BE29" t="s">
        <v>674</v>
      </c>
      <c r="BF29" t="s">
        <v>674</v>
      </c>
      <c r="BG29" t="s">
        <v>674</v>
      </c>
      <c r="BH29" t="s">
        <v>674</v>
      </c>
      <c r="BI29" t="s">
        <v>674</v>
      </c>
      <c r="BJ29" t="s">
        <v>674</v>
      </c>
      <c r="BK29" t="s">
        <v>674</v>
      </c>
      <c r="BL29" t="s">
        <v>674</v>
      </c>
      <c r="BM29" t="s">
        <v>674</v>
      </c>
      <c r="BN29" t="s">
        <v>674</v>
      </c>
      <c r="BO29" t="s">
        <v>674</v>
      </c>
      <c r="BP29" t="s">
        <v>674</v>
      </c>
      <c r="BQ29" t="s">
        <v>674</v>
      </c>
      <c r="BR29" t="s">
        <v>674</v>
      </c>
      <c r="BS29" t="s">
        <v>674</v>
      </c>
      <c r="BT29" t="s">
        <v>368</v>
      </c>
      <c r="BU29" t="s">
        <v>674</v>
      </c>
      <c r="BV29" t="s">
        <v>674</v>
      </c>
      <c r="BW29" t="s">
        <v>674</v>
      </c>
      <c r="BX29" t="s">
        <v>674</v>
      </c>
      <c r="BY29" t="s">
        <v>674</v>
      </c>
      <c r="BZ29" t="s">
        <v>674</v>
      </c>
      <c r="CA29" t="s">
        <v>674</v>
      </c>
      <c r="CB29" t="s">
        <v>674</v>
      </c>
      <c r="CC29" t="s">
        <v>674</v>
      </c>
      <c r="CD29" t="s">
        <v>674</v>
      </c>
      <c r="CE29" t="s">
        <v>674</v>
      </c>
      <c r="CF29" t="s">
        <v>674</v>
      </c>
      <c r="CG29" t="s">
        <v>674</v>
      </c>
      <c r="CH29" t="s">
        <v>674</v>
      </c>
      <c r="CI29" t="s">
        <v>674</v>
      </c>
    </row>
    <row r="30" spans="1:87" x14ac:dyDescent="0.25">
      <c r="A30" t="s">
        <v>369</v>
      </c>
      <c r="B30" t="s">
        <v>88</v>
      </c>
      <c r="C30">
        <v>2006</v>
      </c>
      <c r="D30" t="s">
        <v>370</v>
      </c>
      <c r="E30" t="s">
        <v>371</v>
      </c>
      <c r="F30" t="s">
        <v>115</v>
      </c>
      <c r="G30" t="s">
        <v>674</v>
      </c>
      <c r="H30" t="s">
        <v>372</v>
      </c>
      <c r="I30" t="s">
        <v>373</v>
      </c>
      <c r="J30" t="s">
        <v>374</v>
      </c>
      <c r="K30" t="s">
        <v>674</v>
      </c>
      <c r="L30" t="s">
        <v>375</v>
      </c>
      <c r="M30" s="1">
        <v>46258.649189814816</v>
      </c>
      <c r="N30" s="1">
        <v>46258.845231481479</v>
      </c>
      <c r="O30" s="1">
        <v>46258.649189814816</v>
      </c>
      <c r="P30" t="s">
        <v>376</v>
      </c>
      <c r="Q30" t="s">
        <v>674</v>
      </c>
      <c r="R30">
        <v>2</v>
      </c>
      <c r="S30">
        <v>53</v>
      </c>
      <c r="T30" t="s">
        <v>674</v>
      </c>
      <c r="U30" t="s">
        <v>121</v>
      </c>
      <c r="V30" t="s">
        <v>674</v>
      </c>
      <c r="W30" t="s">
        <v>674</v>
      </c>
      <c r="X30" t="s">
        <v>674</v>
      </c>
      <c r="Y30" t="s">
        <v>674</v>
      </c>
      <c r="Z30" t="s">
        <v>674</v>
      </c>
      <c r="AA30" t="s">
        <v>674</v>
      </c>
      <c r="AB30" t="s">
        <v>674</v>
      </c>
      <c r="AC30" t="s">
        <v>674</v>
      </c>
      <c r="AD30" t="s">
        <v>122</v>
      </c>
      <c r="AE30" t="s">
        <v>674</v>
      </c>
      <c r="AF30" t="s">
        <v>674</v>
      </c>
      <c r="AG30" t="s">
        <v>674</v>
      </c>
      <c r="AH30" t="s">
        <v>99</v>
      </c>
      <c r="AJ30" t="s">
        <v>674</v>
      </c>
      <c r="AK30" t="s">
        <v>674</v>
      </c>
      <c r="AL30" t="s">
        <v>377</v>
      </c>
      <c r="AM30" t="s">
        <v>674</v>
      </c>
      <c r="AN30" t="s">
        <v>378</v>
      </c>
      <c r="AO30" t="s">
        <v>674</v>
      </c>
      <c r="AP30" t="s">
        <v>674</v>
      </c>
      <c r="AQ30" t="s">
        <v>674</v>
      </c>
      <c r="AR30" t="s">
        <v>674</v>
      </c>
      <c r="AS30" t="s">
        <v>674</v>
      </c>
      <c r="AT30" t="s">
        <v>674</v>
      </c>
      <c r="AU30" t="s">
        <v>674</v>
      </c>
      <c r="AV30" t="s">
        <v>674</v>
      </c>
      <c r="AW30" t="s">
        <v>674</v>
      </c>
      <c r="AX30" t="s">
        <v>674</v>
      </c>
      <c r="AY30" t="s">
        <v>674</v>
      </c>
      <c r="AZ30" t="s">
        <v>674</v>
      </c>
      <c r="BA30" t="s">
        <v>674</v>
      </c>
      <c r="BB30" t="s">
        <v>674</v>
      </c>
      <c r="BC30" t="s">
        <v>674</v>
      </c>
      <c r="BD30" t="s">
        <v>674</v>
      </c>
      <c r="BE30" t="s">
        <v>674</v>
      </c>
      <c r="BF30" t="s">
        <v>674</v>
      </c>
      <c r="BG30" t="s">
        <v>674</v>
      </c>
      <c r="BH30" t="s">
        <v>674</v>
      </c>
      <c r="BI30" t="s">
        <v>674</v>
      </c>
      <c r="BJ30" t="s">
        <v>674</v>
      </c>
      <c r="BK30" t="s">
        <v>674</v>
      </c>
      <c r="BL30" t="s">
        <v>674</v>
      </c>
      <c r="BM30" t="s">
        <v>674</v>
      </c>
      <c r="BN30" t="s">
        <v>674</v>
      </c>
      <c r="BO30" t="s">
        <v>674</v>
      </c>
      <c r="BP30" t="s">
        <v>674</v>
      </c>
      <c r="BQ30" t="s">
        <v>674</v>
      </c>
      <c r="BR30" t="s">
        <v>674</v>
      </c>
      <c r="BS30" t="s">
        <v>674</v>
      </c>
      <c r="BT30" t="s">
        <v>674</v>
      </c>
      <c r="BU30" t="s">
        <v>674</v>
      </c>
      <c r="BV30" t="s">
        <v>674</v>
      </c>
      <c r="BW30" t="s">
        <v>674</v>
      </c>
      <c r="BX30" t="s">
        <v>674</v>
      </c>
      <c r="BY30" t="s">
        <v>674</v>
      </c>
      <c r="BZ30" t="s">
        <v>674</v>
      </c>
      <c r="CA30" t="s">
        <v>674</v>
      </c>
      <c r="CB30" t="s">
        <v>674</v>
      </c>
      <c r="CC30" t="s">
        <v>674</v>
      </c>
      <c r="CD30" t="s">
        <v>674</v>
      </c>
      <c r="CE30" t="s">
        <v>674</v>
      </c>
      <c r="CF30" t="s">
        <v>674</v>
      </c>
      <c r="CG30" t="s">
        <v>674</v>
      </c>
      <c r="CH30" t="s">
        <v>674</v>
      </c>
      <c r="CI30" t="s">
        <v>674</v>
      </c>
    </row>
    <row r="31" spans="1:87" x14ac:dyDescent="0.25">
      <c r="A31" t="s">
        <v>379</v>
      </c>
      <c r="B31" t="s">
        <v>126</v>
      </c>
      <c r="C31">
        <v>2025</v>
      </c>
      <c r="D31" t="s">
        <v>380</v>
      </c>
      <c r="E31" t="s">
        <v>381</v>
      </c>
      <c r="F31" t="s">
        <v>382</v>
      </c>
      <c r="G31" t="s">
        <v>383</v>
      </c>
      <c r="H31" t="s">
        <v>674</v>
      </c>
      <c r="I31" t="s">
        <v>384</v>
      </c>
      <c r="J31" t="s">
        <v>385</v>
      </c>
      <c r="K31" t="s">
        <v>674</v>
      </c>
      <c r="L31" t="s">
        <v>691</v>
      </c>
      <c r="M31" s="1">
        <v>46258.845925925925</v>
      </c>
      <c r="N31" s="1">
        <v>46258.847048611111</v>
      </c>
      <c r="O31" s="1">
        <v>46258.845925925925</v>
      </c>
      <c r="P31" t="s">
        <v>386</v>
      </c>
      <c r="Q31" t="s">
        <v>674</v>
      </c>
      <c r="T31" t="s">
        <v>674</v>
      </c>
      <c r="U31" t="s">
        <v>674</v>
      </c>
      <c r="V31" t="s">
        <v>674</v>
      </c>
      <c r="W31" t="s">
        <v>674</v>
      </c>
      <c r="X31" t="s">
        <v>674</v>
      </c>
      <c r="Y31" t="s">
        <v>674</v>
      </c>
      <c r="Z31" t="s">
        <v>674</v>
      </c>
      <c r="AA31" t="s">
        <v>133</v>
      </c>
      <c r="AB31" t="s">
        <v>387</v>
      </c>
      <c r="AC31" t="s">
        <v>674</v>
      </c>
      <c r="AD31" t="s">
        <v>135</v>
      </c>
      <c r="AE31" t="s">
        <v>674</v>
      </c>
      <c r="AF31" t="s">
        <v>674</v>
      </c>
      <c r="AG31" t="s">
        <v>674</v>
      </c>
      <c r="AH31" t="s">
        <v>99</v>
      </c>
      <c r="AJ31" t="s">
        <v>674</v>
      </c>
      <c r="AK31" t="s">
        <v>674</v>
      </c>
      <c r="AL31" t="s">
        <v>388</v>
      </c>
      <c r="AM31" t="s">
        <v>674</v>
      </c>
      <c r="AN31" t="s">
        <v>389</v>
      </c>
      <c r="AO31" t="s">
        <v>674</v>
      </c>
      <c r="AP31" t="s">
        <v>674</v>
      </c>
      <c r="AQ31" t="s">
        <v>674</v>
      </c>
      <c r="AR31" t="s">
        <v>674</v>
      </c>
      <c r="AS31" t="s">
        <v>674</v>
      </c>
      <c r="AT31" t="s">
        <v>674</v>
      </c>
      <c r="AU31" t="s">
        <v>674</v>
      </c>
      <c r="AV31" t="s">
        <v>674</v>
      </c>
      <c r="AW31" t="s">
        <v>674</v>
      </c>
      <c r="AX31" t="s">
        <v>674</v>
      </c>
      <c r="AY31" t="s">
        <v>674</v>
      </c>
      <c r="AZ31" t="s">
        <v>674</v>
      </c>
      <c r="BA31" t="s">
        <v>674</v>
      </c>
      <c r="BB31" t="s">
        <v>674</v>
      </c>
      <c r="BC31" t="s">
        <v>674</v>
      </c>
      <c r="BD31" t="s">
        <v>674</v>
      </c>
      <c r="BE31" t="s">
        <v>674</v>
      </c>
      <c r="BF31" t="s">
        <v>674</v>
      </c>
      <c r="BG31" t="s">
        <v>674</v>
      </c>
      <c r="BH31" t="s">
        <v>674</v>
      </c>
      <c r="BI31" t="s">
        <v>674</v>
      </c>
      <c r="BJ31" t="s">
        <v>674</v>
      </c>
      <c r="BK31" t="s">
        <v>674</v>
      </c>
      <c r="BL31" t="s">
        <v>674</v>
      </c>
      <c r="BM31" t="s">
        <v>674</v>
      </c>
      <c r="BN31" t="s">
        <v>674</v>
      </c>
      <c r="BO31" t="s">
        <v>674</v>
      </c>
      <c r="BP31" t="s">
        <v>674</v>
      </c>
      <c r="BQ31" t="s">
        <v>674</v>
      </c>
      <c r="BR31" t="s">
        <v>674</v>
      </c>
      <c r="BS31" t="s">
        <v>674</v>
      </c>
      <c r="BT31" t="s">
        <v>382</v>
      </c>
      <c r="BU31" t="s">
        <v>674</v>
      </c>
      <c r="BV31" t="s">
        <v>674</v>
      </c>
      <c r="BW31" t="s">
        <v>674</v>
      </c>
      <c r="BX31" t="s">
        <v>674</v>
      </c>
      <c r="BY31" t="s">
        <v>674</v>
      </c>
      <c r="BZ31" t="s">
        <v>674</v>
      </c>
      <c r="CA31" t="s">
        <v>674</v>
      </c>
      <c r="CB31" t="s">
        <v>674</v>
      </c>
      <c r="CC31" t="s">
        <v>674</v>
      </c>
      <c r="CD31" t="s">
        <v>674</v>
      </c>
      <c r="CE31" t="s">
        <v>674</v>
      </c>
      <c r="CF31" t="s">
        <v>674</v>
      </c>
      <c r="CG31" t="s">
        <v>674</v>
      </c>
      <c r="CH31" t="s">
        <v>674</v>
      </c>
      <c r="CI31" t="s">
        <v>674</v>
      </c>
    </row>
    <row r="32" spans="1:87" x14ac:dyDescent="0.25">
      <c r="A32" t="s">
        <v>390</v>
      </c>
      <c r="B32" t="s">
        <v>126</v>
      </c>
      <c r="C32">
        <v>2026</v>
      </c>
      <c r="D32" t="s">
        <v>391</v>
      </c>
      <c r="E32" t="s">
        <v>392</v>
      </c>
      <c r="F32" t="s">
        <v>393</v>
      </c>
      <c r="G32" t="s">
        <v>394</v>
      </c>
      <c r="H32" t="s">
        <v>674</v>
      </c>
      <c r="I32" t="s">
        <v>395</v>
      </c>
      <c r="J32" t="s">
        <v>396</v>
      </c>
      <c r="K32" t="s">
        <v>674</v>
      </c>
      <c r="L32" t="s">
        <v>692</v>
      </c>
      <c r="M32" s="1">
        <v>46258.846030092594</v>
      </c>
      <c r="N32" s="1">
        <v>46258.846388888887</v>
      </c>
      <c r="O32" s="1">
        <v>46258.846030092594</v>
      </c>
      <c r="P32" t="s">
        <v>693</v>
      </c>
      <c r="Q32" t="s">
        <v>674</v>
      </c>
      <c r="T32" t="s">
        <v>674</v>
      </c>
      <c r="U32" t="s">
        <v>674</v>
      </c>
      <c r="V32" t="s">
        <v>674</v>
      </c>
      <c r="W32" t="s">
        <v>674</v>
      </c>
      <c r="X32" t="s">
        <v>674</v>
      </c>
      <c r="Y32" t="s">
        <v>674</v>
      </c>
      <c r="Z32" t="s">
        <v>674</v>
      </c>
      <c r="AA32" t="s">
        <v>133</v>
      </c>
      <c r="AB32" t="s">
        <v>397</v>
      </c>
      <c r="AC32" t="s">
        <v>674</v>
      </c>
      <c r="AD32" t="s">
        <v>135</v>
      </c>
      <c r="AE32" t="s">
        <v>674</v>
      </c>
      <c r="AF32" t="s">
        <v>674</v>
      </c>
      <c r="AG32" t="s">
        <v>674</v>
      </c>
      <c r="AH32" t="s">
        <v>99</v>
      </c>
      <c r="AJ32" t="s">
        <v>674</v>
      </c>
      <c r="AK32" t="s">
        <v>674</v>
      </c>
      <c r="AL32" t="s">
        <v>694</v>
      </c>
      <c r="AM32" t="s">
        <v>674</v>
      </c>
      <c r="AN32" t="s">
        <v>399</v>
      </c>
      <c r="AO32" t="s">
        <v>674</v>
      </c>
      <c r="AP32" t="s">
        <v>674</v>
      </c>
      <c r="AQ32" t="s">
        <v>674</v>
      </c>
      <c r="AR32" t="s">
        <v>674</v>
      </c>
      <c r="AS32" t="s">
        <v>674</v>
      </c>
      <c r="AT32" t="s">
        <v>674</v>
      </c>
      <c r="AU32" t="s">
        <v>674</v>
      </c>
      <c r="AV32" t="s">
        <v>674</v>
      </c>
      <c r="AW32" t="s">
        <v>674</v>
      </c>
      <c r="AX32" t="s">
        <v>674</v>
      </c>
      <c r="AY32" t="s">
        <v>674</v>
      </c>
      <c r="AZ32" t="s">
        <v>674</v>
      </c>
      <c r="BA32" t="s">
        <v>674</v>
      </c>
      <c r="BB32" t="s">
        <v>674</v>
      </c>
      <c r="BC32" t="s">
        <v>674</v>
      </c>
      <c r="BD32" t="s">
        <v>674</v>
      </c>
      <c r="BE32" t="s">
        <v>674</v>
      </c>
      <c r="BF32" t="s">
        <v>674</v>
      </c>
      <c r="BG32" t="s">
        <v>674</v>
      </c>
      <c r="BH32" t="s">
        <v>674</v>
      </c>
      <c r="BI32" t="s">
        <v>674</v>
      </c>
      <c r="BJ32" t="s">
        <v>674</v>
      </c>
      <c r="BK32" t="s">
        <v>674</v>
      </c>
      <c r="BL32" t="s">
        <v>674</v>
      </c>
      <c r="BM32" t="s">
        <v>674</v>
      </c>
      <c r="BN32" t="s">
        <v>674</v>
      </c>
      <c r="BO32" t="s">
        <v>674</v>
      </c>
      <c r="BP32" t="s">
        <v>674</v>
      </c>
      <c r="BQ32" t="s">
        <v>674</v>
      </c>
      <c r="BR32" t="s">
        <v>674</v>
      </c>
      <c r="BS32" t="s">
        <v>674</v>
      </c>
      <c r="BT32" t="s">
        <v>393</v>
      </c>
      <c r="BU32" t="s">
        <v>674</v>
      </c>
      <c r="BV32" t="s">
        <v>674</v>
      </c>
      <c r="BW32" t="s">
        <v>674</v>
      </c>
      <c r="BX32" t="s">
        <v>674</v>
      </c>
      <c r="BY32" t="s">
        <v>674</v>
      </c>
      <c r="BZ32" t="s">
        <v>674</v>
      </c>
      <c r="CA32" t="s">
        <v>674</v>
      </c>
      <c r="CB32" t="s">
        <v>674</v>
      </c>
      <c r="CC32" t="s">
        <v>674</v>
      </c>
      <c r="CD32" t="s">
        <v>674</v>
      </c>
      <c r="CE32" t="s">
        <v>674</v>
      </c>
      <c r="CF32" t="s">
        <v>674</v>
      </c>
      <c r="CG32" t="s">
        <v>674</v>
      </c>
      <c r="CH32" t="s">
        <v>674</v>
      </c>
      <c r="CI32" t="s">
        <v>674</v>
      </c>
    </row>
    <row r="33" spans="1:87" x14ac:dyDescent="0.25">
      <c r="A33" t="s">
        <v>400</v>
      </c>
      <c r="B33" t="s">
        <v>88</v>
      </c>
      <c r="D33" t="s">
        <v>401</v>
      </c>
      <c r="E33" t="s">
        <v>402</v>
      </c>
      <c r="F33" t="s">
        <v>674</v>
      </c>
      <c r="G33" t="s">
        <v>674</v>
      </c>
      <c r="H33" t="s">
        <v>674</v>
      </c>
      <c r="I33" t="s">
        <v>674</v>
      </c>
      <c r="J33" t="s">
        <v>674</v>
      </c>
      <c r="K33" t="s">
        <v>674</v>
      </c>
      <c r="L33" t="s">
        <v>674</v>
      </c>
      <c r="M33" s="1">
        <v>46258.849178240744</v>
      </c>
      <c r="N33" s="1">
        <v>46258.861354166664</v>
      </c>
      <c r="O33" s="1"/>
      <c r="P33" t="s">
        <v>674</v>
      </c>
      <c r="Q33" t="s">
        <v>674</v>
      </c>
      <c r="T33" t="s">
        <v>674</v>
      </c>
      <c r="U33" t="s">
        <v>674</v>
      </c>
      <c r="V33" t="s">
        <v>674</v>
      </c>
      <c r="W33" t="s">
        <v>674</v>
      </c>
      <c r="X33" t="s">
        <v>674</v>
      </c>
      <c r="Y33" t="s">
        <v>674</v>
      </c>
      <c r="Z33" t="s">
        <v>674</v>
      </c>
      <c r="AA33" t="s">
        <v>674</v>
      </c>
      <c r="AB33" t="s">
        <v>674</v>
      </c>
      <c r="AC33" t="s">
        <v>97</v>
      </c>
      <c r="AD33" t="s">
        <v>674</v>
      </c>
      <c r="AE33" t="s">
        <v>674</v>
      </c>
      <c r="AF33" t="s">
        <v>674</v>
      </c>
      <c r="AG33" t="s">
        <v>674</v>
      </c>
      <c r="AH33" t="s">
        <v>163</v>
      </c>
      <c r="AJ33" t="s">
        <v>674</v>
      </c>
      <c r="AK33" t="s">
        <v>674</v>
      </c>
      <c r="AL33" t="s">
        <v>403</v>
      </c>
      <c r="AM33" t="s">
        <v>674</v>
      </c>
      <c r="AN33" t="s">
        <v>404</v>
      </c>
      <c r="AO33" t="s">
        <v>674</v>
      </c>
      <c r="AP33" t="s">
        <v>674</v>
      </c>
      <c r="AQ33" t="s">
        <v>674</v>
      </c>
      <c r="AR33" t="s">
        <v>674</v>
      </c>
      <c r="AS33" t="s">
        <v>674</v>
      </c>
      <c r="AT33" t="s">
        <v>674</v>
      </c>
      <c r="AU33" t="s">
        <v>674</v>
      </c>
      <c r="AV33" t="s">
        <v>674</v>
      </c>
      <c r="AW33" t="s">
        <v>674</v>
      </c>
      <c r="AX33" t="s">
        <v>674</v>
      </c>
      <c r="AY33" t="s">
        <v>674</v>
      </c>
      <c r="AZ33" t="s">
        <v>674</v>
      </c>
      <c r="BA33" t="s">
        <v>674</v>
      </c>
      <c r="BB33" t="s">
        <v>674</v>
      </c>
      <c r="BC33" t="s">
        <v>674</v>
      </c>
      <c r="BD33" t="s">
        <v>674</v>
      </c>
      <c r="BE33" t="s">
        <v>674</v>
      </c>
      <c r="BF33" t="s">
        <v>674</v>
      </c>
      <c r="BG33" t="s">
        <v>674</v>
      </c>
      <c r="BH33" t="s">
        <v>674</v>
      </c>
      <c r="BI33" t="s">
        <v>674</v>
      </c>
      <c r="BJ33" t="s">
        <v>674</v>
      </c>
      <c r="BK33" t="s">
        <v>674</v>
      </c>
      <c r="BL33" t="s">
        <v>674</v>
      </c>
      <c r="BM33" t="s">
        <v>674</v>
      </c>
      <c r="BN33" t="s">
        <v>674</v>
      </c>
      <c r="BO33" t="s">
        <v>674</v>
      </c>
      <c r="BP33" t="s">
        <v>674</v>
      </c>
      <c r="BQ33" t="s">
        <v>674</v>
      </c>
      <c r="BR33" t="s">
        <v>674</v>
      </c>
      <c r="BS33" t="s">
        <v>674</v>
      </c>
      <c r="BT33" t="s">
        <v>674</v>
      </c>
      <c r="BU33" t="s">
        <v>674</v>
      </c>
      <c r="BV33" t="s">
        <v>674</v>
      </c>
      <c r="BW33" t="s">
        <v>674</v>
      </c>
      <c r="BX33" t="s">
        <v>674</v>
      </c>
      <c r="BY33" t="s">
        <v>674</v>
      </c>
      <c r="BZ33" t="s">
        <v>674</v>
      </c>
      <c r="CA33" t="s">
        <v>674</v>
      </c>
      <c r="CB33" t="s">
        <v>674</v>
      </c>
      <c r="CC33" t="s">
        <v>674</v>
      </c>
      <c r="CD33" t="s">
        <v>674</v>
      </c>
      <c r="CE33" t="s">
        <v>674</v>
      </c>
      <c r="CF33" t="s">
        <v>674</v>
      </c>
      <c r="CG33" t="s">
        <v>674</v>
      </c>
      <c r="CH33" t="s">
        <v>674</v>
      </c>
      <c r="CI33" t="s">
        <v>674</v>
      </c>
    </row>
    <row r="34" spans="1:87" x14ac:dyDescent="0.25">
      <c r="A34" t="s">
        <v>405</v>
      </c>
      <c r="B34" t="s">
        <v>88</v>
      </c>
      <c r="D34" t="s">
        <v>406</v>
      </c>
      <c r="E34" t="s">
        <v>407</v>
      </c>
      <c r="F34" t="s">
        <v>674</v>
      </c>
      <c r="G34" t="s">
        <v>674</v>
      </c>
      <c r="H34" t="s">
        <v>674</v>
      </c>
      <c r="I34" t="s">
        <v>674</v>
      </c>
      <c r="J34" t="s">
        <v>674</v>
      </c>
      <c r="K34" t="s">
        <v>408</v>
      </c>
      <c r="L34" t="s">
        <v>674</v>
      </c>
      <c r="M34" s="1">
        <v>46258.849247685182</v>
      </c>
      <c r="N34" s="1">
        <v>46258.858877314815</v>
      </c>
      <c r="O34" s="1"/>
      <c r="P34" t="s">
        <v>674</v>
      </c>
      <c r="Q34" t="s">
        <v>674</v>
      </c>
      <c r="T34" t="s">
        <v>674</v>
      </c>
      <c r="U34" t="s">
        <v>674</v>
      </c>
      <c r="V34" t="s">
        <v>674</v>
      </c>
      <c r="W34" t="s">
        <v>674</v>
      </c>
      <c r="X34" t="s">
        <v>674</v>
      </c>
      <c r="Y34" t="s">
        <v>674</v>
      </c>
      <c r="Z34" t="s">
        <v>674</v>
      </c>
      <c r="AA34" t="s">
        <v>674</v>
      </c>
      <c r="AB34" t="s">
        <v>674</v>
      </c>
      <c r="AC34" t="s">
        <v>97</v>
      </c>
      <c r="AD34" t="s">
        <v>674</v>
      </c>
      <c r="AE34" t="s">
        <v>674</v>
      </c>
      <c r="AF34" t="s">
        <v>674</v>
      </c>
      <c r="AG34" t="s">
        <v>674</v>
      </c>
      <c r="AH34" t="s">
        <v>163</v>
      </c>
      <c r="AJ34" t="s">
        <v>674</v>
      </c>
      <c r="AK34" t="s">
        <v>674</v>
      </c>
      <c r="AL34" t="s">
        <v>409</v>
      </c>
      <c r="AM34" t="s">
        <v>674</v>
      </c>
      <c r="AN34" t="s">
        <v>410</v>
      </c>
      <c r="AO34" t="s">
        <v>674</v>
      </c>
      <c r="AP34" t="s">
        <v>674</v>
      </c>
      <c r="AQ34" t="s">
        <v>674</v>
      </c>
      <c r="AR34" t="s">
        <v>674</v>
      </c>
      <c r="AS34" t="s">
        <v>674</v>
      </c>
      <c r="AT34" t="s">
        <v>674</v>
      </c>
      <c r="AU34" t="s">
        <v>674</v>
      </c>
      <c r="AV34" t="s">
        <v>674</v>
      </c>
      <c r="AW34" t="s">
        <v>674</v>
      </c>
      <c r="AX34" t="s">
        <v>674</v>
      </c>
      <c r="AY34" t="s">
        <v>674</v>
      </c>
      <c r="AZ34" t="s">
        <v>674</v>
      </c>
      <c r="BA34" t="s">
        <v>674</v>
      </c>
      <c r="BB34" t="s">
        <v>674</v>
      </c>
      <c r="BC34" t="s">
        <v>674</v>
      </c>
      <c r="BD34" t="s">
        <v>674</v>
      </c>
      <c r="BE34" t="s">
        <v>674</v>
      </c>
      <c r="BF34" t="s">
        <v>674</v>
      </c>
      <c r="BG34" t="s">
        <v>674</v>
      </c>
      <c r="BH34" t="s">
        <v>674</v>
      </c>
      <c r="BI34" t="s">
        <v>674</v>
      </c>
      <c r="BJ34" t="s">
        <v>674</v>
      </c>
      <c r="BK34" t="s">
        <v>674</v>
      </c>
      <c r="BL34" t="s">
        <v>674</v>
      </c>
      <c r="BM34" t="s">
        <v>674</v>
      </c>
      <c r="BN34" t="s">
        <v>674</v>
      </c>
      <c r="BO34" t="s">
        <v>674</v>
      </c>
      <c r="BP34" t="s">
        <v>674</v>
      </c>
      <c r="BQ34" t="s">
        <v>674</v>
      </c>
      <c r="BR34" t="s">
        <v>674</v>
      </c>
      <c r="BS34" t="s">
        <v>674</v>
      </c>
      <c r="BT34" t="s">
        <v>674</v>
      </c>
      <c r="BU34" t="s">
        <v>674</v>
      </c>
      <c r="BV34" t="s">
        <v>674</v>
      </c>
      <c r="BW34" t="s">
        <v>674</v>
      </c>
      <c r="BX34" t="s">
        <v>674</v>
      </c>
      <c r="BY34" t="s">
        <v>674</v>
      </c>
      <c r="BZ34" t="s">
        <v>674</v>
      </c>
      <c r="CA34" t="s">
        <v>674</v>
      </c>
      <c r="CB34" t="s">
        <v>674</v>
      </c>
      <c r="CC34" t="s">
        <v>674</v>
      </c>
      <c r="CD34" t="s">
        <v>674</v>
      </c>
      <c r="CE34" t="s">
        <v>674</v>
      </c>
      <c r="CF34" t="s">
        <v>674</v>
      </c>
      <c r="CG34" t="s">
        <v>674</v>
      </c>
      <c r="CH34" t="s">
        <v>674</v>
      </c>
      <c r="CI34" t="s">
        <v>674</v>
      </c>
    </row>
    <row r="35" spans="1:87" x14ac:dyDescent="0.25">
      <c r="A35" t="s">
        <v>411</v>
      </c>
      <c r="B35" t="s">
        <v>88</v>
      </c>
      <c r="C35">
        <v>2015</v>
      </c>
      <c r="D35" t="s">
        <v>412</v>
      </c>
      <c r="E35" t="s">
        <v>413</v>
      </c>
      <c r="F35" t="s">
        <v>414</v>
      </c>
      <c r="G35" t="s">
        <v>674</v>
      </c>
      <c r="H35" t="s">
        <v>415</v>
      </c>
      <c r="I35" t="s">
        <v>416</v>
      </c>
      <c r="J35" t="s">
        <v>417</v>
      </c>
      <c r="K35" t="s">
        <v>674</v>
      </c>
      <c r="L35" t="s">
        <v>418</v>
      </c>
      <c r="M35" s="1">
        <v>46258.849305555559</v>
      </c>
      <c r="N35" s="1">
        <v>46258.857442129629</v>
      </c>
      <c r="O35" s="1">
        <v>46258.849305555559</v>
      </c>
      <c r="P35" t="s">
        <v>419</v>
      </c>
      <c r="Q35" t="s">
        <v>674</v>
      </c>
      <c r="R35">
        <v>3</v>
      </c>
      <c r="S35">
        <v>51</v>
      </c>
      <c r="T35" t="s">
        <v>674</v>
      </c>
      <c r="U35" t="s">
        <v>420</v>
      </c>
      <c r="V35" t="s">
        <v>674</v>
      </c>
      <c r="W35" t="s">
        <v>674</v>
      </c>
      <c r="X35" t="s">
        <v>674</v>
      </c>
      <c r="Y35" t="s">
        <v>674</v>
      </c>
      <c r="Z35" t="s">
        <v>674</v>
      </c>
      <c r="AA35" t="s">
        <v>674</v>
      </c>
      <c r="AB35" t="s">
        <v>674</v>
      </c>
      <c r="AC35" t="s">
        <v>674</v>
      </c>
      <c r="AD35" t="s">
        <v>122</v>
      </c>
      <c r="AE35" t="s">
        <v>674</v>
      </c>
      <c r="AF35" t="s">
        <v>674</v>
      </c>
      <c r="AG35" t="s">
        <v>674</v>
      </c>
      <c r="AH35" t="s">
        <v>99</v>
      </c>
      <c r="AJ35" t="s">
        <v>674</v>
      </c>
      <c r="AK35" t="s">
        <v>674</v>
      </c>
      <c r="AL35" t="s">
        <v>421</v>
      </c>
      <c r="AM35" t="s">
        <v>674</v>
      </c>
      <c r="AN35" t="s">
        <v>422</v>
      </c>
      <c r="AO35" t="s">
        <v>674</v>
      </c>
      <c r="AP35" t="s">
        <v>674</v>
      </c>
      <c r="AQ35" t="s">
        <v>674</v>
      </c>
      <c r="AR35" t="s">
        <v>674</v>
      </c>
      <c r="AS35" t="s">
        <v>674</v>
      </c>
      <c r="AT35" t="s">
        <v>674</v>
      </c>
      <c r="AU35" t="s">
        <v>674</v>
      </c>
      <c r="AV35" t="s">
        <v>674</v>
      </c>
      <c r="AW35" t="s">
        <v>674</v>
      </c>
      <c r="AX35" t="s">
        <v>674</v>
      </c>
      <c r="AY35" t="s">
        <v>674</v>
      </c>
      <c r="AZ35" t="s">
        <v>674</v>
      </c>
      <c r="BA35" t="s">
        <v>674</v>
      </c>
      <c r="BB35" t="s">
        <v>674</v>
      </c>
      <c r="BC35" t="s">
        <v>674</v>
      </c>
      <c r="BD35" t="s">
        <v>674</v>
      </c>
      <c r="BE35" t="s">
        <v>674</v>
      </c>
      <c r="BF35" t="s">
        <v>674</v>
      </c>
      <c r="BG35" t="s">
        <v>674</v>
      </c>
      <c r="BH35" t="s">
        <v>674</v>
      </c>
      <c r="BI35" t="s">
        <v>674</v>
      </c>
      <c r="BJ35" t="s">
        <v>674</v>
      </c>
      <c r="BK35" t="s">
        <v>674</v>
      </c>
      <c r="BL35" t="s">
        <v>674</v>
      </c>
      <c r="BM35" t="s">
        <v>674</v>
      </c>
      <c r="BN35" t="s">
        <v>674</v>
      </c>
      <c r="BO35" t="s">
        <v>674</v>
      </c>
      <c r="BP35" t="s">
        <v>674</v>
      </c>
      <c r="BQ35" t="s">
        <v>674</v>
      </c>
      <c r="BR35" t="s">
        <v>674</v>
      </c>
      <c r="BS35" t="s">
        <v>674</v>
      </c>
      <c r="BT35" t="s">
        <v>674</v>
      </c>
      <c r="BU35" t="s">
        <v>674</v>
      </c>
      <c r="BV35" t="s">
        <v>674</v>
      </c>
      <c r="BW35" t="s">
        <v>674</v>
      </c>
      <c r="BX35" t="s">
        <v>674</v>
      </c>
      <c r="BY35" t="s">
        <v>674</v>
      </c>
      <c r="BZ35" t="s">
        <v>674</v>
      </c>
      <c r="CA35" t="s">
        <v>674</v>
      </c>
      <c r="CB35" t="s">
        <v>674</v>
      </c>
      <c r="CC35" t="s">
        <v>674</v>
      </c>
      <c r="CD35" t="s">
        <v>674</v>
      </c>
      <c r="CE35" t="s">
        <v>674</v>
      </c>
      <c r="CF35" t="s">
        <v>674</v>
      </c>
      <c r="CG35" t="s">
        <v>674</v>
      </c>
      <c r="CH35" t="s">
        <v>674</v>
      </c>
      <c r="CI35" t="s">
        <v>674</v>
      </c>
    </row>
    <row r="36" spans="1:87" x14ac:dyDescent="0.25">
      <c r="A36" t="s">
        <v>423</v>
      </c>
      <c r="B36" t="s">
        <v>126</v>
      </c>
      <c r="C36">
        <v>2017</v>
      </c>
      <c r="D36" t="s">
        <v>424</v>
      </c>
      <c r="E36" t="s">
        <v>425</v>
      </c>
      <c r="F36" t="s">
        <v>426</v>
      </c>
      <c r="G36" t="s">
        <v>427</v>
      </c>
      <c r="H36" t="s">
        <v>674</v>
      </c>
      <c r="I36" t="s">
        <v>428</v>
      </c>
      <c r="J36" t="s">
        <v>429</v>
      </c>
      <c r="K36" t="s">
        <v>674</v>
      </c>
      <c r="L36" t="s">
        <v>430</v>
      </c>
      <c r="M36" s="1">
        <v>46258.849502314813</v>
      </c>
      <c r="N36" s="1">
        <v>46258.855324074073</v>
      </c>
      <c r="O36" s="1">
        <v>46258.849502314813</v>
      </c>
      <c r="P36" t="s">
        <v>431</v>
      </c>
      <c r="Q36" t="s">
        <v>674</v>
      </c>
      <c r="T36" t="s">
        <v>674</v>
      </c>
      <c r="U36" t="s">
        <v>674</v>
      </c>
      <c r="V36" t="s">
        <v>674</v>
      </c>
      <c r="W36" t="s">
        <v>674</v>
      </c>
      <c r="X36" t="s">
        <v>674</v>
      </c>
      <c r="Y36" t="s">
        <v>674</v>
      </c>
      <c r="Z36" t="s">
        <v>674</v>
      </c>
      <c r="AA36" t="s">
        <v>133</v>
      </c>
      <c r="AB36" t="s">
        <v>432</v>
      </c>
      <c r="AC36" t="s">
        <v>674</v>
      </c>
      <c r="AD36" t="s">
        <v>674</v>
      </c>
      <c r="AE36" t="s">
        <v>674</v>
      </c>
      <c r="AF36" t="s">
        <v>674</v>
      </c>
      <c r="AG36" t="s">
        <v>674</v>
      </c>
      <c r="AH36" t="s">
        <v>99</v>
      </c>
      <c r="AJ36" t="s">
        <v>674</v>
      </c>
      <c r="AK36" t="s">
        <v>674</v>
      </c>
      <c r="AL36" t="s">
        <v>433</v>
      </c>
      <c r="AM36" t="s">
        <v>674</v>
      </c>
      <c r="AN36" t="s">
        <v>404</v>
      </c>
      <c r="AO36" t="s">
        <v>674</v>
      </c>
      <c r="AP36" t="s">
        <v>674</v>
      </c>
      <c r="AQ36" t="s">
        <v>674</v>
      </c>
      <c r="AR36" t="s">
        <v>674</v>
      </c>
      <c r="AS36" t="s">
        <v>674</v>
      </c>
      <c r="AT36" t="s">
        <v>674</v>
      </c>
      <c r="AU36" t="s">
        <v>674</v>
      </c>
      <c r="AV36" t="s">
        <v>674</v>
      </c>
      <c r="AW36" t="s">
        <v>674</v>
      </c>
      <c r="AX36" t="s">
        <v>674</v>
      </c>
      <c r="AY36" t="s">
        <v>674</v>
      </c>
      <c r="AZ36" t="s">
        <v>674</v>
      </c>
      <c r="BA36" t="s">
        <v>674</v>
      </c>
      <c r="BB36" t="s">
        <v>674</v>
      </c>
      <c r="BC36" t="s">
        <v>674</v>
      </c>
      <c r="BD36" t="s">
        <v>674</v>
      </c>
      <c r="BE36" t="s">
        <v>674</v>
      </c>
      <c r="BF36" t="s">
        <v>674</v>
      </c>
      <c r="BG36" t="s">
        <v>674</v>
      </c>
      <c r="BH36" t="s">
        <v>674</v>
      </c>
      <c r="BI36" t="s">
        <v>674</v>
      </c>
      <c r="BJ36" t="s">
        <v>674</v>
      </c>
      <c r="BK36" t="s">
        <v>674</v>
      </c>
      <c r="BL36" t="s">
        <v>674</v>
      </c>
      <c r="BM36" t="s">
        <v>674</v>
      </c>
      <c r="BN36" t="s">
        <v>674</v>
      </c>
      <c r="BO36" t="s">
        <v>674</v>
      </c>
      <c r="BP36" t="s">
        <v>674</v>
      </c>
      <c r="BQ36" t="s">
        <v>674</v>
      </c>
      <c r="BR36" t="s">
        <v>674</v>
      </c>
      <c r="BS36" t="s">
        <v>674</v>
      </c>
      <c r="BT36" t="s">
        <v>426</v>
      </c>
      <c r="BU36" t="s">
        <v>674</v>
      </c>
      <c r="BV36" t="s">
        <v>674</v>
      </c>
      <c r="BW36" t="s">
        <v>674</v>
      </c>
      <c r="BX36" t="s">
        <v>674</v>
      </c>
      <c r="BY36" t="s">
        <v>674</v>
      </c>
      <c r="BZ36" t="s">
        <v>674</v>
      </c>
      <c r="CA36" t="s">
        <v>674</v>
      </c>
      <c r="CB36" t="s">
        <v>674</v>
      </c>
      <c r="CC36" t="s">
        <v>674</v>
      </c>
      <c r="CD36" t="s">
        <v>674</v>
      </c>
      <c r="CE36" t="s">
        <v>674</v>
      </c>
      <c r="CF36" t="s">
        <v>674</v>
      </c>
      <c r="CG36" t="s">
        <v>674</v>
      </c>
      <c r="CH36" t="s">
        <v>674</v>
      </c>
      <c r="CI36" t="s">
        <v>674</v>
      </c>
    </row>
    <row r="37" spans="1:87" x14ac:dyDescent="0.25">
      <c r="A37" t="s">
        <v>434</v>
      </c>
      <c r="B37" t="s">
        <v>126</v>
      </c>
      <c r="C37">
        <v>2022</v>
      </c>
      <c r="D37" t="s">
        <v>435</v>
      </c>
      <c r="E37" t="s">
        <v>436</v>
      </c>
      <c r="F37" t="s">
        <v>437</v>
      </c>
      <c r="G37" t="s">
        <v>438</v>
      </c>
      <c r="H37" t="s">
        <v>674</v>
      </c>
      <c r="I37" t="s">
        <v>439</v>
      </c>
      <c r="J37" t="s">
        <v>440</v>
      </c>
      <c r="K37" t="s">
        <v>674</v>
      </c>
      <c r="L37" t="s">
        <v>695</v>
      </c>
      <c r="M37" s="1">
        <v>46258.84957175926</v>
      </c>
      <c r="N37" s="1">
        <v>46258.858599537038</v>
      </c>
      <c r="O37" s="1">
        <v>46258.84957175926</v>
      </c>
      <c r="P37" t="s">
        <v>441</v>
      </c>
      <c r="Q37" t="s">
        <v>674</v>
      </c>
      <c r="T37" t="s">
        <v>674</v>
      </c>
      <c r="U37" t="s">
        <v>674</v>
      </c>
      <c r="V37" t="s">
        <v>674</v>
      </c>
      <c r="W37" t="s">
        <v>674</v>
      </c>
      <c r="X37" t="s">
        <v>674</v>
      </c>
      <c r="Y37" t="s">
        <v>674</v>
      </c>
      <c r="Z37" t="s">
        <v>674</v>
      </c>
      <c r="AA37" t="s">
        <v>133</v>
      </c>
      <c r="AB37" t="s">
        <v>442</v>
      </c>
      <c r="AC37" t="s">
        <v>674</v>
      </c>
      <c r="AD37" t="s">
        <v>135</v>
      </c>
      <c r="AE37" t="s">
        <v>674</v>
      </c>
      <c r="AF37" t="s">
        <v>674</v>
      </c>
      <c r="AG37" t="s">
        <v>674</v>
      </c>
      <c r="AH37" t="s">
        <v>99</v>
      </c>
      <c r="AJ37" t="s">
        <v>674</v>
      </c>
      <c r="AK37" t="s">
        <v>674</v>
      </c>
      <c r="AL37" t="s">
        <v>443</v>
      </c>
      <c r="AM37" t="s">
        <v>674</v>
      </c>
      <c r="AN37" t="s">
        <v>444</v>
      </c>
      <c r="AO37" t="s">
        <v>674</v>
      </c>
      <c r="AP37" t="s">
        <v>674</v>
      </c>
      <c r="AQ37" t="s">
        <v>674</v>
      </c>
      <c r="AR37" t="s">
        <v>674</v>
      </c>
      <c r="AS37" t="s">
        <v>674</v>
      </c>
      <c r="AT37" t="s">
        <v>674</v>
      </c>
      <c r="AU37" t="s">
        <v>674</v>
      </c>
      <c r="AV37" t="s">
        <v>674</v>
      </c>
      <c r="AW37" t="s">
        <v>674</v>
      </c>
      <c r="AX37" t="s">
        <v>674</v>
      </c>
      <c r="AY37" t="s">
        <v>674</v>
      </c>
      <c r="AZ37" t="s">
        <v>674</v>
      </c>
      <c r="BA37" t="s">
        <v>674</v>
      </c>
      <c r="BB37" t="s">
        <v>674</v>
      </c>
      <c r="BC37" t="s">
        <v>674</v>
      </c>
      <c r="BD37" t="s">
        <v>674</v>
      </c>
      <c r="BE37" t="s">
        <v>674</v>
      </c>
      <c r="BF37" t="s">
        <v>674</v>
      </c>
      <c r="BG37" t="s">
        <v>674</v>
      </c>
      <c r="BH37" t="s">
        <v>674</v>
      </c>
      <c r="BI37" t="s">
        <v>674</v>
      </c>
      <c r="BJ37" t="s">
        <v>674</v>
      </c>
      <c r="BK37" t="s">
        <v>674</v>
      </c>
      <c r="BL37" t="s">
        <v>674</v>
      </c>
      <c r="BM37" t="s">
        <v>674</v>
      </c>
      <c r="BN37" t="s">
        <v>674</v>
      </c>
      <c r="BO37" t="s">
        <v>674</v>
      </c>
      <c r="BP37" t="s">
        <v>674</v>
      </c>
      <c r="BQ37" t="s">
        <v>674</v>
      </c>
      <c r="BR37" t="s">
        <v>674</v>
      </c>
      <c r="BS37" t="s">
        <v>674</v>
      </c>
      <c r="BT37" t="s">
        <v>437</v>
      </c>
      <c r="BU37" t="s">
        <v>674</v>
      </c>
      <c r="BV37" t="s">
        <v>674</v>
      </c>
      <c r="BW37" t="s">
        <v>674</v>
      </c>
      <c r="BX37" t="s">
        <v>674</v>
      </c>
      <c r="BY37" t="s">
        <v>674</v>
      </c>
      <c r="BZ37" t="s">
        <v>674</v>
      </c>
      <c r="CA37" t="s">
        <v>674</v>
      </c>
      <c r="CB37" t="s">
        <v>674</v>
      </c>
      <c r="CC37" t="s">
        <v>674</v>
      </c>
      <c r="CD37" t="s">
        <v>674</v>
      </c>
      <c r="CE37" t="s">
        <v>674</v>
      </c>
      <c r="CF37" t="s">
        <v>674</v>
      </c>
      <c r="CG37" t="s">
        <v>674</v>
      </c>
      <c r="CH37" t="s">
        <v>674</v>
      </c>
      <c r="CI37" t="s">
        <v>674</v>
      </c>
    </row>
    <row r="38" spans="1:87" x14ac:dyDescent="0.25">
      <c r="A38" t="s">
        <v>445</v>
      </c>
      <c r="B38" t="s">
        <v>126</v>
      </c>
      <c r="C38">
        <v>2013</v>
      </c>
      <c r="D38" t="s">
        <v>446</v>
      </c>
      <c r="E38" t="s">
        <v>447</v>
      </c>
      <c r="F38" t="s">
        <v>448</v>
      </c>
      <c r="G38" t="s">
        <v>449</v>
      </c>
      <c r="H38" t="s">
        <v>674</v>
      </c>
      <c r="I38" t="s">
        <v>450</v>
      </c>
      <c r="J38" t="s">
        <v>451</v>
      </c>
      <c r="K38" t="s">
        <v>674</v>
      </c>
      <c r="L38" t="s">
        <v>452</v>
      </c>
      <c r="M38" s="1">
        <v>46258.849606481483</v>
      </c>
      <c r="N38" s="1">
        <v>46258.854386574072</v>
      </c>
      <c r="O38" s="1">
        <v>46258.849606481483</v>
      </c>
      <c r="P38" t="s">
        <v>453</v>
      </c>
      <c r="Q38" t="s">
        <v>674</v>
      </c>
      <c r="T38" t="s">
        <v>674</v>
      </c>
      <c r="U38" t="s">
        <v>674</v>
      </c>
      <c r="V38" t="s">
        <v>674</v>
      </c>
      <c r="W38" t="s">
        <v>674</v>
      </c>
      <c r="X38" t="s">
        <v>674</v>
      </c>
      <c r="Y38" t="s">
        <v>674</v>
      </c>
      <c r="Z38" t="s">
        <v>674</v>
      </c>
      <c r="AA38" t="s">
        <v>133</v>
      </c>
      <c r="AB38" t="s">
        <v>454</v>
      </c>
      <c r="AC38" t="s">
        <v>674</v>
      </c>
      <c r="AD38" t="s">
        <v>674</v>
      </c>
      <c r="AE38" t="s">
        <v>674</v>
      </c>
      <c r="AF38" t="s">
        <v>674</v>
      </c>
      <c r="AG38" t="s">
        <v>674</v>
      </c>
      <c r="AH38" t="s">
        <v>99</v>
      </c>
      <c r="AJ38" t="s">
        <v>674</v>
      </c>
      <c r="AK38" t="s">
        <v>674</v>
      </c>
      <c r="AL38" t="s">
        <v>455</v>
      </c>
      <c r="AM38" t="s">
        <v>674</v>
      </c>
      <c r="AN38" t="s">
        <v>293</v>
      </c>
      <c r="AO38" t="s">
        <v>674</v>
      </c>
      <c r="AP38" t="s">
        <v>674</v>
      </c>
      <c r="AQ38" t="s">
        <v>674</v>
      </c>
      <c r="AR38" t="s">
        <v>674</v>
      </c>
      <c r="AS38" t="s">
        <v>674</v>
      </c>
      <c r="AT38" t="s">
        <v>674</v>
      </c>
      <c r="AU38" t="s">
        <v>674</v>
      </c>
      <c r="AV38" t="s">
        <v>674</v>
      </c>
      <c r="AW38" t="s">
        <v>674</v>
      </c>
      <c r="AX38" t="s">
        <v>674</v>
      </c>
      <c r="AY38" t="s">
        <v>674</v>
      </c>
      <c r="AZ38" t="s">
        <v>674</v>
      </c>
      <c r="BA38" t="s">
        <v>674</v>
      </c>
      <c r="BB38" t="s">
        <v>674</v>
      </c>
      <c r="BC38" t="s">
        <v>674</v>
      </c>
      <c r="BD38" t="s">
        <v>674</v>
      </c>
      <c r="BE38" t="s">
        <v>674</v>
      </c>
      <c r="BF38" t="s">
        <v>674</v>
      </c>
      <c r="BG38" t="s">
        <v>674</v>
      </c>
      <c r="BH38" t="s">
        <v>674</v>
      </c>
      <c r="BI38" t="s">
        <v>674</v>
      </c>
      <c r="BJ38" t="s">
        <v>674</v>
      </c>
      <c r="BK38" t="s">
        <v>674</v>
      </c>
      <c r="BL38" t="s">
        <v>674</v>
      </c>
      <c r="BM38" t="s">
        <v>674</v>
      </c>
      <c r="BN38" t="s">
        <v>674</v>
      </c>
      <c r="BO38" t="s">
        <v>674</v>
      </c>
      <c r="BP38" t="s">
        <v>674</v>
      </c>
      <c r="BQ38" t="s">
        <v>674</v>
      </c>
      <c r="BR38" t="s">
        <v>674</v>
      </c>
      <c r="BS38" t="s">
        <v>674</v>
      </c>
      <c r="BT38" t="s">
        <v>456</v>
      </c>
      <c r="BU38" t="s">
        <v>674</v>
      </c>
      <c r="BV38" t="s">
        <v>674</v>
      </c>
      <c r="BW38" t="s">
        <v>674</v>
      </c>
      <c r="BX38" t="s">
        <v>674</v>
      </c>
      <c r="BY38" t="s">
        <v>674</v>
      </c>
      <c r="BZ38" t="s">
        <v>674</v>
      </c>
      <c r="CA38" t="s">
        <v>674</v>
      </c>
      <c r="CB38" t="s">
        <v>674</v>
      </c>
      <c r="CC38" t="s">
        <v>674</v>
      </c>
      <c r="CD38" t="s">
        <v>674</v>
      </c>
      <c r="CE38" t="s">
        <v>674</v>
      </c>
      <c r="CF38" t="s">
        <v>674</v>
      </c>
      <c r="CG38" t="s">
        <v>674</v>
      </c>
      <c r="CH38" t="s">
        <v>674</v>
      </c>
      <c r="CI38" t="s">
        <v>674</v>
      </c>
    </row>
    <row r="39" spans="1:87" x14ac:dyDescent="0.25">
      <c r="A39" t="s">
        <v>457</v>
      </c>
      <c r="B39" t="s">
        <v>88</v>
      </c>
      <c r="C39">
        <v>2026</v>
      </c>
      <c r="D39" t="s">
        <v>458</v>
      </c>
      <c r="E39" t="s">
        <v>459</v>
      </c>
      <c r="F39" t="s">
        <v>115</v>
      </c>
      <c r="G39" t="s">
        <v>674</v>
      </c>
      <c r="H39" t="s">
        <v>116</v>
      </c>
      <c r="I39" t="s">
        <v>460</v>
      </c>
      <c r="J39" t="s">
        <v>461</v>
      </c>
      <c r="K39" t="s">
        <v>674</v>
      </c>
      <c r="L39" t="s">
        <v>462</v>
      </c>
      <c r="M39" s="1">
        <v>46258.849803240744</v>
      </c>
      <c r="N39" s="1">
        <v>46258.859895833331</v>
      </c>
      <c r="O39" s="1">
        <v>46258.849803240744</v>
      </c>
      <c r="P39" t="s">
        <v>463</v>
      </c>
      <c r="Q39" t="s">
        <v>674</v>
      </c>
      <c r="R39">
        <v>5</v>
      </c>
      <c r="S39">
        <v>73</v>
      </c>
      <c r="T39" t="s">
        <v>674</v>
      </c>
      <c r="U39" t="s">
        <v>121</v>
      </c>
      <c r="V39" t="s">
        <v>674</v>
      </c>
      <c r="W39" t="s">
        <v>674</v>
      </c>
      <c r="X39" t="s">
        <v>674</v>
      </c>
      <c r="Y39" t="s">
        <v>674</v>
      </c>
      <c r="Z39" t="s">
        <v>674</v>
      </c>
      <c r="AA39" t="s">
        <v>674</v>
      </c>
      <c r="AB39" t="s">
        <v>674</v>
      </c>
      <c r="AC39" t="s">
        <v>674</v>
      </c>
      <c r="AD39" t="s">
        <v>122</v>
      </c>
      <c r="AE39" t="s">
        <v>674</v>
      </c>
      <c r="AF39" t="s">
        <v>674</v>
      </c>
      <c r="AG39" t="s">
        <v>674</v>
      </c>
      <c r="AH39" t="s">
        <v>99</v>
      </c>
      <c r="AJ39" t="s">
        <v>674</v>
      </c>
      <c r="AK39" t="s">
        <v>674</v>
      </c>
      <c r="AL39" t="s">
        <v>464</v>
      </c>
      <c r="AM39" t="s">
        <v>674</v>
      </c>
      <c r="AN39" t="s">
        <v>293</v>
      </c>
      <c r="AO39" t="s">
        <v>674</v>
      </c>
      <c r="AP39" t="s">
        <v>674</v>
      </c>
      <c r="AQ39" t="s">
        <v>674</v>
      </c>
      <c r="AR39" t="s">
        <v>674</v>
      </c>
      <c r="AS39" t="s">
        <v>674</v>
      </c>
      <c r="AT39" t="s">
        <v>674</v>
      </c>
      <c r="AU39" t="s">
        <v>674</v>
      </c>
      <c r="AV39" t="s">
        <v>674</v>
      </c>
      <c r="AW39" t="s">
        <v>674</v>
      </c>
      <c r="AX39" t="s">
        <v>674</v>
      </c>
      <c r="AY39" t="s">
        <v>674</v>
      </c>
      <c r="AZ39" t="s">
        <v>674</v>
      </c>
      <c r="BA39" t="s">
        <v>674</v>
      </c>
      <c r="BB39" t="s">
        <v>674</v>
      </c>
      <c r="BC39" t="s">
        <v>674</v>
      </c>
      <c r="BD39" t="s">
        <v>674</v>
      </c>
      <c r="BE39" t="s">
        <v>674</v>
      </c>
      <c r="BF39" t="s">
        <v>674</v>
      </c>
      <c r="BG39" t="s">
        <v>674</v>
      </c>
      <c r="BH39" t="s">
        <v>674</v>
      </c>
      <c r="BI39" t="s">
        <v>674</v>
      </c>
      <c r="BJ39" t="s">
        <v>674</v>
      </c>
      <c r="BK39" t="s">
        <v>674</v>
      </c>
      <c r="BL39" t="s">
        <v>674</v>
      </c>
      <c r="BM39" t="s">
        <v>674</v>
      </c>
      <c r="BN39" t="s">
        <v>674</v>
      </c>
      <c r="BO39" t="s">
        <v>674</v>
      </c>
      <c r="BP39" t="s">
        <v>674</v>
      </c>
      <c r="BQ39" t="s">
        <v>674</v>
      </c>
      <c r="BR39" t="s">
        <v>674</v>
      </c>
      <c r="BS39" t="s">
        <v>674</v>
      </c>
      <c r="BT39" t="s">
        <v>674</v>
      </c>
      <c r="BU39" t="s">
        <v>674</v>
      </c>
      <c r="BV39" t="s">
        <v>674</v>
      </c>
      <c r="BW39" t="s">
        <v>674</v>
      </c>
      <c r="BX39" t="s">
        <v>674</v>
      </c>
      <c r="BY39" t="s">
        <v>674</v>
      </c>
      <c r="BZ39" t="s">
        <v>674</v>
      </c>
      <c r="CA39" t="s">
        <v>674</v>
      </c>
      <c r="CB39" t="s">
        <v>674</v>
      </c>
      <c r="CC39" t="s">
        <v>674</v>
      </c>
      <c r="CD39" t="s">
        <v>674</v>
      </c>
      <c r="CE39" t="s">
        <v>674</v>
      </c>
      <c r="CF39" t="s">
        <v>674</v>
      </c>
      <c r="CG39" t="s">
        <v>674</v>
      </c>
      <c r="CH39" t="s">
        <v>674</v>
      </c>
      <c r="CI39" t="s">
        <v>674</v>
      </c>
    </row>
    <row r="40" spans="1:87" x14ac:dyDescent="0.25">
      <c r="A40" t="s">
        <v>465</v>
      </c>
      <c r="B40" t="s">
        <v>126</v>
      </c>
      <c r="C40">
        <v>2025</v>
      </c>
      <c r="D40" t="s">
        <v>466</v>
      </c>
      <c r="E40" t="s">
        <v>467</v>
      </c>
      <c r="F40" t="s">
        <v>468</v>
      </c>
      <c r="G40" t="s">
        <v>469</v>
      </c>
      <c r="H40" t="s">
        <v>674</v>
      </c>
      <c r="I40" t="s">
        <v>470</v>
      </c>
      <c r="J40" t="s">
        <v>471</v>
      </c>
      <c r="K40" t="s">
        <v>674</v>
      </c>
      <c r="L40" t="s">
        <v>696</v>
      </c>
      <c r="M40" s="1">
        <v>46258.849942129629</v>
      </c>
      <c r="N40" s="1">
        <v>46258.856307870374</v>
      </c>
      <c r="O40" s="1">
        <v>46258.849942129629</v>
      </c>
      <c r="P40" t="s">
        <v>472</v>
      </c>
      <c r="Q40" t="s">
        <v>674</v>
      </c>
      <c r="T40" t="s">
        <v>674</v>
      </c>
      <c r="U40" t="s">
        <v>674</v>
      </c>
      <c r="V40" t="s">
        <v>674</v>
      </c>
      <c r="W40" t="s">
        <v>674</v>
      </c>
      <c r="X40" t="s">
        <v>674</v>
      </c>
      <c r="Y40" t="s">
        <v>674</v>
      </c>
      <c r="Z40" t="s">
        <v>674</v>
      </c>
      <c r="AA40" t="s">
        <v>133</v>
      </c>
      <c r="AB40" t="s">
        <v>473</v>
      </c>
      <c r="AC40" t="s">
        <v>674</v>
      </c>
      <c r="AD40" t="s">
        <v>135</v>
      </c>
      <c r="AE40" t="s">
        <v>674</v>
      </c>
      <c r="AF40" t="s">
        <v>674</v>
      </c>
      <c r="AG40" t="s">
        <v>674</v>
      </c>
      <c r="AH40" t="s">
        <v>99</v>
      </c>
      <c r="AJ40" t="s">
        <v>674</v>
      </c>
      <c r="AK40" t="s">
        <v>674</v>
      </c>
      <c r="AL40" t="s">
        <v>474</v>
      </c>
      <c r="AM40" t="s">
        <v>674</v>
      </c>
      <c r="AN40" t="s">
        <v>475</v>
      </c>
      <c r="AO40" t="s">
        <v>674</v>
      </c>
      <c r="AP40" t="s">
        <v>674</v>
      </c>
      <c r="AQ40" t="s">
        <v>674</v>
      </c>
      <c r="AR40" t="s">
        <v>674</v>
      </c>
      <c r="AS40" t="s">
        <v>674</v>
      </c>
      <c r="AT40" t="s">
        <v>674</v>
      </c>
      <c r="AU40" t="s">
        <v>674</v>
      </c>
      <c r="AV40" t="s">
        <v>674</v>
      </c>
      <c r="AW40" t="s">
        <v>674</v>
      </c>
      <c r="AX40" t="s">
        <v>674</v>
      </c>
      <c r="AY40" t="s">
        <v>674</v>
      </c>
      <c r="AZ40" t="s">
        <v>674</v>
      </c>
      <c r="BA40" t="s">
        <v>674</v>
      </c>
      <c r="BB40" t="s">
        <v>674</v>
      </c>
      <c r="BC40" t="s">
        <v>674</v>
      </c>
      <c r="BD40" t="s">
        <v>674</v>
      </c>
      <c r="BE40" t="s">
        <v>674</v>
      </c>
      <c r="BF40" t="s">
        <v>674</v>
      </c>
      <c r="BG40" t="s">
        <v>674</v>
      </c>
      <c r="BH40" t="s">
        <v>674</v>
      </c>
      <c r="BI40" t="s">
        <v>674</v>
      </c>
      <c r="BJ40" t="s">
        <v>674</v>
      </c>
      <c r="BK40" t="s">
        <v>674</v>
      </c>
      <c r="BL40" t="s">
        <v>674</v>
      </c>
      <c r="BM40" t="s">
        <v>674</v>
      </c>
      <c r="BN40" t="s">
        <v>674</v>
      </c>
      <c r="BO40" t="s">
        <v>674</v>
      </c>
      <c r="BP40" t="s">
        <v>674</v>
      </c>
      <c r="BQ40" t="s">
        <v>674</v>
      </c>
      <c r="BR40" t="s">
        <v>674</v>
      </c>
      <c r="BS40" t="s">
        <v>674</v>
      </c>
      <c r="BT40" t="s">
        <v>468</v>
      </c>
      <c r="BU40" t="s">
        <v>674</v>
      </c>
      <c r="BV40" t="s">
        <v>674</v>
      </c>
      <c r="BW40" t="s">
        <v>674</v>
      </c>
      <c r="BX40" t="s">
        <v>674</v>
      </c>
      <c r="BY40" t="s">
        <v>674</v>
      </c>
      <c r="BZ40" t="s">
        <v>674</v>
      </c>
      <c r="CA40" t="s">
        <v>674</v>
      </c>
      <c r="CB40" t="s">
        <v>674</v>
      </c>
      <c r="CC40" t="s">
        <v>674</v>
      </c>
      <c r="CD40" t="s">
        <v>674</v>
      </c>
      <c r="CE40" t="s">
        <v>674</v>
      </c>
      <c r="CF40" t="s">
        <v>674</v>
      </c>
      <c r="CG40" t="s">
        <v>674</v>
      </c>
      <c r="CH40" t="s">
        <v>674</v>
      </c>
      <c r="CI40" t="s">
        <v>674</v>
      </c>
    </row>
    <row r="41" spans="1:87" x14ac:dyDescent="0.25">
      <c r="A41" t="s">
        <v>476</v>
      </c>
      <c r="B41" t="s">
        <v>88</v>
      </c>
      <c r="C41">
        <v>2022</v>
      </c>
      <c r="D41" t="s">
        <v>477</v>
      </c>
      <c r="E41" t="s">
        <v>478</v>
      </c>
      <c r="F41" t="s">
        <v>479</v>
      </c>
      <c r="G41" t="s">
        <v>674</v>
      </c>
      <c r="H41" t="s">
        <v>480</v>
      </c>
      <c r="I41" t="s">
        <v>481</v>
      </c>
      <c r="J41" t="s">
        <v>482</v>
      </c>
      <c r="K41" t="s">
        <v>483</v>
      </c>
      <c r="L41" t="s">
        <v>697</v>
      </c>
      <c r="M41" s="1">
        <v>46258.849988425929</v>
      </c>
      <c r="N41" s="1">
        <v>46258.858275462961</v>
      </c>
      <c r="O41" s="1">
        <v>46258.849988425929</v>
      </c>
      <c r="P41" t="s">
        <v>698</v>
      </c>
      <c r="Q41" t="s">
        <v>674</v>
      </c>
      <c r="R41">
        <v>10</v>
      </c>
      <c r="S41">
        <v>12</v>
      </c>
      <c r="T41" t="s">
        <v>674</v>
      </c>
      <c r="U41" t="s">
        <v>479</v>
      </c>
      <c r="V41" t="s">
        <v>674</v>
      </c>
      <c r="W41" t="s">
        <v>674</v>
      </c>
      <c r="X41" t="s">
        <v>674</v>
      </c>
      <c r="Y41" t="s">
        <v>674</v>
      </c>
      <c r="Z41" t="s">
        <v>674</v>
      </c>
      <c r="AA41" t="s">
        <v>674</v>
      </c>
      <c r="AB41" t="s">
        <v>674</v>
      </c>
      <c r="AC41" t="s">
        <v>97</v>
      </c>
      <c r="AD41" t="s">
        <v>674</v>
      </c>
      <c r="AE41" t="s">
        <v>674</v>
      </c>
      <c r="AF41" t="s">
        <v>674</v>
      </c>
      <c r="AG41" t="s">
        <v>674</v>
      </c>
      <c r="AH41" t="s">
        <v>99</v>
      </c>
      <c r="AJ41" t="s">
        <v>674</v>
      </c>
      <c r="AK41" t="s">
        <v>674</v>
      </c>
      <c r="AL41" t="s">
        <v>484</v>
      </c>
      <c r="AM41" t="s">
        <v>674</v>
      </c>
      <c r="AN41" t="s">
        <v>444</v>
      </c>
      <c r="AO41" t="s">
        <v>674</v>
      </c>
      <c r="AP41" t="s">
        <v>674</v>
      </c>
      <c r="AQ41" t="s">
        <v>674</v>
      </c>
      <c r="AR41" t="s">
        <v>674</v>
      </c>
      <c r="AS41" t="s">
        <v>674</v>
      </c>
      <c r="AT41" t="s">
        <v>674</v>
      </c>
      <c r="AU41" t="s">
        <v>674</v>
      </c>
      <c r="AV41" t="s">
        <v>674</v>
      </c>
      <c r="AW41" t="s">
        <v>674</v>
      </c>
      <c r="AX41" t="s">
        <v>674</v>
      </c>
      <c r="AY41" t="s">
        <v>674</v>
      </c>
      <c r="AZ41" t="s">
        <v>674</v>
      </c>
      <c r="BA41" t="s">
        <v>674</v>
      </c>
      <c r="BB41" t="s">
        <v>674</v>
      </c>
      <c r="BC41" t="s">
        <v>674</v>
      </c>
      <c r="BD41" t="s">
        <v>674</v>
      </c>
      <c r="BE41" t="s">
        <v>674</v>
      </c>
      <c r="BF41" t="s">
        <v>674</v>
      </c>
      <c r="BG41" t="s">
        <v>674</v>
      </c>
      <c r="BH41" t="s">
        <v>674</v>
      </c>
      <c r="BI41" t="s">
        <v>674</v>
      </c>
      <c r="BJ41" t="s">
        <v>674</v>
      </c>
      <c r="BK41" t="s">
        <v>674</v>
      </c>
      <c r="BL41" t="s">
        <v>674</v>
      </c>
      <c r="BM41" t="s">
        <v>674</v>
      </c>
      <c r="BN41" t="s">
        <v>674</v>
      </c>
      <c r="BO41" t="s">
        <v>674</v>
      </c>
      <c r="BP41" t="s">
        <v>674</v>
      </c>
      <c r="BQ41" t="s">
        <v>674</v>
      </c>
      <c r="BR41" t="s">
        <v>674</v>
      </c>
      <c r="BS41" t="s">
        <v>674</v>
      </c>
      <c r="BT41" t="s">
        <v>674</v>
      </c>
      <c r="BU41" t="s">
        <v>674</v>
      </c>
      <c r="BV41" t="s">
        <v>674</v>
      </c>
      <c r="BW41" t="s">
        <v>674</v>
      </c>
      <c r="BX41" t="s">
        <v>674</v>
      </c>
      <c r="BY41" t="s">
        <v>674</v>
      </c>
      <c r="BZ41" t="s">
        <v>674</v>
      </c>
      <c r="CA41" t="s">
        <v>674</v>
      </c>
      <c r="CB41" t="s">
        <v>674</v>
      </c>
      <c r="CC41" t="s">
        <v>674</v>
      </c>
      <c r="CD41" t="s">
        <v>674</v>
      </c>
      <c r="CE41" t="s">
        <v>674</v>
      </c>
      <c r="CF41" t="s">
        <v>674</v>
      </c>
      <c r="CG41" t="s">
        <v>674</v>
      </c>
      <c r="CH41" t="s">
        <v>674</v>
      </c>
      <c r="CI41" t="s">
        <v>674</v>
      </c>
    </row>
    <row r="42" spans="1:87" x14ac:dyDescent="0.25">
      <c r="A42" t="s">
        <v>485</v>
      </c>
      <c r="B42" t="s">
        <v>126</v>
      </c>
      <c r="C42">
        <v>2016</v>
      </c>
      <c r="D42" t="s">
        <v>486</v>
      </c>
      <c r="E42" t="s">
        <v>487</v>
      </c>
      <c r="F42" t="s">
        <v>488</v>
      </c>
      <c r="G42" t="s">
        <v>489</v>
      </c>
      <c r="H42" t="s">
        <v>674</v>
      </c>
      <c r="I42" t="s">
        <v>490</v>
      </c>
      <c r="J42" t="s">
        <v>491</v>
      </c>
      <c r="K42" t="s">
        <v>674</v>
      </c>
      <c r="L42" t="s">
        <v>492</v>
      </c>
      <c r="M42" s="1">
        <v>46258.850057870368</v>
      </c>
      <c r="N42" s="1">
        <v>46258.856874999998</v>
      </c>
      <c r="O42" s="1">
        <v>46258.850057870368</v>
      </c>
      <c r="P42" t="s">
        <v>493</v>
      </c>
      <c r="Q42" t="s">
        <v>674</v>
      </c>
      <c r="T42" t="s">
        <v>674</v>
      </c>
      <c r="U42" t="s">
        <v>674</v>
      </c>
      <c r="V42" t="s">
        <v>674</v>
      </c>
      <c r="W42" t="s">
        <v>674</v>
      </c>
      <c r="X42" t="s">
        <v>674</v>
      </c>
      <c r="Y42" t="s">
        <v>674</v>
      </c>
      <c r="Z42" t="s">
        <v>674</v>
      </c>
      <c r="AA42" t="s">
        <v>133</v>
      </c>
      <c r="AB42" t="s">
        <v>494</v>
      </c>
      <c r="AC42" t="s">
        <v>674</v>
      </c>
      <c r="AD42" t="s">
        <v>674</v>
      </c>
      <c r="AE42" t="s">
        <v>674</v>
      </c>
      <c r="AF42" t="s">
        <v>674</v>
      </c>
      <c r="AG42" t="s">
        <v>674</v>
      </c>
      <c r="AH42" t="s">
        <v>99</v>
      </c>
      <c r="AJ42" t="s">
        <v>674</v>
      </c>
      <c r="AK42" t="s">
        <v>674</v>
      </c>
      <c r="AL42" t="s">
        <v>495</v>
      </c>
      <c r="AM42" t="s">
        <v>674</v>
      </c>
      <c r="AN42" t="s">
        <v>444</v>
      </c>
      <c r="AO42" t="s">
        <v>674</v>
      </c>
      <c r="AP42" t="s">
        <v>674</v>
      </c>
      <c r="AQ42" t="s">
        <v>674</v>
      </c>
      <c r="AR42" t="s">
        <v>674</v>
      </c>
      <c r="AS42" t="s">
        <v>674</v>
      </c>
      <c r="AT42" t="s">
        <v>674</v>
      </c>
      <c r="AU42" t="s">
        <v>674</v>
      </c>
      <c r="AV42" t="s">
        <v>674</v>
      </c>
      <c r="AW42" t="s">
        <v>674</v>
      </c>
      <c r="AX42" t="s">
        <v>674</v>
      </c>
      <c r="AY42" t="s">
        <v>674</v>
      </c>
      <c r="AZ42" t="s">
        <v>674</v>
      </c>
      <c r="BA42" t="s">
        <v>674</v>
      </c>
      <c r="BB42" t="s">
        <v>674</v>
      </c>
      <c r="BC42" t="s">
        <v>674</v>
      </c>
      <c r="BD42" t="s">
        <v>674</v>
      </c>
      <c r="BE42" t="s">
        <v>674</v>
      </c>
      <c r="BF42" t="s">
        <v>674</v>
      </c>
      <c r="BG42" t="s">
        <v>674</v>
      </c>
      <c r="BH42" t="s">
        <v>674</v>
      </c>
      <c r="BI42" t="s">
        <v>674</v>
      </c>
      <c r="BJ42" t="s">
        <v>674</v>
      </c>
      <c r="BK42" t="s">
        <v>674</v>
      </c>
      <c r="BL42" t="s">
        <v>674</v>
      </c>
      <c r="BM42" t="s">
        <v>674</v>
      </c>
      <c r="BN42" t="s">
        <v>674</v>
      </c>
      <c r="BO42" t="s">
        <v>674</v>
      </c>
      <c r="BP42" t="s">
        <v>674</v>
      </c>
      <c r="BQ42" t="s">
        <v>674</v>
      </c>
      <c r="BR42" t="s">
        <v>674</v>
      </c>
      <c r="BS42" t="s">
        <v>674</v>
      </c>
      <c r="BT42" t="s">
        <v>488</v>
      </c>
      <c r="BU42" t="s">
        <v>674</v>
      </c>
      <c r="BV42" t="s">
        <v>674</v>
      </c>
      <c r="BW42" t="s">
        <v>674</v>
      </c>
      <c r="BX42" t="s">
        <v>674</v>
      </c>
      <c r="BY42" t="s">
        <v>674</v>
      </c>
      <c r="BZ42" t="s">
        <v>674</v>
      </c>
      <c r="CA42" t="s">
        <v>674</v>
      </c>
      <c r="CB42" t="s">
        <v>674</v>
      </c>
      <c r="CC42" t="s">
        <v>674</v>
      </c>
      <c r="CD42" t="s">
        <v>674</v>
      </c>
      <c r="CE42" t="s">
        <v>674</v>
      </c>
      <c r="CF42" t="s">
        <v>674</v>
      </c>
      <c r="CG42" t="s">
        <v>674</v>
      </c>
      <c r="CH42" t="s">
        <v>674</v>
      </c>
      <c r="CI42" t="s">
        <v>674</v>
      </c>
    </row>
    <row r="43" spans="1:87" x14ac:dyDescent="0.25">
      <c r="A43" t="s">
        <v>496</v>
      </c>
      <c r="B43" t="s">
        <v>88</v>
      </c>
      <c r="C43">
        <v>2015</v>
      </c>
      <c r="D43" t="s">
        <v>497</v>
      </c>
      <c r="E43" t="s">
        <v>498</v>
      </c>
      <c r="F43" t="s">
        <v>499</v>
      </c>
      <c r="G43" t="s">
        <v>674</v>
      </c>
      <c r="H43" t="s">
        <v>500</v>
      </c>
      <c r="I43" t="s">
        <v>501</v>
      </c>
      <c r="J43" t="s">
        <v>502</v>
      </c>
      <c r="K43" t="s">
        <v>674</v>
      </c>
      <c r="L43" t="s">
        <v>503</v>
      </c>
      <c r="M43" s="1">
        <v>46258.850173611114</v>
      </c>
      <c r="N43" s="1">
        <v>46258.853460648148</v>
      </c>
      <c r="O43" s="1">
        <v>46258.850162037037</v>
      </c>
      <c r="P43" t="s">
        <v>504</v>
      </c>
      <c r="Q43" t="s">
        <v>674</v>
      </c>
      <c r="R43">
        <v>8</v>
      </c>
      <c r="S43">
        <v>30</v>
      </c>
      <c r="T43" t="s">
        <v>674</v>
      </c>
      <c r="U43" t="s">
        <v>505</v>
      </c>
      <c r="V43" t="s">
        <v>674</v>
      </c>
      <c r="W43" t="s">
        <v>674</v>
      </c>
      <c r="X43" t="s">
        <v>674</v>
      </c>
      <c r="Y43" t="s">
        <v>674</v>
      </c>
      <c r="Z43" t="s">
        <v>674</v>
      </c>
      <c r="AA43" t="s">
        <v>674</v>
      </c>
      <c r="AB43" t="s">
        <v>674</v>
      </c>
      <c r="AC43" t="s">
        <v>674</v>
      </c>
      <c r="AD43" t="s">
        <v>122</v>
      </c>
      <c r="AE43" t="s">
        <v>674</v>
      </c>
      <c r="AF43" t="s">
        <v>674</v>
      </c>
      <c r="AG43" t="s">
        <v>674</v>
      </c>
      <c r="AH43" t="s">
        <v>99</v>
      </c>
      <c r="AJ43" t="s">
        <v>674</v>
      </c>
      <c r="AK43" t="s">
        <v>674</v>
      </c>
      <c r="AL43" t="s">
        <v>506</v>
      </c>
      <c r="AM43" t="s">
        <v>674</v>
      </c>
      <c r="AN43" t="s">
        <v>507</v>
      </c>
      <c r="AO43" t="s">
        <v>674</v>
      </c>
      <c r="AP43" t="s">
        <v>674</v>
      </c>
      <c r="AQ43" t="s">
        <v>674</v>
      </c>
      <c r="AR43" t="s">
        <v>674</v>
      </c>
      <c r="AS43" t="s">
        <v>674</v>
      </c>
      <c r="AT43" t="s">
        <v>674</v>
      </c>
      <c r="AU43" t="s">
        <v>674</v>
      </c>
      <c r="AV43" t="s">
        <v>674</v>
      </c>
      <c r="AW43" t="s">
        <v>674</v>
      </c>
      <c r="AX43" t="s">
        <v>674</v>
      </c>
      <c r="AY43" t="s">
        <v>674</v>
      </c>
      <c r="AZ43" t="s">
        <v>674</v>
      </c>
      <c r="BA43" t="s">
        <v>674</v>
      </c>
      <c r="BB43" t="s">
        <v>674</v>
      </c>
      <c r="BC43" t="s">
        <v>674</v>
      </c>
      <c r="BD43" t="s">
        <v>674</v>
      </c>
      <c r="BE43" t="s">
        <v>674</v>
      </c>
      <c r="BF43" t="s">
        <v>674</v>
      </c>
      <c r="BG43" t="s">
        <v>674</v>
      </c>
      <c r="BH43" t="s">
        <v>674</v>
      </c>
      <c r="BI43" t="s">
        <v>674</v>
      </c>
      <c r="BJ43" t="s">
        <v>674</v>
      </c>
      <c r="BK43" t="s">
        <v>674</v>
      </c>
      <c r="BL43" t="s">
        <v>674</v>
      </c>
      <c r="BM43" t="s">
        <v>674</v>
      </c>
      <c r="BN43" t="s">
        <v>674</v>
      </c>
      <c r="BO43" t="s">
        <v>674</v>
      </c>
      <c r="BP43" t="s">
        <v>674</v>
      </c>
      <c r="BQ43" t="s">
        <v>674</v>
      </c>
      <c r="BR43" t="s">
        <v>674</v>
      </c>
      <c r="BS43" t="s">
        <v>674</v>
      </c>
      <c r="BT43" t="s">
        <v>674</v>
      </c>
      <c r="BU43" t="s">
        <v>674</v>
      </c>
      <c r="BV43" t="s">
        <v>674</v>
      </c>
      <c r="BW43" t="s">
        <v>674</v>
      </c>
      <c r="BX43" t="s">
        <v>674</v>
      </c>
      <c r="BY43" t="s">
        <v>674</v>
      </c>
      <c r="BZ43" t="s">
        <v>674</v>
      </c>
      <c r="CA43" t="s">
        <v>674</v>
      </c>
      <c r="CB43" t="s">
        <v>674</v>
      </c>
      <c r="CC43" t="s">
        <v>674</v>
      </c>
      <c r="CD43" t="s">
        <v>674</v>
      </c>
      <c r="CE43" t="s">
        <v>674</v>
      </c>
      <c r="CF43" t="s">
        <v>674</v>
      </c>
      <c r="CG43" t="s">
        <v>674</v>
      </c>
      <c r="CH43" t="s">
        <v>674</v>
      </c>
      <c r="CI43" t="s">
        <v>674</v>
      </c>
    </row>
    <row r="44" spans="1:87" x14ac:dyDescent="0.25">
      <c r="A44" t="s">
        <v>699</v>
      </c>
      <c r="B44" t="s">
        <v>88</v>
      </c>
      <c r="C44">
        <v>2016</v>
      </c>
      <c r="D44" t="s">
        <v>700</v>
      </c>
      <c r="E44" t="s">
        <v>701</v>
      </c>
      <c r="F44" t="s">
        <v>702</v>
      </c>
      <c r="G44" t="s">
        <v>674</v>
      </c>
      <c r="H44" t="s">
        <v>703</v>
      </c>
      <c r="I44" t="s">
        <v>704</v>
      </c>
      <c r="J44" t="s">
        <v>705</v>
      </c>
      <c r="K44" t="s">
        <v>706</v>
      </c>
      <c r="L44" t="s">
        <v>707</v>
      </c>
      <c r="M44" s="1">
        <v>46274.897604166668</v>
      </c>
      <c r="N44" s="1">
        <v>46274.897650462961</v>
      </c>
      <c r="O44" s="1">
        <v>46274.897604166668</v>
      </c>
      <c r="P44" t="s">
        <v>708</v>
      </c>
      <c r="Q44" t="s">
        <v>674</v>
      </c>
      <c r="R44">
        <v>1</v>
      </c>
      <c r="S44">
        <v>12</v>
      </c>
      <c r="T44" t="s">
        <v>674</v>
      </c>
      <c r="U44" t="s">
        <v>702</v>
      </c>
      <c r="V44" t="s">
        <v>709</v>
      </c>
      <c r="W44" t="s">
        <v>674</v>
      </c>
      <c r="X44" t="s">
        <v>674</v>
      </c>
      <c r="Y44" t="s">
        <v>674</v>
      </c>
      <c r="Z44" t="s">
        <v>674</v>
      </c>
      <c r="AA44" t="s">
        <v>674</v>
      </c>
      <c r="AB44" t="s">
        <v>674</v>
      </c>
      <c r="AC44" t="s">
        <v>710</v>
      </c>
      <c r="AD44" t="s">
        <v>674</v>
      </c>
      <c r="AE44" t="s">
        <v>674</v>
      </c>
      <c r="AF44" t="s">
        <v>674</v>
      </c>
      <c r="AG44" t="s">
        <v>674</v>
      </c>
      <c r="AH44" t="s">
        <v>99</v>
      </c>
      <c r="AJ44" t="s">
        <v>674</v>
      </c>
      <c r="AK44" t="s">
        <v>674</v>
      </c>
      <c r="AL44" t="s">
        <v>711</v>
      </c>
      <c r="AM44" t="s">
        <v>674</v>
      </c>
      <c r="AN44" t="s">
        <v>674</v>
      </c>
      <c r="AO44" t="s">
        <v>712</v>
      </c>
      <c r="AP44" t="s">
        <v>674</v>
      </c>
      <c r="AQ44" t="s">
        <v>674</v>
      </c>
      <c r="AR44" t="s">
        <v>674</v>
      </c>
      <c r="AS44" t="s">
        <v>674</v>
      </c>
      <c r="AT44" t="s">
        <v>674</v>
      </c>
      <c r="AU44" t="s">
        <v>674</v>
      </c>
      <c r="AV44" t="s">
        <v>674</v>
      </c>
      <c r="AW44" t="s">
        <v>674</v>
      </c>
      <c r="AX44" t="s">
        <v>674</v>
      </c>
      <c r="AY44" t="s">
        <v>674</v>
      </c>
      <c r="AZ44" t="s">
        <v>674</v>
      </c>
      <c r="BA44" t="s">
        <v>674</v>
      </c>
      <c r="BB44" t="s">
        <v>674</v>
      </c>
      <c r="BC44" t="s">
        <v>674</v>
      </c>
      <c r="BD44" t="s">
        <v>674</v>
      </c>
      <c r="BE44" t="s">
        <v>674</v>
      </c>
      <c r="BF44" t="s">
        <v>674</v>
      </c>
      <c r="BG44" t="s">
        <v>674</v>
      </c>
      <c r="BH44" t="s">
        <v>674</v>
      </c>
      <c r="BI44" t="s">
        <v>674</v>
      </c>
      <c r="BJ44" t="s">
        <v>674</v>
      </c>
      <c r="BK44" t="s">
        <v>674</v>
      </c>
      <c r="BL44" t="s">
        <v>674</v>
      </c>
      <c r="BM44" t="s">
        <v>674</v>
      </c>
      <c r="BN44" t="s">
        <v>674</v>
      </c>
      <c r="BO44" t="s">
        <v>674</v>
      </c>
      <c r="BP44" t="s">
        <v>674</v>
      </c>
      <c r="BQ44" t="s">
        <v>674</v>
      </c>
      <c r="BR44" t="s">
        <v>674</v>
      </c>
      <c r="BS44" t="s">
        <v>674</v>
      </c>
      <c r="BT44" t="s">
        <v>674</v>
      </c>
      <c r="BU44" t="s">
        <v>674</v>
      </c>
      <c r="BV44" t="s">
        <v>674</v>
      </c>
      <c r="BW44" t="s">
        <v>674</v>
      </c>
      <c r="BX44" t="s">
        <v>674</v>
      </c>
      <c r="BY44" t="s">
        <v>674</v>
      </c>
      <c r="BZ44" t="s">
        <v>674</v>
      </c>
      <c r="CA44" t="s">
        <v>674</v>
      </c>
      <c r="CB44" t="s">
        <v>674</v>
      </c>
      <c r="CC44" t="s">
        <v>674</v>
      </c>
      <c r="CD44" t="s">
        <v>674</v>
      </c>
      <c r="CE44" t="s">
        <v>674</v>
      </c>
      <c r="CF44" t="s">
        <v>674</v>
      </c>
      <c r="CG44" t="s">
        <v>674</v>
      </c>
      <c r="CH44" t="s">
        <v>674</v>
      </c>
      <c r="CI44" t="s">
        <v>674</v>
      </c>
    </row>
    <row r="45" spans="1:87" x14ac:dyDescent="0.25">
      <c r="A45" t="s">
        <v>713</v>
      </c>
      <c r="B45" t="s">
        <v>88</v>
      </c>
      <c r="D45" t="s">
        <v>406</v>
      </c>
      <c r="E45" t="s">
        <v>407</v>
      </c>
      <c r="F45" t="s">
        <v>674</v>
      </c>
      <c r="G45" t="s">
        <v>674</v>
      </c>
      <c r="H45" t="s">
        <v>674</v>
      </c>
      <c r="I45" t="s">
        <v>674</v>
      </c>
      <c r="J45" t="s">
        <v>674</v>
      </c>
      <c r="K45" t="s">
        <v>408</v>
      </c>
      <c r="L45" t="s">
        <v>674</v>
      </c>
      <c r="M45" s="1">
        <v>46274.897893518515</v>
      </c>
      <c r="N45" s="1">
        <v>46274.897905092592</v>
      </c>
      <c r="O45" s="1"/>
      <c r="P45" t="s">
        <v>674</v>
      </c>
      <c r="Q45" t="s">
        <v>674</v>
      </c>
      <c r="T45" t="s">
        <v>674</v>
      </c>
      <c r="U45" t="s">
        <v>674</v>
      </c>
      <c r="V45" t="s">
        <v>674</v>
      </c>
      <c r="W45" t="s">
        <v>674</v>
      </c>
      <c r="X45" t="s">
        <v>674</v>
      </c>
      <c r="Y45" t="s">
        <v>674</v>
      </c>
      <c r="Z45" t="s">
        <v>674</v>
      </c>
      <c r="AA45" t="s">
        <v>674</v>
      </c>
      <c r="AB45" t="s">
        <v>674</v>
      </c>
      <c r="AC45" t="s">
        <v>97</v>
      </c>
      <c r="AD45" t="s">
        <v>674</v>
      </c>
      <c r="AE45" t="s">
        <v>674</v>
      </c>
      <c r="AF45" t="s">
        <v>674</v>
      </c>
      <c r="AG45" t="s">
        <v>674</v>
      </c>
      <c r="AH45" t="s">
        <v>163</v>
      </c>
      <c r="AJ45" t="s">
        <v>674</v>
      </c>
      <c r="AK45" t="s">
        <v>674</v>
      </c>
      <c r="AL45" t="s">
        <v>714</v>
      </c>
      <c r="AM45" t="s">
        <v>674</v>
      </c>
      <c r="AN45" t="s">
        <v>674</v>
      </c>
      <c r="AO45" t="s">
        <v>712</v>
      </c>
      <c r="AP45" t="s">
        <v>674</v>
      </c>
      <c r="AQ45" t="s">
        <v>674</v>
      </c>
      <c r="AR45" t="s">
        <v>674</v>
      </c>
      <c r="AS45" t="s">
        <v>674</v>
      </c>
      <c r="AT45" t="s">
        <v>674</v>
      </c>
      <c r="AU45" t="s">
        <v>674</v>
      </c>
      <c r="AV45" t="s">
        <v>674</v>
      </c>
      <c r="AW45" t="s">
        <v>674</v>
      </c>
      <c r="AX45" t="s">
        <v>674</v>
      </c>
      <c r="AY45" t="s">
        <v>674</v>
      </c>
      <c r="AZ45" t="s">
        <v>674</v>
      </c>
      <c r="BA45" t="s">
        <v>674</v>
      </c>
      <c r="BB45" t="s">
        <v>674</v>
      </c>
      <c r="BC45" t="s">
        <v>674</v>
      </c>
      <c r="BD45" t="s">
        <v>674</v>
      </c>
      <c r="BE45" t="s">
        <v>674</v>
      </c>
      <c r="BF45" t="s">
        <v>674</v>
      </c>
      <c r="BG45" t="s">
        <v>674</v>
      </c>
      <c r="BH45" t="s">
        <v>674</v>
      </c>
      <c r="BI45" t="s">
        <v>674</v>
      </c>
      <c r="BJ45" t="s">
        <v>674</v>
      </c>
      <c r="BK45" t="s">
        <v>674</v>
      </c>
      <c r="BL45" t="s">
        <v>674</v>
      </c>
      <c r="BM45" t="s">
        <v>674</v>
      </c>
      <c r="BN45" t="s">
        <v>674</v>
      </c>
      <c r="BO45" t="s">
        <v>674</v>
      </c>
      <c r="BP45" t="s">
        <v>674</v>
      </c>
      <c r="BQ45" t="s">
        <v>674</v>
      </c>
      <c r="BR45" t="s">
        <v>674</v>
      </c>
      <c r="BS45" t="s">
        <v>674</v>
      </c>
      <c r="BT45" t="s">
        <v>674</v>
      </c>
      <c r="BU45" t="s">
        <v>674</v>
      </c>
      <c r="BV45" t="s">
        <v>674</v>
      </c>
      <c r="BW45" t="s">
        <v>674</v>
      </c>
      <c r="BX45" t="s">
        <v>674</v>
      </c>
      <c r="BY45" t="s">
        <v>674</v>
      </c>
      <c r="BZ45" t="s">
        <v>674</v>
      </c>
      <c r="CA45" t="s">
        <v>674</v>
      </c>
      <c r="CB45" t="s">
        <v>674</v>
      </c>
      <c r="CC45" t="s">
        <v>674</v>
      </c>
      <c r="CD45" t="s">
        <v>674</v>
      </c>
      <c r="CE45" t="s">
        <v>674</v>
      </c>
      <c r="CF45" t="s">
        <v>674</v>
      </c>
      <c r="CG45" t="s">
        <v>674</v>
      </c>
      <c r="CH45" t="s">
        <v>674</v>
      </c>
      <c r="CI45" t="s">
        <v>674</v>
      </c>
    </row>
    <row r="46" spans="1:87" x14ac:dyDescent="0.25">
      <c r="A46" t="s">
        <v>715</v>
      </c>
      <c r="B46" t="s">
        <v>88</v>
      </c>
      <c r="C46">
        <v>2025</v>
      </c>
      <c r="D46" t="s">
        <v>716</v>
      </c>
      <c r="E46" t="s">
        <v>717</v>
      </c>
      <c r="F46" t="s">
        <v>674</v>
      </c>
      <c r="G46" t="s">
        <v>674</v>
      </c>
      <c r="H46" t="s">
        <v>718</v>
      </c>
      <c r="I46" t="s">
        <v>719</v>
      </c>
      <c r="J46" t="s">
        <v>720</v>
      </c>
      <c r="K46" t="s">
        <v>721</v>
      </c>
      <c r="L46" t="s">
        <v>722</v>
      </c>
      <c r="M46" s="1">
        <v>46274.898217592592</v>
      </c>
      <c r="N46" s="1">
        <v>46274.898298611108</v>
      </c>
      <c r="O46" s="1">
        <v>46274.898217592592</v>
      </c>
      <c r="P46" t="s">
        <v>674</v>
      </c>
      <c r="Q46" t="s">
        <v>674</v>
      </c>
      <c r="T46" t="s">
        <v>674</v>
      </c>
      <c r="U46" t="s">
        <v>674</v>
      </c>
      <c r="V46" t="s">
        <v>674</v>
      </c>
      <c r="W46" t="s">
        <v>674</v>
      </c>
      <c r="X46" t="s">
        <v>674</v>
      </c>
      <c r="Y46" t="s">
        <v>674</v>
      </c>
      <c r="Z46" t="s">
        <v>674</v>
      </c>
      <c r="AA46" t="s">
        <v>723</v>
      </c>
      <c r="AB46" t="s">
        <v>674</v>
      </c>
      <c r="AC46" t="s">
        <v>97</v>
      </c>
      <c r="AD46" t="s">
        <v>724</v>
      </c>
      <c r="AE46" t="s">
        <v>674</v>
      </c>
      <c r="AF46" t="s">
        <v>674</v>
      </c>
      <c r="AG46" t="s">
        <v>674</v>
      </c>
      <c r="AH46" t="s">
        <v>725</v>
      </c>
      <c r="AJ46" t="s">
        <v>674</v>
      </c>
      <c r="AK46" t="s">
        <v>674</v>
      </c>
      <c r="AL46" t="s">
        <v>726</v>
      </c>
      <c r="AM46" t="s">
        <v>674</v>
      </c>
      <c r="AN46" t="s">
        <v>674</v>
      </c>
      <c r="AO46" t="s">
        <v>727</v>
      </c>
      <c r="AP46" t="s">
        <v>674</v>
      </c>
      <c r="AQ46" t="s">
        <v>674</v>
      </c>
      <c r="AR46" t="s">
        <v>674</v>
      </c>
      <c r="AS46" t="s">
        <v>674</v>
      </c>
      <c r="AT46" t="s">
        <v>674</v>
      </c>
      <c r="AU46" t="s">
        <v>674</v>
      </c>
      <c r="AV46" t="s">
        <v>674</v>
      </c>
      <c r="AW46" t="s">
        <v>674</v>
      </c>
      <c r="AX46" t="s">
        <v>674</v>
      </c>
      <c r="AY46" t="s">
        <v>674</v>
      </c>
      <c r="AZ46" t="s">
        <v>674</v>
      </c>
      <c r="BA46" t="s">
        <v>674</v>
      </c>
      <c r="BB46" t="s">
        <v>674</v>
      </c>
      <c r="BC46" t="s">
        <v>674</v>
      </c>
      <c r="BD46" t="s">
        <v>674</v>
      </c>
      <c r="BE46" t="s">
        <v>674</v>
      </c>
      <c r="BF46" t="s">
        <v>674</v>
      </c>
      <c r="BG46" t="s">
        <v>674</v>
      </c>
      <c r="BH46" t="s">
        <v>674</v>
      </c>
      <c r="BI46" t="s">
        <v>674</v>
      </c>
      <c r="BJ46" t="s">
        <v>674</v>
      </c>
      <c r="BK46" t="s">
        <v>674</v>
      </c>
      <c r="BL46" t="s">
        <v>674</v>
      </c>
      <c r="BM46" t="s">
        <v>674</v>
      </c>
      <c r="BN46" t="s">
        <v>674</v>
      </c>
      <c r="BO46" t="s">
        <v>674</v>
      </c>
      <c r="BP46" t="s">
        <v>674</v>
      </c>
      <c r="BQ46" t="s">
        <v>674</v>
      </c>
      <c r="BR46" t="s">
        <v>674</v>
      </c>
      <c r="BS46" t="s">
        <v>674</v>
      </c>
      <c r="BT46" t="s">
        <v>674</v>
      </c>
      <c r="BU46" t="s">
        <v>674</v>
      </c>
      <c r="BV46" t="s">
        <v>674</v>
      </c>
      <c r="BW46" t="s">
        <v>674</v>
      </c>
      <c r="BX46" t="s">
        <v>674</v>
      </c>
      <c r="BY46" t="s">
        <v>674</v>
      </c>
      <c r="BZ46" t="s">
        <v>674</v>
      </c>
      <c r="CA46" t="s">
        <v>674</v>
      </c>
      <c r="CB46" t="s">
        <v>674</v>
      </c>
      <c r="CC46" t="s">
        <v>674</v>
      </c>
      <c r="CD46" t="s">
        <v>674</v>
      </c>
      <c r="CE46" t="s">
        <v>674</v>
      </c>
      <c r="CF46" t="s">
        <v>674</v>
      </c>
      <c r="CG46" t="s">
        <v>674</v>
      </c>
      <c r="CH46" t="s">
        <v>674</v>
      </c>
      <c r="CI46" t="s">
        <v>674</v>
      </c>
    </row>
    <row r="47" spans="1:87" x14ac:dyDescent="0.25">
      <c r="A47" t="s">
        <v>728</v>
      </c>
      <c r="B47" t="s">
        <v>88</v>
      </c>
      <c r="C47">
        <v>2015</v>
      </c>
      <c r="D47" t="s">
        <v>729</v>
      </c>
      <c r="E47" t="s">
        <v>730</v>
      </c>
      <c r="F47" t="s">
        <v>115</v>
      </c>
      <c r="G47" t="s">
        <v>674</v>
      </c>
      <c r="H47" t="s">
        <v>116</v>
      </c>
      <c r="I47" t="s">
        <v>731</v>
      </c>
      <c r="J47" t="s">
        <v>732</v>
      </c>
      <c r="K47" t="s">
        <v>733</v>
      </c>
      <c r="L47" t="s">
        <v>734</v>
      </c>
      <c r="M47" s="1">
        <v>46274.898888888885</v>
      </c>
      <c r="N47" s="1">
        <v>46274.898969907408</v>
      </c>
      <c r="O47" s="1">
        <v>46274.898888888885</v>
      </c>
      <c r="P47" t="s">
        <v>735</v>
      </c>
      <c r="Q47" t="s">
        <v>674</v>
      </c>
      <c r="R47">
        <v>11</v>
      </c>
      <c r="S47">
        <v>62</v>
      </c>
      <c r="T47" t="s">
        <v>674</v>
      </c>
      <c r="U47" t="s">
        <v>121</v>
      </c>
      <c r="V47" t="s">
        <v>674</v>
      </c>
      <c r="W47" t="s">
        <v>674</v>
      </c>
      <c r="X47" t="s">
        <v>674</v>
      </c>
      <c r="Y47" t="s">
        <v>674</v>
      </c>
      <c r="Z47" t="s">
        <v>674</v>
      </c>
      <c r="AA47" t="s">
        <v>674</v>
      </c>
      <c r="AB47" t="s">
        <v>674</v>
      </c>
      <c r="AC47" t="s">
        <v>97</v>
      </c>
      <c r="AD47" t="s">
        <v>122</v>
      </c>
      <c r="AE47" t="s">
        <v>674</v>
      </c>
      <c r="AF47" t="s">
        <v>674</v>
      </c>
      <c r="AG47" t="s">
        <v>674</v>
      </c>
      <c r="AH47" t="s">
        <v>99</v>
      </c>
      <c r="AJ47" t="s">
        <v>674</v>
      </c>
      <c r="AK47" t="s">
        <v>674</v>
      </c>
      <c r="AL47" t="s">
        <v>736</v>
      </c>
      <c r="AM47" t="s">
        <v>674</v>
      </c>
      <c r="AN47" t="s">
        <v>674</v>
      </c>
      <c r="AO47" t="s">
        <v>712</v>
      </c>
      <c r="AP47" t="s">
        <v>674</v>
      </c>
      <c r="AQ47" t="s">
        <v>674</v>
      </c>
      <c r="AR47" t="s">
        <v>674</v>
      </c>
      <c r="AS47" t="s">
        <v>674</v>
      </c>
      <c r="AT47" t="s">
        <v>674</v>
      </c>
      <c r="AU47" t="s">
        <v>674</v>
      </c>
      <c r="AV47" t="s">
        <v>674</v>
      </c>
      <c r="AW47" t="s">
        <v>674</v>
      </c>
      <c r="AX47" t="s">
        <v>674</v>
      </c>
      <c r="AY47" t="s">
        <v>674</v>
      </c>
      <c r="AZ47" t="s">
        <v>674</v>
      </c>
      <c r="BA47" t="s">
        <v>674</v>
      </c>
      <c r="BB47" t="s">
        <v>674</v>
      </c>
      <c r="BC47" t="s">
        <v>674</v>
      </c>
      <c r="BD47" t="s">
        <v>674</v>
      </c>
      <c r="BE47" t="s">
        <v>674</v>
      </c>
      <c r="BF47" t="s">
        <v>674</v>
      </c>
      <c r="BG47" t="s">
        <v>674</v>
      </c>
      <c r="BH47" t="s">
        <v>674</v>
      </c>
      <c r="BI47" t="s">
        <v>674</v>
      </c>
      <c r="BJ47" t="s">
        <v>674</v>
      </c>
      <c r="BK47" t="s">
        <v>674</v>
      </c>
      <c r="BL47" t="s">
        <v>674</v>
      </c>
      <c r="BM47" t="s">
        <v>674</v>
      </c>
      <c r="BN47" t="s">
        <v>674</v>
      </c>
      <c r="BO47" t="s">
        <v>674</v>
      </c>
      <c r="BP47" t="s">
        <v>674</v>
      </c>
      <c r="BQ47" t="s">
        <v>674</v>
      </c>
      <c r="BR47" t="s">
        <v>674</v>
      </c>
      <c r="BS47" t="s">
        <v>674</v>
      </c>
      <c r="BT47" t="s">
        <v>674</v>
      </c>
      <c r="BU47" t="s">
        <v>674</v>
      </c>
      <c r="BV47" t="s">
        <v>674</v>
      </c>
      <c r="BW47" t="s">
        <v>674</v>
      </c>
      <c r="BX47" t="s">
        <v>674</v>
      </c>
      <c r="BY47" t="s">
        <v>674</v>
      </c>
      <c r="BZ47" t="s">
        <v>674</v>
      </c>
      <c r="CA47" t="s">
        <v>674</v>
      </c>
      <c r="CB47" t="s">
        <v>674</v>
      </c>
      <c r="CC47" t="s">
        <v>674</v>
      </c>
      <c r="CD47" t="s">
        <v>674</v>
      </c>
      <c r="CE47" t="s">
        <v>674</v>
      </c>
      <c r="CF47" t="s">
        <v>674</v>
      </c>
      <c r="CG47" t="s">
        <v>674</v>
      </c>
      <c r="CH47" t="s">
        <v>674</v>
      </c>
      <c r="CI47" t="s">
        <v>674</v>
      </c>
    </row>
    <row r="48" spans="1:87" x14ac:dyDescent="0.25">
      <c r="A48" t="s">
        <v>737</v>
      </c>
      <c r="B48" t="s">
        <v>88</v>
      </c>
      <c r="C48">
        <v>2025</v>
      </c>
      <c r="D48" t="s">
        <v>738</v>
      </c>
      <c r="E48" t="s">
        <v>739</v>
      </c>
      <c r="F48" t="s">
        <v>499</v>
      </c>
      <c r="G48" t="s">
        <v>674</v>
      </c>
      <c r="H48" t="s">
        <v>500</v>
      </c>
      <c r="I48" t="s">
        <v>740</v>
      </c>
      <c r="J48" t="s">
        <v>741</v>
      </c>
      <c r="K48" t="s">
        <v>742</v>
      </c>
      <c r="L48" t="s">
        <v>743</v>
      </c>
      <c r="M48" s="1">
        <v>46274.899074074077</v>
      </c>
      <c r="N48" s="1">
        <v>46274.899108796293</v>
      </c>
      <c r="O48" s="1">
        <v>46274.899074074077</v>
      </c>
      <c r="P48" t="s">
        <v>744</v>
      </c>
      <c r="Q48" t="s">
        <v>674</v>
      </c>
      <c r="R48">
        <v>12</v>
      </c>
      <c r="S48">
        <v>40</v>
      </c>
      <c r="T48" t="s">
        <v>674</v>
      </c>
      <c r="U48" t="s">
        <v>505</v>
      </c>
      <c r="V48" t="s">
        <v>745</v>
      </c>
      <c r="W48" t="s">
        <v>674</v>
      </c>
      <c r="X48" t="s">
        <v>674</v>
      </c>
      <c r="Y48" t="s">
        <v>674</v>
      </c>
      <c r="Z48" t="s">
        <v>674</v>
      </c>
      <c r="AA48" t="s">
        <v>674</v>
      </c>
      <c r="AB48" t="s">
        <v>674</v>
      </c>
      <c r="AC48" t="s">
        <v>97</v>
      </c>
      <c r="AD48" t="s">
        <v>122</v>
      </c>
      <c r="AE48" t="s">
        <v>674</v>
      </c>
      <c r="AF48" t="s">
        <v>674</v>
      </c>
      <c r="AG48" t="s">
        <v>674</v>
      </c>
      <c r="AH48" t="s">
        <v>99</v>
      </c>
      <c r="AJ48" t="s">
        <v>674</v>
      </c>
      <c r="AK48" t="s">
        <v>674</v>
      </c>
      <c r="AL48" t="s">
        <v>746</v>
      </c>
      <c r="AM48" t="s">
        <v>674</v>
      </c>
      <c r="AN48" t="s">
        <v>674</v>
      </c>
      <c r="AO48" t="s">
        <v>712</v>
      </c>
      <c r="AP48" t="s">
        <v>674</v>
      </c>
      <c r="AQ48" t="s">
        <v>674</v>
      </c>
      <c r="AR48" t="s">
        <v>674</v>
      </c>
      <c r="AS48" t="s">
        <v>674</v>
      </c>
      <c r="AT48" t="s">
        <v>674</v>
      </c>
      <c r="AU48" t="s">
        <v>674</v>
      </c>
      <c r="AV48" t="s">
        <v>674</v>
      </c>
      <c r="AW48" t="s">
        <v>674</v>
      </c>
      <c r="AX48" t="s">
        <v>674</v>
      </c>
      <c r="AY48" t="s">
        <v>674</v>
      </c>
      <c r="AZ48" t="s">
        <v>674</v>
      </c>
      <c r="BA48" t="s">
        <v>674</v>
      </c>
      <c r="BB48" t="s">
        <v>674</v>
      </c>
      <c r="BC48" t="s">
        <v>674</v>
      </c>
      <c r="BD48" t="s">
        <v>674</v>
      </c>
      <c r="BE48" t="s">
        <v>674</v>
      </c>
      <c r="BF48" t="s">
        <v>674</v>
      </c>
      <c r="BG48" t="s">
        <v>674</v>
      </c>
      <c r="BH48" t="s">
        <v>674</v>
      </c>
      <c r="BI48" t="s">
        <v>674</v>
      </c>
      <c r="BJ48" t="s">
        <v>674</v>
      </c>
      <c r="BK48" t="s">
        <v>674</v>
      </c>
      <c r="BL48" t="s">
        <v>674</v>
      </c>
      <c r="BM48" t="s">
        <v>674</v>
      </c>
      <c r="BN48" t="s">
        <v>674</v>
      </c>
      <c r="BO48" t="s">
        <v>674</v>
      </c>
      <c r="BP48" t="s">
        <v>674</v>
      </c>
      <c r="BQ48" t="s">
        <v>674</v>
      </c>
      <c r="BR48" t="s">
        <v>674</v>
      </c>
      <c r="BS48" t="s">
        <v>674</v>
      </c>
      <c r="BT48" t="s">
        <v>674</v>
      </c>
      <c r="BU48" t="s">
        <v>674</v>
      </c>
      <c r="BV48" t="s">
        <v>674</v>
      </c>
      <c r="BW48" t="s">
        <v>674</v>
      </c>
      <c r="BX48" t="s">
        <v>674</v>
      </c>
      <c r="BY48" t="s">
        <v>674</v>
      </c>
      <c r="BZ48" t="s">
        <v>674</v>
      </c>
      <c r="CA48" t="s">
        <v>674</v>
      </c>
      <c r="CB48" t="s">
        <v>674</v>
      </c>
      <c r="CC48" t="s">
        <v>674</v>
      </c>
      <c r="CD48" t="s">
        <v>674</v>
      </c>
      <c r="CE48" t="s">
        <v>674</v>
      </c>
      <c r="CF48" t="s">
        <v>674</v>
      </c>
      <c r="CG48" t="s">
        <v>674</v>
      </c>
      <c r="CH48" t="s">
        <v>674</v>
      </c>
      <c r="CI48" t="s">
        <v>674</v>
      </c>
    </row>
    <row r="49" spans="1:87" x14ac:dyDescent="0.25">
      <c r="A49" t="s">
        <v>747</v>
      </c>
      <c r="B49" t="s">
        <v>126</v>
      </c>
      <c r="C49">
        <v>2023</v>
      </c>
      <c r="D49" t="s">
        <v>748</v>
      </c>
      <c r="E49" t="s">
        <v>749</v>
      </c>
      <c r="F49" t="s">
        <v>750</v>
      </c>
      <c r="G49" t="s">
        <v>751</v>
      </c>
      <c r="H49" t="s">
        <v>674</v>
      </c>
      <c r="I49" t="s">
        <v>752</v>
      </c>
      <c r="J49" t="s">
        <v>753</v>
      </c>
      <c r="K49" t="s">
        <v>754</v>
      </c>
      <c r="L49" t="s">
        <v>755</v>
      </c>
      <c r="M49" s="1">
        <v>46274.899201388886</v>
      </c>
      <c r="N49" s="1">
        <v>46274.899224537039</v>
      </c>
      <c r="O49" s="1">
        <v>46274.899201388886</v>
      </c>
      <c r="P49" t="s">
        <v>756</v>
      </c>
      <c r="Q49" t="s">
        <v>674</v>
      </c>
      <c r="T49" t="s">
        <v>674</v>
      </c>
      <c r="U49" t="s">
        <v>674</v>
      </c>
      <c r="V49" t="s">
        <v>674</v>
      </c>
      <c r="W49" t="s">
        <v>674</v>
      </c>
      <c r="X49" t="s">
        <v>674</v>
      </c>
      <c r="Y49" t="s">
        <v>674</v>
      </c>
      <c r="Z49" t="s">
        <v>674</v>
      </c>
      <c r="AA49" t="s">
        <v>133</v>
      </c>
      <c r="AB49" t="s">
        <v>757</v>
      </c>
      <c r="AC49" t="s">
        <v>97</v>
      </c>
      <c r="AD49" t="s">
        <v>135</v>
      </c>
      <c r="AE49" t="s">
        <v>674</v>
      </c>
      <c r="AF49" t="s">
        <v>674</v>
      </c>
      <c r="AG49" t="s">
        <v>674</v>
      </c>
      <c r="AH49" t="s">
        <v>99</v>
      </c>
      <c r="AJ49" t="s">
        <v>674</v>
      </c>
      <c r="AK49" t="s">
        <v>674</v>
      </c>
      <c r="AL49" t="s">
        <v>758</v>
      </c>
      <c r="AM49" t="s">
        <v>674</v>
      </c>
      <c r="AN49" t="s">
        <v>674</v>
      </c>
      <c r="AO49" t="s">
        <v>712</v>
      </c>
      <c r="AP49" t="s">
        <v>674</v>
      </c>
      <c r="AQ49" t="s">
        <v>674</v>
      </c>
      <c r="AR49" t="s">
        <v>674</v>
      </c>
      <c r="AS49" t="s">
        <v>674</v>
      </c>
      <c r="AT49" t="s">
        <v>674</v>
      </c>
      <c r="AU49" t="s">
        <v>674</v>
      </c>
      <c r="AV49" t="s">
        <v>674</v>
      </c>
      <c r="AW49" t="s">
        <v>674</v>
      </c>
      <c r="AX49" t="s">
        <v>674</v>
      </c>
      <c r="AY49" t="s">
        <v>674</v>
      </c>
      <c r="AZ49" t="s">
        <v>674</v>
      </c>
      <c r="BA49" t="s">
        <v>674</v>
      </c>
      <c r="BB49" t="s">
        <v>674</v>
      </c>
      <c r="BC49" t="s">
        <v>674</v>
      </c>
      <c r="BD49" t="s">
        <v>674</v>
      </c>
      <c r="BE49" t="s">
        <v>674</v>
      </c>
      <c r="BF49" t="s">
        <v>674</v>
      </c>
      <c r="BG49" t="s">
        <v>674</v>
      </c>
      <c r="BH49" t="s">
        <v>674</v>
      </c>
      <c r="BI49" t="s">
        <v>674</v>
      </c>
      <c r="BJ49" t="s">
        <v>674</v>
      </c>
      <c r="BK49" t="s">
        <v>674</v>
      </c>
      <c r="BL49" t="s">
        <v>674</v>
      </c>
      <c r="BM49" t="s">
        <v>674</v>
      </c>
      <c r="BN49" t="s">
        <v>674</v>
      </c>
      <c r="BO49" t="s">
        <v>674</v>
      </c>
      <c r="BP49" t="s">
        <v>674</v>
      </c>
      <c r="BQ49" t="s">
        <v>674</v>
      </c>
      <c r="BR49" t="s">
        <v>674</v>
      </c>
      <c r="BS49" t="s">
        <v>674</v>
      </c>
      <c r="BT49" t="s">
        <v>750</v>
      </c>
      <c r="BU49" t="s">
        <v>674</v>
      </c>
      <c r="BV49" t="s">
        <v>674</v>
      </c>
      <c r="BW49" t="s">
        <v>674</v>
      </c>
      <c r="BX49" t="s">
        <v>674</v>
      </c>
      <c r="BY49" t="s">
        <v>674</v>
      </c>
      <c r="BZ49" t="s">
        <v>674</v>
      </c>
      <c r="CA49" t="s">
        <v>674</v>
      </c>
      <c r="CB49" t="s">
        <v>674</v>
      </c>
      <c r="CC49" t="s">
        <v>674</v>
      </c>
      <c r="CD49" t="s">
        <v>674</v>
      </c>
      <c r="CE49" t="s">
        <v>674</v>
      </c>
      <c r="CF49" t="s">
        <v>674</v>
      </c>
      <c r="CG49" t="s">
        <v>674</v>
      </c>
      <c r="CH49" t="s">
        <v>674</v>
      </c>
      <c r="CI49" t="s">
        <v>674</v>
      </c>
    </row>
    <row r="50" spans="1:87" x14ac:dyDescent="0.25">
      <c r="A50" t="s">
        <v>759</v>
      </c>
      <c r="B50" t="s">
        <v>126</v>
      </c>
      <c r="C50">
        <v>2015</v>
      </c>
      <c r="D50" t="s">
        <v>729</v>
      </c>
      <c r="E50" t="s">
        <v>760</v>
      </c>
      <c r="F50" t="s">
        <v>761</v>
      </c>
      <c r="G50" t="s">
        <v>762</v>
      </c>
      <c r="H50" t="s">
        <v>674</v>
      </c>
      <c r="I50" t="s">
        <v>763</v>
      </c>
      <c r="J50" t="s">
        <v>764</v>
      </c>
      <c r="K50" t="s">
        <v>765</v>
      </c>
      <c r="L50" t="s">
        <v>766</v>
      </c>
      <c r="M50" s="1">
        <v>46274.899305555555</v>
      </c>
      <c r="N50" s="1">
        <v>46274.899340277778</v>
      </c>
      <c r="O50" s="1">
        <v>46274.899305555555</v>
      </c>
      <c r="P50" t="s">
        <v>767</v>
      </c>
      <c r="Q50" t="s">
        <v>674</v>
      </c>
      <c r="T50" t="s">
        <v>674</v>
      </c>
      <c r="U50" t="s">
        <v>674</v>
      </c>
      <c r="V50" t="s">
        <v>674</v>
      </c>
      <c r="W50" t="s">
        <v>674</v>
      </c>
      <c r="X50" t="s">
        <v>674</v>
      </c>
      <c r="Y50" t="s">
        <v>674</v>
      </c>
      <c r="Z50" t="s">
        <v>674</v>
      </c>
      <c r="AA50" t="s">
        <v>133</v>
      </c>
      <c r="AB50" t="s">
        <v>768</v>
      </c>
      <c r="AC50" t="s">
        <v>97</v>
      </c>
      <c r="AD50" t="s">
        <v>674</v>
      </c>
      <c r="AE50" t="s">
        <v>674</v>
      </c>
      <c r="AF50" t="s">
        <v>674</v>
      </c>
      <c r="AG50" t="s">
        <v>674</v>
      </c>
      <c r="AH50" t="s">
        <v>99</v>
      </c>
      <c r="AJ50" t="s">
        <v>674</v>
      </c>
      <c r="AK50" t="s">
        <v>674</v>
      </c>
      <c r="AL50" t="s">
        <v>769</v>
      </c>
      <c r="AM50" t="s">
        <v>674</v>
      </c>
      <c r="AN50" t="s">
        <v>674</v>
      </c>
      <c r="AO50" t="s">
        <v>712</v>
      </c>
      <c r="AP50" t="s">
        <v>674</v>
      </c>
      <c r="AQ50" t="s">
        <v>674</v>
      </c>
      <c r="AR50" t="s">
        <v>674</v>
      </c>
      <c r="AS50" t="s">
        <v>674</v>
      </c>
      <c r="AT50" t="s">
        <v>674</v>
      </c>
      <c r="AU50" t="s">
        <v>674</v>
      </c>
      <c r="AV50" t="s">
        <v>674</v>
      </c>
      <c r="AW50" t="s">
        <v>674</v>
      </c>
      <c r="AX50" t="s">
        <v>674</v>
      </c>
      <c r="AY50" t="s">
        <v>674</v>
      </c>
      <c r="AZ50" t="s">
        <v>674</v>
      </c>
      <c r="BA50" t="s">
        <v>674</v>
      </c>
      <c r="BB50" t="s">
        <v>674</v>
      </c>
      <c r="BC50" t="s">
        <v>674</v>
      </c>
      <c r="BD50" t="s">
        <v>674</v>
      </c>
      <c r="BE50" t="s">
        <v>674</v>
      </c>
      <c r="BF50" t="s">
        <v>674</v>
      </c>
      <c r="BG50" t="s">
        <v>674</v>
      </c>
      <c r="BH50" t="s">
        <v>674</v>
      </c>
      <c r="BI50" t="s">
        <v>674</v>
      </c>
      <c r="BJ50" t="s">
        <v>674</v>
      </c>
      <c r="BK50" t="s">
        <v>674</v>
      </c>
      <c r="BL50" t="s">
        <v>674</v>
      </c>
      <c r="BM50" t="s">
        <v>674</v>
      </c>
      <c r="BN50" t="s">
        <v>674</v>
      </c>
      <c r="BO50" t="s">
        <v>674</v>
      </c>
      <c r="BP50" t="s">
        <v>674</v>
      </c>
      <c r="BQ50" t="s">
        <v>674</v>
      </c>
      <c r="BR50" t="s">
        <v>674</v>
      </c>
      <c r="BS50" t="s">
        <v>674</v>
      </c>
      <c r="BT50" t="s">
        <v>761</v>
      </c>
      <c r="BU50" t="s">
        <v>674</v>
      </c>
      <c r="BV50" t="s">
        <v>674</v>
      </c>
      <c r="BW50" t="s">
        <v>674</v>
      </c>
      <c r="BX50" t="s">
        <v>674</v>
      </c>
      <c r="BY50" t="s">
        <v>674</v>
      </c>
      <c r="BZ50" t="s">
        <v>674</v>
      </c>
      <c r="CA50" t="s">
        <v>674</v>
      </c>
      <c r="CB50" t="s">
        <v>674</v>
      </c>
      <c r="CC50" t="s">
        <v>674</v>
      </c>
      <c r="CD50" t="s">
        <v>674</v>
      </c>
      <c r="CE50" t="s">
        <v>674</v>
      </c>
      <c r="CF50" t="s">
        <v>674</v>
      </c>
      <c r="CG50" t="s">
        <v>674</v>
      </c>
      <c r="CH50" t="s">
        <v>674</v>
      </c>
      <c r="CI50" t="s">
        <v>674</v>
      </c>
    </row>
    <row r="51" spans="1:87" x14ac:dyDescent="0.25">
      <c r="A51" t="s">
        <v>770</v>
      </c>
      <c r="B51" t="s">
        <v>126</v>
      </c>
      <c r="C51">
        <v>2009</v>
      </c>
      <c r="D51" t="s">
        <v>771</v>
      </c>
      <c r="E51" t="s">
        <v>772</v>
      </c>
      <c r="F51" t="s">
        <v>773</v>
      </c>
      <c r="G51" t="s">
        <v>774</v>
      </c>
      <c r="H51" t="s">
        <v>674</v>
      </c>
      <c r="I51" t="s">
        <v>775</v>
      </c>
      <c r="J51" t="s">
        <v>776</v>
      </c>
      <c r="K51" t="s">
        <v>777</v>
      </c>
      <c r="L51" t="s">
        <v>778</v>
      </c>
      <c r="M51" s="1">
        <v>46274.899421296293</v>
      </c>
      <c r="N51" s="1">
        <v>46274.899467592593</v>
      </c>
      <c r="O51" s="1">
        <v>46274.899421296293</v>
      </c>
      <c r="P51" t="s">
        <v>677</v>
      </c>
      <c r="Q51" t="s">
        <v>674</v>
      </c>
      <c r="T51" t="s">
        <v>674</v>
      </c>
      <c r="U51" t="s">
        <v>674</v>
      </c>
      <c r="V51" t="s">
        <v>674</v>
      </c>
      <c r="W51" t="s">
        <v>674</v>
      </c>
      <c r="X51" t="s">
        <v>674</v>
      </c>
      <c r="Y51" t="s">
        <v>674</v>
      </c>
      <c r="Z51" t="s">
        <v>674</v>
      </c>
      <c r="AA51" t="s">
        <v>133</v>
      </c>
      <c r="AB51" t="s">
        <v>779</v>
      </c>
      <c r="AC51" t="s">
        <v>97</v>
      </c>
      <c r="AD51" t="s">
        <v>674</v>
      </c>
      <c r="AE51" t="s">
        <v>674</v>
      </c>
      <c r="AF51" t="s">
        <v>674</v>
      </c>
      <c r="AG51" t="s">
        <v>674</v>
      </c>
      <c r="AH51" t="s">
        <v>99</v>
      </c>
      <c r="AJ51" t="s">
        <v>674</v>
      </c>
      <c r="AK51" t="s">
        <v>674</v>
      </c>
      <c r="AL51" t="s">
        <v>780</v>
      </c>
      <c r="AM51" t="s">
        <v>674</v>
      </c>
      <c r="AN51" t="s">
        <v>674</v>
      </c>
      <c r="AO51" t="s">
        <v>712</v>
      </c>
      <c r="AP51" t="s">
        <v>674</v>
      </c>
      <c r="AQ51" t="s">
        <v>674</v>
      </c>
      <c r="AR51" t="s">
        <v>674</v>
      </c>
      <c r="AS51" t="s">
        <v>674</v>
      </c>
      <c r="AT51" t="s">
        <v>674</v>
      </c>
      <c r="AU51" t="s">
        <v>674</v>
      </c>
      <c r="AV51" t="s">
        <v>674</v>
      </c>
      <c r="AW51" t="s">
        <v>674</v>
      </c>
      <c r="AX51" t="s">
        <v>674</v>
      </c>
      <c r="AY51" t="s">
        <v>674</v>
      </c>
      <c r="AZ51" t="s">
        <v>674</v>
      </c>
      <c r="BA51" t="s">
        <v>674</v>
      </c>
      <c r="BB51" t="s">
        <v>674</v>
      </c>
      <c r="BC51" t="s">
        <v>674</v>
      </c>
      <c r="BD51" t="s">
        <v>674</v>
      </c>
      <c r="BE51" t="s">
        <v>674</v>
      </c>
      <c r="BF51" t="s">
        <v>674</v>
      </c>
      <c r="BG51" t="s">
        <v>674</v>
      </c>
      <c r="BH51" t="s">
        <v>674</v>
      </c>
      <c r="BI51" t="s">
        <v>674</v>
      </c>
      <c r="BJ51" t="s">
        <v>674</v>
      </c>
      <c r="BK51" t="s">
        <v>674</v>
      </c>
      <c r="BL51" t="s">
        <v>674</v>
      </c>
      <c r="BM51" t="s">
        <v>674</v>
      </c>
      <c r="BN51" t="s">
        <v>674</v>
      </c>
      <c r="BO51" t="s">
        <v>674</v>
      </c>
      <c r="BP51" t="s">
        <v>674</v>
      </c>
      <c r="BQ51" t="s">
        <v>674</v>
      </c>
      <c r="BR51" t="s">
        <v>674</v>
      </c>
      <c r="BS51" t="s">
        <v>674</v>
      </c>
      <c r="BT51" t="s">
        <v>781</v>
      </c>
      <c r="BU51" t="s">
        <v>674</v>
      </c>
      <c r="BV51" t="s">
        <v>674</v>
      </c>
      <c r="BW51" t="s">
        <v>674</v>
      </c>
      <c r="BX51" t="s">
        <v>674</v>
      </c>
      <c r="BY51" t="s">
        <v>674</v>
      </c>
      <c r="BZ51" t="s">
        <v>674</v>
      </c>
      <c r="CA51" t="s">
        <v>674</v>
      </c>
      <c r="CB51" t="s">
        <v>674</v>
      </c>
      <c r="CC51" t="s">
        <v>674</v>
      </c>
      <c r="CD51" t="s">
        <v>674</v>
      </c>
      <c r="CE51" t="s">
        <v>674</v>
      </c>
      <c r="CF51" t="s">
        <v>674</v>
      </c>
      <c r="CG51" t="s">
        <v>674</v>
      </c>
      <c r="CH51" t="s">
        <v>674</v>
      </c>
      <c r="CI51" t="s">
        <v>674</v>
      </c>
    </row>
    <row r="52" spans="1:87" x14ac:dyDescent="0.25">
      <c r="A52" t="s">
        <v>782</v>
      </c>
      <c r="B52" t="s">
        <v>126</v>
      </c>
      <c r="C52">
        <v>2015</v>
      </c>
      <c r="D52" t="s">
        <v>729</v>
      </c>
      <c r="E52" t="s">
        <v>783</v>
      </c>
      <c r="F52" t="s">
        <v>784</v>
      </c>
      <c r="G52" t="s">
        <v>674</v>
      </c>
      <c r="H52" t="s">
        <v>674</v>
      </c>
      <c r="I52" t="s">
        <v>785</v>
      </c>
      <c r="J52" t="s">
        <v>786</v>
      </c>
      <c r="K52" t="s">
        <v>787</v>
      </c>
      <c r="L52" t="s">
        <v>788</v>
      </c>
      <c r="M52" s="1">
        <v>46274.899699074071</v>
      </c>
      <c r="N52" s="1">
        <v>46274.899722222224</v>
      </c>
      <c r="O52" s="1">
        <v>46274.899699074071</v>
      </c>
      <c r="P52" t="s">
        <v>756</v>
      </c>
      <c r="Q52" t="s">
        <v>674</v>
      </c>
      <c r="T52" t="s">
        <v>674</v>
      </c>
      <c r="U52" t="s">
        <v>674</v>
      </c>
      <c r="V52" t="s">
        <v>674</v>
      </c>
      <c r="W52" t="s">
        <v>674</v>
      </c>
      <c r="X52" t="s">
        <v>674</v>
      </c>
      <c r="Y52" t="s">
        <v>674</v>
      </c>
      <c r="Z52" t="s">
        <v>674</v>
      </c>
      <c r="AA52" t="s">
        <v>674</v>
      </c>
      <c r="AB52" t="s">
        <v>674</v>
      </c>
      <c r="AC52" t="s">
        <v>674</v>
      </c>
      <c r="AD52" t="s">
        <v>674</v>
      </c>
      <c r="AE52" t="s">
        <v>674</v>
      </c>
      <c r="AF52" t="s">
        <v>674</v>
      </c>
      <c r="AG52" t="s">
        <v>674</v>
      </c>
      <c r="AH52" t="s">
        <v>789</v>
      </c>
      <c r="AJ52" t="s">
        <v>790</v>
      </c>
      <c r="AK52" t="s">
        <v>674</v>
      </c>
      <c r="AL52" t="s">
        <v>791</v>
      </c>
      <c r="AM52" t="s">
        <v>674</v>
      </c>
      <c r="AN52" t="s">
        <v>674</v>
      </c>
      <c r="AO52" t="s">
        <v>792</v>
      </c>
      <c r="AP52" t="s">
        <v>674</v>
      </c>
      <c r="AQ52" t="s">
        <v>674</v>
      </c>
      <c r="AR52" t="s">
        <v>674</v>
      </c>
      <c r="AS52" t="s">
        <v>674</v>
      </c>
      <c r="AT52" t="s">
        <v>674</v>
      </c>
      <c r="AU52" t="s">
        <v>674</v>
      </c>
      <c r="AV52" t="s">
        <v>674</v>
      </c>
      <c r="AW52" t="s">
        <v>674</v>
      </c>
      <c r="AX52" t="s">
        <v>674</v>
      </c>
      <c r="AY52" t="s">
        <v>674</v>
      </c>
      <c r="AZ52" t="s">
        <v>674</v>
      </c>
      <c r="BA52" t="s">
        <v>674</v>
      </c>
      <c r="BB52" t="s">
        <v>674</v>
      </c>
      <c r="BC52" t="s">
        <v>674</v>
      </c>
      <c r="BD52" t="s">
        <v>674</v>
      </c>
      <c r="BE52" t="s">
        <v>674</v>
      </c>
      <c r="BF52" t="s">
        <v>674</v>
      </c>
      <c r="BG52" t="s">
        <v>674</v>
      </c>
      <c r="BH52" t="s">
        <v>674</v>
      </c>
      <c r="BI52" t="s">
        <v>674</v>
      </c>
      <c r="BJ52" t="s">
        <v>674</v>
      </c>
      <c r="BK52" t="s">
        <v>674</v>
      </c>
      <c r="BL52" t="s">
        <v>674</v>
      </c>
      <c r="BM52" t="s">
        <v>674</v>
      </c>
      <c r="BN52" t="s">
        <v>674</v>
      </c>
      <c r="BO52" t="s">
        <v>674</v>
      </c>
      <c r="BP52" t="s">
        <v>674</v>
      </c>
      <c r="BQ52" t="s">
        <v>674</v>
      </c>
      <c r="BR52" t="s">
        <v>674</v>
      </c>
      <c r="BS52" t="s">
        <v>674</v>
      </c>
      <c r="BT52" t="s">
        <v>674</v>
      </c>
      <c r="BU52" t="s">
        <v>674</v>
      </c>
      <c r="BV52" t="s">
        <v>674</v>
      </c>
      <c r="BW52" t="s">
        <v>674</v>
      </c>
      <c r="BX52" t="s">
        <v>674</v>
      </c>
      <c r="BY52" t="s">
        <v>674</v>
      </c>
      <c r="BZ52" t="s">
        <v>674</v>
      </c>
      <c r="CA52" t="s">
        <v>674</v>
      </c>
      <c r="CB52" t="s">
        <v>674</v>
      </c>
      <c r="CC52" t="s">
        <v>674</v>
      </c>
      <c r="CD52" t="s">
        <v>674</v>
      </c>
      <c r="CE52" t="s">
        <v>674</v>
      </c>
      <c r="CF52" t="s">
        <v>674</v>
      </c>
      <c r="CG52" t="s">
        <v>674</v>
      </c>
      <c r="CH52" t="s">
        <v>674</v>
      </c>
      <c r="CI52" t="s">
        <v>674</v>
      </c>
    </row>
    <row r="53" spans="1:87" x14ac:dyDescent="0.25">
      <c r="A53" t="s">
        <v>793</v>
      </c>
      <c r="B53" t="s">
        <v>88</v>
      </c>
      <c r="C53">
        <v>2020</v>
      </c>
      <c r="D53" t="s">
        <v>794</v>
      </c>
      <c r="E53" t="s">
        <v>795</v>
      </c>
      <c r="F53" t="s">
        <v>115</v>
      </c>
      <c r="G53" t="s">
        <v>674</v>
      </c>
      <c r="H53" t="s">
        <v>116</v>
      </c>
      <c r="I53" t="s">
        <v>796</v>
      </c>
      <c r="J53" t="s">
        <v>797</v>
      </c>
      <c r="K53" t="s">
        <v>798</v>
      </c>
      <c r="L53" t="s">
        <v>194</v>
      </c>
      <c r="M53" s="1">
        <v>46274.899768518517</v>
      </c>
      <c r="N53" s="1">
        <v>46274.899780092594</v>
      </c>
      <c r="O53" s="1">
        <v>46274.899768518517</v>
      </c>
      <c r="P53" t="s">
        <v>799</v>
      </c>
      <c r="Q53" t="s">
        <v>674</v>
      </c>
      <c r="R53">
        <v>7</v>
      </c>
      <c r="S53">
        <v>67</v>
      </c>
      <c r="T53" t="s">
        <v>674</v>
      </c>
      <c r="U53" t="s">
        <v>121</v>
      </c>
      <c r="V53" t="s">
        <v>674</v>
      </c>
      <c r="W53" t="s">
        <v>674</v>
      </c>
      <c r="X53" t="s">
        <v>674</v>
      </c>
      <c r="Y53" t="s">
        <v>674</v>
      </c>
      <c r="Z53" t="s">
        <v>674</v>
      </c>
      <c r="AA53" t="s">
        <v>674</v>
      </c>
      <c r="AB53" t="s">
        <v>674</v>
      </c>
      <c r="AC53" t="s">
        <v>97</v>
      </c>
      <c r="AD53" t="s">
        <v>122</v>
      </c>
      <c r="AE53" t="s">
        <v>674</v>
      </c>
      <c r="AF53" t="s">
        <v>674</v>
      </c>
      <c r="AG53" t="s">
        <v>674</v>
      </c>
      <c r="AH53" t="s">
        <v>99</v>
      </c>
      <c r="AJ53" t="s">
        <v>674</v>
      </c>
      <c r="AK53" t="s">
        <v>674</v>
      </c>
      <c r="AL53" t="s">
        <v>800</v>
      </c>
      <c r="AM53" t="s">
        <v>674</v>
      </c>
      <c r="AN53" t="s">
        <v>674</v>
      </c>
      <c r="AO53" t="s">
        <v>712</v>
      </c>
      <c r="AP53" t="s">
        <v>674</v>
      </c>
      <c r="AQ53" t="s">
        <v>674</v>
      </c>
      <c r="AR53" t="s">
        <v>674</v>
      </c>
      <c r="AS53" t="s">
        <v>674</v>
      </c>
      <c r="AT53" t="s">
        <v>674</v>
      </c>
      <c r="AU53" t="s">
        <v>674</v>
      </c>
      <c r="AV53" t="s">
        <v>674</v>
      </c>
      <c r="AW53" t="s">
        <v>674</v>
      </c>
      <c r="AX53" t="s">
        <v>674</v>
      </c>
      <c r="AY53" t="s">
        <v>674</v>
      </c>
      <c r="AZ53" t="s">
        <v>674</v>
      </c>
      <c r="BA53" t="s">
        <v>674</v>
      </c>
      <c r="BB53" t="s">
        <v>674</v>
      </c>
      <c r="BC53" t="s">
        <v>674</v>
      </c>
      <c r="BD53" t="s">
        <v>674</v>
      </c>
      <c r="BE53" t="s">
        <v>674</v>
      </c>
      <c r="BF53" t="s">
        <v>674</v>
      </c>
      <c r="BG53" t="s">
        <v>674</v>
      </c>
      <c r="BH53" t="s">
        <v>674</v>
      </c>
      <c r="BI53" t="s">
        <v>674</v>
      </c>
      <c r="BJ53" t="s">
        <v>674</v>
      </c>
      <c r="BK53" t="s">
        <v>674</v>
      </c>
      <c r="BL53" t="s">
        <v>674</v>
      </c>
      <c r="BM53" t="s">
        <v>674</v>
      </c>
      <c r="BN53" t="s">
        <v>674</v>
      </c>
      <c r="BO53" t="s">
        <v>674</v>
      </c>
      <c r="BP53" t="s">
        <v>674</v>
      </c>
      <c r="BQ53" t="s">
        <v>674</v>
      </c>
      <c r="BR53" t="s">
        <v>674</v>
      </c>
      <c r="BS53" t="s">
        <v>674</v>
      </c>
      <c r="BT53" t="s">
        <v>674</v>
      </c>
      <c r="BU53" t="s">
        <v>674</v>
      </c>
      <c r="BV53" t="s">
        <v>674</v>
      </c>
      <c r="BW53" t="s">
        <v>674</v>
      </c>
      <c r="BX53" t="s">
        <v>674</v>
      </c>
      <c r="BY53" t="s">
        <v>674</v>
      </c>
      <c r="BZ53" t="s">
        <v>674</v>
      </c>
      <c r="CA53" t="s">
        <v>674</v>
      </c>
      <c r="CB53" t="s">
        <v>674</v>
      </c>
      <c r="CC53" t="s">
        <v>674</v>
      </c>
      <c r="CD53" t="s">
        <v>674</v>
      </c>
      <c r="CE53" t="s">
        <v>674</v>
      </c>
      <c r="CF53" t="s">
        <v>674</v>
      </c>
      <c r="CG53" t="s">
        <v>674</v>
      </c>
      <c r="CH53" t="s">
        <v>674</v>
      </c>
      <c r="CI53" t="s">
        <v>674</v>
      </c>
    </row>
    <row r="54" spans="1:87" x14ac:dyDescent="0.25">
      <c r="A54" t="s">
        <v>801</v>
      </c>
      <c r="B54" t="s">
        <v>126</v>
      </c>
      <c r="C54">
        <v>2012</v>
      </c>
      <c r="D54" t="s">
        <v>802</v>
      </c>
      <c r="E54" t="s">
        <v>803</v>
      </c>
      <c r="F54" t="s">
        <v>804</v>
      </c>
      <c r="G54" t="s">
        <v>805</v>
      </c>
      <c r="H54" t="s">
        <v>674</v>
      </c>
      <c r="I54" t="s">
        <v>806</v>
      </c>
      <c r="J54" t="s">
        <v>807</v>
      </c>
      <c r="K54" t="s">
        <v>808</v>
      </c>
      <c r="L54" t="s">
        <v>809</v>
      </c>
      <c r="M54" s="1">
        <v>46274.899837962963</v>
      </c>
      <c r="N54" s="1">
        <v>46274.89984953704</v>
      </c>
      <c r="O54" s="1">
        <v>46274.899837962963</v>
      </c>
      <c r="P54" t="s">
        <v>756</v>
      </c>
      <c r="Q54" t="s">
        <v>674</v>
      </c>
      <c r="T54" t="s">
        <v>674</v>
      </c>
      <c r="U54" t="s">
        <v>674</v>
      </c>
      <c r="V54" t="s">
        <v>674</v>
      </c>
      <c r="W54" t="s">
        <v>674</v>
      </c>
      <c r="X54" t="s">
        <v>674</v>
      </c>
      <c r="Y54" t="s">
        <v>674</v>
      </c>
      <c r="Z54" t="s">
        <v>674</v>
      </c>
      <c r="AA54" t="s">
        <v>133</v>
      </c>
      <c r="AB54" t="s">
        <v>810</v>
      </c>
      <c r="AC54" t="s">
        <v>97</v>
      </c>
      <c r="AD54" t="s">
        <v>135</v>
      </c>
      <c r="AE54" t="s">
        <v>674</v>
      </c>
      <c r="AF54" t="s">
        <v>674</v>
      </c>
      <c r="AG54" t="s">
        <v>674</v>
      </c>
      <c r="AH54" t="s">
        <v>99</v>
      </c>
      <c r="AJ54" t="s">
        <v>674</v>
      </c>
      <c r="AK54" t="s">
        <v>674</v>
      </c>
      <c r="AL54" t="s">
        <v>811</v>
      </c>
      <c r="AM54" t="s">
        <v>674</v>
      </c>
      <c r="AN54" t="s">
        <v>674</v>
      </c>
      <c r="AO54" t="s">
        <v>712</v>
      </c>
      <c r="AP54" t="s">
        <v>674</v>
      </c>
      <c r="AQ54" t="s">
        <v>674</v>
      </c>
      <c r="AR54" t="s">
        <v>674</v>
      </c>
      <c r="AS54" t="s">
        <v>674</v>
      </c>
      <c r="AT54" t="s">
        <v>674</v>
      </c>
      <c r="AU54" t="s">
        <v>674</v>
      </c>
      <c r="AV54" t="s">
        <v>674</v>
      </c>
      <c r="AW54" t="s">
        <v>674</v>
      </c>
      <c r="AX54" t="s">
        <v>674</v>
      </c>
      <c r="AY54" t="s">
        <v>674</v>
      </c>
      <c r="AZ54" t="s">
        <v>674</v>
      </c>
      <c r="BA54" t="s">
        <v>674</v>
      </c>
      <c r="BB54" t="s">
        <v>674</v>
      </c>
      <c r="BC54" t="s">
        <v>674</v>
      </c>
      <c r="BD54" t="s">
        <v>674</v>
      </c>
      <c r="BE54" t="s">
        <v>674</v>
      </c>
      <c r="BF54" t="s">
        <v>674</v>
      </c>
      <c r="BG54" t="s">
        <v>674</v>
      </c>
      <c r="BH54" t="s">
        <v>674</v>
      </c>
      <c r="BI54" t="s">
        <v>674</v>
      </c>
      <c r="BJ54" t="s">
        <v>674</v>
      </c>
      <c r="BK54" t="s">
        <v>674</v>
      </c>
      <c r="BL54" t="s">
        <v>674</v>
      </c>
      <c r="BM54" t="s">
        <v>674</v>
      </c>
      <c r="BN54" t="s">
        <v>674</v>
      </c>
      <c r="BO54" t="s">
        <v>674</v>
      </c>
      <c r="BP54" t="s">
        <v>674</v>
      </c>
      <c r="BQ54" t="s">
        <v>674</v>
      </c>
      <c r="BR54" t="s">
        <v>674</v>
      </c>
      <c r="BS54" t="s">
        <v>674</v>
      </c>
      <c r="BT54" t="s">
        <v>804</v>
      </c>
      <c r="BU54" t="s">
        <v>674</v>
      </c>
      <c r="BV54" t="s">
        <v>674</v>
      </c>
      <c r="BW54" t="s">
        <v>674</v>
      </c>
      <c r="BX54" t="s">
        <v>674</v>
      </c>
      <c r="BY54" t="s">
        <v>674</v>
      </c>
      <c r="BZ54" t="s">
        <v>674</v>
      </c>
      <c r="CA54" t="s">
        <v>674</v>
      </c>
      <c r="CB54" t="s">
        <v>674</v>
      </c>
      <c r="CC54" t="s">
        <v>674</v>
      </c>
      <c r="CD54" t="s">
        <v>674</v>
      </c>
      <c r="CE54" t="s">
        <v>674</v>
      </c>
      <c r="CF54" t="s">
        <v>674</v>
      </c>
      <c r="CG54" t="s">
        <v>674</v>
      </c>
      <c r="CH54" t="s">
        <v>674</v>
      </c>
      <c r="CI54" t="s">
        <v>674</v>
      </c>
    </row>
    <row r="55" spans="1:87" x14ac:dyDescent="0.25">
      <c r="A55" t="s">
        <v>812</v>
      </c>
      <c r="B55" t="s">
        <v>126</v>
      </c>
      <c r="C55">
        <v>2009</v>
      </c>
      <c r="D55" t="s">
        <v>813</v>
      </c>
      <c r="E55" t="s">
        <v>814</v>
      </c>
      <c r="F55" t="s">
        <v>815</v>
      </c>
      <c r="G55" t="s">
        <v>816</v>
      </c>
      <c r="H55" t="s">
        <v>674</v>
      </c>
      <c r="I55" t="s">
        <v>817</v>
      </c>
      <c r="J55" t="s">
        <v>818</v>
      </c>
      <c r="K55" t="s">
        <v>819</v>
      </c>
      <c r="L55" t="s">
        <v>820</v>
      </c>
      <c r="M55" s="1">
        <v>46274.899895833332</v>
      </c>
      <c r="N55" s="1">
        <v>46274.899918981479</v>
      </c>
      <c r="O55" s="1">
        <v>46274.899895833332</v>
      </c>
      <c r="P55" t="s">
        <v>821</v>
      </c>
      <c r="Q55" t="s">
        <v>674</v>
      </c>
      <c r="T55" t="s">
        <v>674</v>
      </c>
      <c r="U55" t="s">
        <v>674</v>
      </c>
      <c r="V55" t="s">
        <v>674</v>
      </c>
      <c r="W55" t="s">
        <v>674</v>
      </c>
      <c r="X55" t="s">
        <v>674</v>
      </c>
      <c r="Y55" t="s">
        <v>674</v>
      </c>
      <c r="Z55" t="s">
        <v>674</v>
      </c>
      <c r="AA55" t="s">
        <v>133</v>
      </c>
      <c r="AB55" t="s">
        <v>822</v>
      </c>
      <c r="AC55" t="s">
        <v>97</v>
      </c>
      <c r="AD55" t="s">
        <v>674</v>
      </c>
      <c r="AE55" t="s">
        <v>674</v>
      </c>
      <c r="AF55" t="s">
        <v>674</v>
      </c>
      <c r="AG55" t="s">
        <v>674</v>
      </c>
      <c r="AH55" t="s">
        <v>99</v>
      </c>
      <c r="AJ55" t="s">
        <v>674</v>
      </c>
      <c r="AK55" t="s">
        <v>674</v>
      </c>
      <c r="AL55" t="s">
        <v>823</v>
      </c>
      <c r="AM55" t="s">
        <v>674</v>
      </c>
      <c r="AN55" t="s">
        <v>674</v>
      </c>
      <c r="AO55" t="s">
        <v>712</v>
      </c>
      <c r="AP55" t="s">
        <v>674</v>
      </c>
      <c r="AQ55" t="s">
        <v>674</v>
      </c>
      <c r="AR55" t="s">
        <v>674</v>
      </c>
      <c r="AS55" t="s">
        <v>674</v>
      </c>
      <c r="AT55" t="s">
        <v>674</v>
      </c>
      <c r="AU55" t="s">
        <v>674</v>
      </c>
      <c r="AV55" t="s">
        <v>674</v>
      </c>
      <c r="AW55" t="s">
        <v>674</v>
      </c>
      <c r="AX55" t="s">
        <v>674</v>
      </c>
      <c r="AY55" t="s">
        <v>674</v>
      </c>
      <c r="AZ55" t="s">
        <v>674</v>
      </c>
      <c r="BA55" t="s">
        <v>674</v>
      </c>
      <c r="BB55" t="s">
        <v>674</v>
      </c>
      <c r="BC55" t="s">
        <v>674</v>
      </c>
      <c r="BD55" t="s">
        <v>674</v>
      </c>
      <c r="BE55" t="s">
        <v>674</v>
      </c>
      <c r="BF55" t="s">
        <v>674</v>
      </c>
      <c r="BG55" t="s">
        <v>674</v>
      </c>
      <c r="BH55" t="s">
        <v>674</v>
      </c>
      <c r="BI55" t="s">
        <v>674</v>
      </c>
      <c r="BJ55" t="s">
        <v>674</v>
      </c>
      <c r="BK55" t="s">
        <v>674</v>
      </c>
      <c r="BL55" t="s">
        <v>674</v>
      </c>
      <c r="BM55" t="s">
        <v>674</v>
      </c>
      <c r="BN55" t="s">
        <v>674</v>
      </c>
      <c r="BO55" t="s">
        <v>674</v>
      </c>
      <c r="BP55" t="s">
        <v>674</v>
      </c>
      <c r="BQ55" t="s">
        <v>674</v>
      </c>
      <c r="BR55" t="s">
        <v>674</v>
      </c>
      <c r="BS55" t="s">
        <v>674</v>
      </c>
      <c r="BT55" t="s">
        <v>824</v>
      </c>
      <c r="BU55" t="s">
        <v>674</v>
      </c>
      <c r="BV55" t="s">
        <v>674</v>
      </c>
      <c r="BW55" t="s">
        <v>674</v>
      </c>
      <c r="BX55" t="s">
        <v>674</v>
      </c>
      <c r="BY55" t="s">
        <v>674</v>
      </c>
      <c r="BZ55" t="s">
        <v>674</v>
      </c>
      <c r="CA55" t="s">
        <v>674</v>
      </c>
      <c r="CB55" t="s">
        <v>674</v>
      </c>
      <c r="CC55" t="s">
        <v>674</v>
      </c>
      <c r="CD55" t="s">
        <v>674</v>
      </c>
      <c r="CE55" t="s">
        <v>674</v>
      </c>
      <c r="CF55" t="s">
        <v>674</v>
      </c>
      <c r="CG55" t="s">
        <v>674</v>
      </c>
      <c r="CH55" t="s">
        <v>674</v>
      </c>
      <c r="CI55" t="s">
        <v>674</v>
      </c>
    </row>
    <row r="56" spans="1:87" x14ac:dyDescent="0.25">
      <c r="A56" t="s">
        <v>825</v>
      </c>
      <c r="B56" t="s">
        <v>126</v>
      </c>
      <c r="C56">
        <v>2008</v>
      </c>
      <c r="D56" t="s">
        <v>826</v>
      </c>
      <c r="E56" t="s">
        <v>827</v>
      </c>
      <c r="F56" t="s">
        <v>828</v>
      </c>
      <c r="G56" t="s">
        <v>829</v>
      </c>
      <c r="H56" t="s">
        <v>674</v>
      </c>
      <c r="I56" t="s">
        <v>830</v>
      </c>
      <c r="J56" t="s">
        <v>831</v>
      </c>
      <c r="K56" t="s">
        <v>832</v>
      </c>
      <c r="L56" t="s">
        <v>833</v>
      </c>
      <c r="M56" s="1">
        <v>46274.899965277778</v>
      </c>
      <c r="N56" s="1">
        <v>46274.899976851855</v>
      </c>
      <c r="O56" s="1">
        <v>46274.899965277778</v>
      </c>
      <c r="P56" t="s">
        <v>834</v>
      </c>
      <c r="Q56" t="s">
        <v>674</v>
      </c>
      <c r="T56" t="s">
        <v>674</v>
      </c>
      <c r="U56" t="s">
        <v>674</v>
      </c>
      <c r="V56" t="s">
        <v>674</v>
      </c>
      <c r="W56" t="s">
        <v>674</v>
      </c>
      <c r="X56" t="s">
        <v>674</v>
      </c>
      <c r="Y56" t="s">
        <v>674</v>
      </c>
      <c r="Z56" t="s">
        <v>674</v>
      </c>
      <c r="AA56" t="s">
        <v>133</v>
      </c>
      <c r="AB56" t="s">
        <v>835</v>
      </c>
      <c r="AC56" t="s">
        <v>97</v>
      </c>
      <c r="AD56" t="s">
        <v>674</v>
      </c>
      <c r="AE56" t="s">
        <v>674</v>
      </c>
      <c r="AF56" t="s">
        <v>674</v>
      </c>
      <c r="AG56" t="s">
        <v>674</v>
      </c>
      <c r="AH56" t="s">
        <v>99</v>
      </c>
      <c r="AJ56" t="s">
        <v>674</v>
      </c>
      <c r="AK56" t="s">
        <v>674</v>
      </c>
      <c r="AL56" t="s">
        <v>836</v>
      </c>
      <c r="AM56" t="s">
        <v>674</v>
      </c>
      <c r="AN56" t="s">
        <v>674</v>
      </c>
      <c r="AO56" t="s">
        <v>712</v>
      </c>
      <c r="AP56" t="s">
        <v>674</v>
      </c>
      <c r="AQ56" t="s">
        <v>674</v>
      </c>
      <c r="AR56" t="s">
        <v>674</v>
      </c>
      <c r="AS56" t="s">
        <v>674</v>
      </c>
      <c r="AT56" t="s">
        <v>674</v>
      </c>
      <c r="AU56" t="s">
        <v>674</v>
      </c>
      <c r="AV56" t="s">
        <v>674</v>
      </c>
      <c r="AW56" t="s">
        <v>674</v>
      </c>
      <c r="AX56" t="s">
        <v>674</v>
      </c>
      <c r="AY56" t="s">
        <v>674</v>
      </c>
      <c r="AZ56" t="s">
        <v>674</v>
      </c>
      <c r="BA56" t="s">
        <v>674</v>
      </c>
      <c r="BB56" t="s">
        <v>674</v>
      </c>
      <c r="BC56" t="s">
        <v>674</v>
      </c>
      <c r="BD56" t="s">
        <v>674</v>
      </c>
      <c r="BE56" t="s">
        <v>674</v>
      </c>
      <c r="BF56" t="s">
        <v>674</v>
      </c>
      <c r="BG56" t="s">
        <v>674</v>
      </c>
      <c r="BH56" t="s">
        <v>674</v>
      </c>
      <c r="BI56" t="s">
        <v>674</v>
      </c>
      <c r="BJ56" t="s">
        <v>674</v>
      </c>
      <c r="BK56" t="s">
        <v>674</v>
      </c>
      <c r="BL56" t="s">
        <v>674</v>
      </c>
      <c r="BM56" t="s">
        <v>674</v>
      </c>
      <c r="BN56" t="s">
        <v>674</v>
      </c>
      <c r="BO56" t="s">
        <v>674</v>
      </c>
      <c r="BP56" t="s">
        <v>674</v>
      </c>
      <c r="BQ56" t="s">
        <v>674</v>
      </c>
      <c r="BR56" t="s">
        <v>674</v>
      </c>
      <c r="BS56" t="s">
        <v>674</v>
      </c>
      <c r="BT56" t="s">
        <v>837</v>
      </c>
      <c r="BU56" t="s">
        <v>674</v>
      </c>
      <c r="BV56" t="s">
        <v>674</v>
      </c>
      <c r="BW56" t="s">
        <v>674</v>
      </c>
      <c r="BX56" t="s">
        <v>674</v>
      </c>
      <c r="BY56" t="s">
        <v>674</v>
      </c>
      <c r="BZ56" t="s">
        <v>674</v>
      </c>
      <c r="CA56" t="s">
        <v>674</v>
      </c>
      <c r="CB56" t="s">
        <v>674</v>
      </c>
      <c r="CC56" t="s">
        <v>674</v>
      </c>
      <c r="CD56" t="s">
        <v>674</v>
      </c>
      <c r="CE56" t="s">
        <v>674</v>
      </c>
      <c r="CF56" t="s">
        <v>674</v>
      </c>
      <c r="CG56" t="s">
        <v>674</v>
      </c>
      <c r="CH56" t="s">
        <v>674</v>
      </c>
      <c r="CI56" t="s">
        <v>674</v>
      </c>
    </row>
    <row r="57" spans="1:87" x14ac:dyDescent="0.25">
      <c r="A57" t="s">
        <v>838</v>
      </c>
      <c r="B57" t="s">
        <v>88</v>
      </c>
      <c r="C57">
        <v>2013</v>
      </c>
      <c r="D57" t="s">
        <v>839</v>
      </c>
      <c r="E57" t="s">
        <v>840</v>
      </c>
      <c r="F57" t="s">
        <v>115</v>
      </c>
      <c r="G57" t="s">
        <v>674</v>
      </c>
      <c r="H57" t="s">
        <v>116</v>
      </c>
      <c r="I57" t="s">
        <v>841</v>
      </c>
      <c r="J57" t="s">
        <v>842</v>
      </c>
      <c r="K57" t="s">
        <v>843</v>
      </c>
      <c r="L57" t="s">
        <v>844</v>
      </c>
      <c r="M57" s="1">
        <v>46274.900034722225</v>
      </c>
      <c r="N57" s="1">
        <v>46274.900046296294</v>
      </c>
      <c r="O57" s="1">
        <v>46274.900034722225</v>
      </c>
      <c r="P57" t="s">
        <v>845</v>
      </c>
      <c r="Q57" t="s">
        <v>674</v>
      </c>
      <c r="R57">
        <v>8</v>
      </c>
      <c r="S57">
        <v>60</v>
      </c>
      <c r="T57" t="s">
        <v>674</v>
      </c>
      <c r="U57" t="s">
        <v>121</v>
      </c>
      <c r="V57" t="s">
        <v>674</v>
      </c>
      <c r="W57" t="s">
        <v>674</v>
      </c>
      <c r="X57" t="s">
        <v>674</v>
      </c>
      <c r="Y57" t="s">
        <v>674</v>
      </c>
      <c r="Z57" t="s">
        <v>674</v>
      </c>
      <c r="AA57" t="s">
        <v>674</v>
      </c>
      <c r="AB57" t="s">
        <v>674</v>
      </c>
      <c r="AC57" t="s">
        <v>97</v>
      </c>
      <c r="AD57" t="s">
        <v>122</v>
      </c>
      <c r="AE57" t="s">
        <v>674</v>
      </c>
      <c r="AF57" t="s">
        <v>674</v>
      </c>
      <c r="AG57" t="s">
        <v>674</v>
      </c>
      <c r="AH57" t="s">
        <v>99</v>
      </c>
      <c r="AJ57" t="s">
        <v>674</v>
      </c>
      <c r="AK57" t="s">
        <v>674</v>
      </c>
      <c r="AL57" t="s">
        <v>846</v>
      </c>
      <c r="AM57" t="s">
        <v>674</v>
      </c>
      <c r="AN57" t="s">
        <v>674</v>
      </c>
      <c r="AO57" t="s">
        <v>712</v>
      </c>
      <c r="AP57" t="s">
        <v>674</v>
      </c>
      <c r="AQ57" t="s">
        <v>674</v>
      </c>
      <c r="AR57" t="s">
        <v>674</v>
      </c>
      <c r="AS57" t="s">
        <v>674</v>
      </c>
      <c r="AT57" t="s">
        <v>674</v>
      </c>
      <c r="AU57" t="s">
        <v>674</v>
      </c>
      <c r="AV57" t="s">
        <v>674</v>
      </c>
      <c r="AW57" t="s">
        <v>674</v>
      </c>
      <c r="AX57" t="s">
        <v>674</v>
      </c>
      <c r="AY57" t="s">
        <v>674</v>
      </c>
      <c r="AZ57" t="s">
        <v>674</v>
      </c>
      <c r="BA57" t="s">
        <v>674</v>
      </c>
      <c r="BB57" t="s">
        <v>674</v>
      </c>
      <c r="BC57" t="s">
        <v>674</v>
      </c>
      <c r="BD57" t="s">
        <v>674</v>
      </c>
      <c r="BE57" t="s">
        <v>674</v>
      </c>
      <c r="BF57" t="s">
        <v>674</v>
      </c>
      <c r="BG57" t="s">
        <v>674</v>
      </c>
      <c r="BH57" t="s">
        <v>674</v>
      </c>
      <c r="BI57" t="s">
        <v>674</v>
      </c>
      <c r="BJ57" t="s">
        <v>674</v>
      </c>
      <c r="BK57" t="s">
        <v>674</v>
      </c>
      <c r="BL57" t="s">
        <v>674</v>
      </c>
      <c r="BM57" t="s">
        <v>674</v>
      </c>
      <c r="BN57" t="s">
        <v>674</v>
      </c>
      <c r="BO57" t="s">
        <v>674</v>
      </c>
      <c r="BP57" t="s">
        <v>674</v>
      </c>
      <c r="BQ57" t="s">
        <v>674</v>
      </c>
      <c r="BR57" t="s">
        <v>674</v>
      </c>
      <c r="BS57" t="s">
        <v>674</v>
      </c>
      <c r="BT57" t="s">
        <v>674</v>
      </c>
      <c r="BU57" t="s">
        <v>674</v>
      </c>
      <c r="BV57" t="s">
        <v>674</v>
      </c>
      <c r="BW57" t="s">
        <v>674</v>
      </c>
      <c r="BX57" t="s">
        <v>674</v>
      </c>
      <c r="BY57" t="s">
        <v>674</v>
      </c>
      <c r="BZ57" t="s">
        <v>674</v>
      </c>
      <c r="CA57" t="s">
        <v>674</v>
      </c>
      <c r="CB57" t="s">
        <v>674</v>
      </c>
      <c r="CC57" t="s">
        <v>674</v>
      </c>
      <c r="CD57" t="s">
        <v>674</v>
      </c>
      <c r="CE57" t="s">
        <v>674</v>
      </c>
      <c r="CF57" t="s">
        <v>674</v>
      </c>
      <c r="CG57" t="s">
        <v>674</v>
      </c>
      <c r="CH57" t="s">
        <v>674</v>
      </c>
      <c r="CI57" t="s">
        <v>674</v>
      </c>
    </row>
    <row r="58" spans="1:87" x14ac:dyDescent="0.25">
      <c r="A58" t="s">
        <v>847</v>
      </c>
      <c r="B58" t="s">
        <v>126</v>
      </c>
      <c r="C58">
        <v>2016</v>
      </c>
      <c r="D58" t="s">
        <v>848</v>
      </c>
      <c r="E58" t="s">
        <v>849</v>
      </c>
      <c r="F58" t="s">
        <v>850</v>
      </c>
      <c r="G58" t="s">
        <v>851</v>
      </c>
      <c r="H58" t="s">
        <v>674</v>
      </c>
      <c r="I58" t="s">
        <v>852</v>
      </c>
      <c r="J58" t="s">
        <v>853</v>
      </c>
      <c r="K58" t="s">
        <v>854</v>
      </c>
      <c r="L58" t="s">
        <v>855</v>
      </c>
      <c r="M58" s="1">
        <v>46274.900092592594</v>
      </c>
      <c r="N58" s="1">
        <v>46274.90011574074</v>
      </c>
      <c r="O58" s="1">
        <v>46274.900092592594</v>
      </c>
      <c r="P58" t="s">
        <v>856</v>
      </c>
      <c r="Q58" t="s">
        <v>674</v>
      </c>
      <c r="T58" t="s">
        <v>674</v>
      </c>
      <c r="U58" t="s">
        <v>674</v>
      </c>
      <c r="V58" t="s">
        <v>674</v>
      </c>
      <c r="W58" t="s">
        <v>674</v>
      </c>
      <c r="X58" t="s">
        <v>674</v>
      </c>
      <c r="Y58" t="s">
        <v>674</v>
      </c>
      <c r="Z58" t="s">
        <v>674</v>
      </c>
      <c r="AA58" t="s">
        <v>133</v>
      </c>
      <c r="AB58" t="s">
        <v>857</v>
      </c>
      <c r="AC58" t="s">
        <v>97</v>
      </c>
      <c r="AD58" t="s">
        <v>674</v>
      </c>
      <c r="AE58" t="s">
        <v>674</v>
      </c>
      <c r="AF58" t="s">
        <v>674</v>
      </c>
      <c r="AG58" t="s">
        <v>674</v>
      </c>
      <c r="AH58" t="s">
        <v>99</v>
      </c>
      <c r="AJ58" t="s">
        <v>674</v>
      </c>
      <c r="AK58" t="s">
        <v>674</v>
      </c>
      <c r="AL58" t="s">
        <v>858</v>
      </c>
      <c r="AM58" t="s">
        <v>674</v>
      </c>
      <c r="AN58" t="s">
        <v>674</v>
      </c>
      <c r="AO58" t="s">
        <v>712</v>
      </c>
      <c r="AP58" t="s">
        <v>674</v>
      </c>
      <c r="AQ58" t="s">
        <v>674</v>
      </c>
      <c r="AR58" t="s">
        <v>674</v>
      </c>
      <c r="AS58" t="s">
        <v>674</v>
      </c>
      <c r="AT58" t="s">
        <v>674</v>
      </c>
      <c r="AU58" t="s">
        <v>674</v>
      </c>
      <c r="AV58" t="s">
        <v>674</v>
      </c>
      <c r="AW58" t="s">
        <v>674</v>
      </c>
      <c r="AX58" t="s">
        <v>674</v>
      </c>
      <c r="AY58" t="s">
        <v>674</v>
      </c>
      <c r="AZ58" t="s">
        <v>674</v>
      </c>
      <c r="BA58" t="s">
        <v>674</v>
      </c>
      <c r="BB58" t="s">
        <v>674</v>
      </c>
      <c r="BC58" t="s">
        <v>674</v>
      </c>
      <c r="BD58" t="s">
        <v>674</v>
      </c>
      <c r="BE58" t="s">
        <v>674</v>
      </c>
      <c r="BF58" t="s">
        <v>674</v>
      </c>
      <c r="BG58" t="s">
        <v>674</v>
      </c>
      <c r="BH58" t="s">
        <v>674</v>
      </c>
      <c r="BI58" t="s">
        <v>674</v>
      </c>
      <c r="BJ58" t="s">
        <v>674</v>
      </c>
      <c r="BK58" t="s">
        <v>674</v>
      </c>
      <c r="BL58" t="s">
        <v>674</v>
      </c>
      <c r="BM58" t="s">
        <v>674</v>
      </c>
      <c r="BN58" t="s">
        <v>674</v>
      </c>
      <c r="BO58" t="s">
        <v>674</v>
      </c>
      <c r="BP58" t="s">
        <v>674</v>
      </c>
      <c r="BQ58" t="s">
        <v>674</v>
      </c>
      <c r="BR58" t="s">
        <v>674</v>
      </c>
      <c r="BS58" t="s">
        <v>674</v>
      </c>
      <c r="BT58" t="s">
        <v>850</v>
      </c>
      <c r="BU58" t="s">
        <v>674</v>
      </c>
      <c r="BV58" t="s">
        <v>674</v>
      </c>
      <c r="BW58" t="s">
        <v>674</v>
      </c>
      <c r="BX58" t="s">
        <v>674</v>
      </c>
      <c r="BY58" t="s">
        <v>674</v>
      </c>
      <c r="BZ58" t="s">
        <v>674</v>
      </c>
      <c r="CA58" t="s">
        <v>674</v>
      </c>
      <c r="CB58" t="s">
        <v>674</v>
      </c>
      <c r="CC58" t="s">
        <v>674</v>
      </c>
      <c r="CD58" t="s">
        <v>674</v>
      </c>
      <c r="CE58" t="s">
        <v>674</v>
      </c>
      <c r="CF58" t="s">
        <v>674</v>
      </c>
      <c r="CG58" t="s">
        <v>674</v>
      </c>
      <c r="CH58" t="s">
        <v>674</v>
      </c>
      <c r="CI58" t="s">
        <v>674</v>
      </c>
    </row>
    <row r="59" spans="1:87" x14ac:dyDescent="0.25">
      <c r="A59" t="s">
        <v>859</v>
      </c>
      <c r="B59" t="s">
        <v>88</v>
      </c>
      <c r="C59">
        <v>2016</v>
      </c>
      <c r="D59" t="s">
        <v>860</v>
      </c>
      <c r="E59" t="s">
        <v>861</v>
      </c>
      <c r="F59" t="s">
        <v>862</v>
      </c>
      <c r="G59" t="s">
        <v>674</v>
      </c>
      <c r="H59" t="s">
        <v>863</v>
      </c>
      <c r="I59" t="s">
        <v>864</v>
      </c>
      <c r="J59" t="s">
        <v>865</v>
      </c>
      <c r="K59" t="s">
        <v>674</v>
      </c>
      <c r="L59" t="s">
        <v>866</v>
      </c>
      <c r="M59" s="1">
        <v>46274.90016203704</v>
      </c>
      <c r="N59" s="1">
        <v>46274.900173611109</v>
      </c>
      <c r="O59" s="1">
        <v>46274.90016203704</v>
      </c>
      <c r="P59" t="s">
        <v>867</v>
      </c>
      <c r="Q59" t="s">
        <v>674</v>
      </c>
      <c r="R59">
        <v>12</v>
      </c>
      <c r="S59">
        <v>1</v>
      </c>
      <c r="T59" t="s">
        <v>674</v>
      </c>
      <c r="U59" t="s">
        <v>868</v>
      </c>
      <c r="V59" t="s">
        <v>674</v>
      </c>
      <c r="W59" t="s">
        <v>674</v>
      </c>
      <c r="X59" t="s">
        <v>674</v>
      </c>
      <c r="Y59" t="s">
        <v>674</v>
      </c>
      <c r="Z59" t="s">
        <v>674</v>
      </c>
      <c r="AA59" t="s">
        <v>674</v>
      </c>
      <c r="AB59" t="s">
        <v>674</v>
      </c>
      <c r="AC59" t="s">
        <v>97</v>
      </c>
      <c r="AD59" t="s">
        <v>674</v>
      </c>
      <c r="AE59" t="s">
        <v>674</v>
      </c>
      <c r="AF59" t="s">
        <v>674</v>
      </c>
      <c r="AG59" t="s">
        <v>674</v>
      </c>
      <c r="AH59" t="s">
        <v>99</v>
      </c>
      <c r="AJ59" t="s">
        <v>674</v>
      </c>
      <c r="AK59" t="s">
        <v>674</v>
      </c>
      <c r="AL59" t="s">
        <v>869</v>
      </c>
      <c r="AM59" t="s">
        <v>674</v>
      </c>
      <c r="AN59" t="s">
        <v>674</v>
      </c>
      <c r="AO59" t="s">
        <v>712</v>
      </c>
      <c r="AP59" t="s">
        <v>674</v>
      </c>
      <c r="AQ59" t="s">
        <v>674</v>
      </c>
      <c r="AR59" t="s">
        <v>674</v>
      </c>
      <c r="AS59" t="s">
        <v>674</v>
      </c>
      <c r="AT59" t="s">
        <v>674</v>
      </c>
      <c r="AU59" t="s">
        <v>674</v>
      </c>
      <c r="AV59" t="s">
        <v>674</v>
      </c>
      <c r="AW59" t="s">
        <v>674</v>
      </c>
      <c r="AX59" t="s">
        <v>674</v>
      </c>
      <c r="AY59" t="s">
        <v>674</v>
      </c>
      <c r="AZ59" t="s">
        <v>674</v>
      </c>
      <c r="BA59" t="s">
        <v>674</v>
      </c>
      <c r="BB59" t="s">
        <v>674</v>
      </c>
      <c r="BC59" t="s">
        <v>674</v>
      </c>
      <c r="BD59" t="s">
        <v>674</v>
      </c>
      <c r="BE59" t="s">
        <v>674</v>
      </c>
      <c r="BF59" t="s">
        <v>674</v>
      </c>
      <c r="BG59" t="s">
        <v>674</v>
      </c>
      <c r="BH59" t="s">
        <v>674</v>
      </c>
      <c r="BI59" t="s">
        <v>674</v>
      </c>
      <c r="BJ59" t="s">
        <v>674</v>
      </c>
      <c r="BK59" t="s">
        <v>674</v>
      </c>
      <c r="BL59" t="s">
        <v>674</v>
      </c>
      <c r="BM59" t="s">
        <v>674</v>
      </c>
      <c r="BN59" t="s">
        <v>674</v>
      </c>
      <c r="BO59" t="s">
        <v>674</v>
      </c>
      <c r="BP59" t="s">
        <v>674</v>
      </c>
      <c r="BQ59" t="s">
        <v>674</v>
      </c>
      <c r="BR59" t="s">
        <v>674</v>
      </c>
      <c r="BS59" t="s">
        <v>674</v>
      </c>
      <c r="BT59" t="s">
        <v>674</v>
      </c>
      <c r="BU59" t="s">
        <v>674</v>
      </c>
      <c r="BV59" t="s">
        <v>674</v>
      </c>
      <c r="BW59" t="s">
        <v>674</v>
      </c>
      <c r="BX59" t="s">
        <v>674</v>
      </c>
      <c r="BY59" t="s">
        <v>674</v>
      </c>
      <c r="BZ59" t="s">
        <v>674</v>
      </c>
      <c r="CA59" t="s">
        <v>674</v>
      </c>
      <c r="CB59" t="s">
        <v>674</v>
      </c>
      <c r="CC59" t="s">
        <v>674</v>
      </c>
      <c r="CD59" t="s">
        <v>674</v>
      </c>
      <c r="CE59" t="s">
        <v>674</v>
      </c>
      <c r="CF59" t="s">
        <v>674</v>
      </c>
      <c r="CG59" t="s">
        <v>674</v>
      </c>
      <c r="CH59" t="s">
        <v>674</v>
      </c>
      <c r="CI59" t="s">
        <v>674</v>
      </c>
    </row>
    <row r="60" spans="1:87" x14ac:dyDescent="0.25">
      <c r="A60" t="s">
        <v>870</v>
      </c>
      <c r="B60" t="s">
        <v>88</v>
      </c>
      <c r="D60" t="s">
        <v>871</v>
      </c>
      <c r="E60" t="s">
        <v>872</v>
      </c>
      <c r="F60" t="s">
        <v>674</v>
      </c>
      <c r="G60" t="s">
        <v>674</v>
      </c>
      <c r="H60" t="s">
        <v>674</v>
      </c>
      <c r="I60" t="s">
        <v>674</v>
      </c>
      <c r="J60" t="s">
        <v>674</v>
      </c>
      <c r="K60" t="s">
        <v>674</v>
      </c>
      <c r="L60" t="s">
        <v>674</v>
      </c>
      <c r="M60" s="1">
        <v>46274.900208333333</v>
      </c>
      <c r="N60" s="1">
        <v>46274.900208333333</v>
      </c>
      <c r="O60" s="1"/>
      <c r="P60" t="s">
        <v>674</v>
      </c>
      <c r="Q60" t="s">
        <v>674</v>
      </c>
      <c r="T60" t="s">
        <v>674</v>
      </c>
      <c r="U60" t="s">
        <v>674</v>
      </c>
      <c r="V60" t="s">
        <v>674</v>
      </c>
      <c r="W60" t="s">
        <v>674</v>
      </c>
      <c r="X60" t="s">
        <v>674</v>
      </c>
      <c r="Y60" t="s">
        <v>674</v>
      </c>
      <c r="Z60" t="s">
        <v>674</v>
      </c>
      <c r="AA60" t="s">
        <v>674</v>
      </c>
      <c r="AB60" t="s">
        <v>674</v>
      </c>
      <c r="AC60" t="s">
        <v>710</v>
      </c>
      <c r="AD60" t="s">
        <v>674</v>
      </c>
      <c r="AE60" t="s">
        <v>674</v>
      </c>
      <c r="AF60" t="s">
        <v>674</v>
      </c>
      <c r="AG60" t="s">
        <v>674</v>
      </c>
      <c r="AH60" t="s">
        <v>163</v>
      </c>
      <c r="AJ60" t="s">
        <v>674</v>
      </c>
      <c r="AK60" t="s">
        <v>674</v>
      </c>
      <c r="AL60" t="s">
        <v>873</v>
      </c>
      <c r="AM60" t="s">
        <v>674</v>
      </c>
      <c r="AN60" t="s">
        <v>674</v>
      </c>
      <c r="AO60" t="s">
        <v>712</v>
      </c>
      <c r="AP60" t="s">
        <v>674</v>
      </c>
      <c r="AQ60" t="s">
        <v>674</v>
      </c>
      <c r="AR60" t="s">
        <v>674</v>
      </c>
      <c r="AS60" t="s">
        <v>674</v>
      </c>
      <c r="AT60" t="s">
        <v>674</v>
      </c>
      <c r="AU60" t="s">
        <v>674</v>
      </c>
      <c r="AV60" t="s">
        <v>674</v>
      </c>
      <c r="AW60" t="s">
        <v>674</v>
      </c>
      <c r="AX60" t="s">
        <v>674</v>
      </c>
      <c r="AY60" t="s">
        <v>674</v>
      </c>
      <c r="AZ60" t="s">
        <v>674</v>
      </c>
      <c r="BA60" t="s">
        <v>674</v>
      </c>
      <c r="BB60" t="s">
        <v>674</v>
      </c>
      <c r="BC60" t="s">
        <v>674</v>
      </c>
      <c r="BD60" t="s">
        <v>674</v>
      </c>
      <c r="BE60" t="s">
        <v>674</v>
      </c>
      <c r="BF60" t="s">
        <v>674</v>
      </c>
      <c r="BG60" t="s">
        <v>674</v>
      </c>
      <c r="BH60" t="s">
        <v>674</v>
      </c>
      <c r="BI60" t="s">
        <v>674</v>
      </c>
      <c r="BJ60" t="s">
        <v>674</v>
      </c>
      <c r="BK60" t="s">
        <v>674</v>
      </c>
      <c r="BL60" t="s">
        <v>674</v>
      </c>
      <c r="BM60" t="s">
        <v>674</v>
      </c>
      <c r="BN60" t="s">
        <v>674</v>
      </c>
      <c r="BO60" t="s">
        <v>674</v>
      </c>
      <c r="BP60" t="s">
        <v>674</v>
      </c>
      <c r="BQ60" t="s">
        <v>674</v>
      </c>
      <c r="BR60" t="s">
        <v>674</v>
      </c>
      <c r="BS60" t="s">
        <v>674</v>
      </c>
      <c r="BT60" t="s">
        <v>674</v>
      </c>
      <c r="BU60" t="s">
        <v>674</v>
      </c>
      <c r="BV60" t="s">
        <v>674</v>
      </c>
      <c r="BW60" t="s">
        <v>674</v>
      </c>
      <c r="BX60" t="s">
        <v>674</v>
      </c>
      <c r="BY60" t="s">
        <v>674</v>
      </c>
      <c r="BZ60" t="s">
        <v>674</v>
      </c>
      <c r="CA60" t="s">
        <v>674</v>
      </c>
      <c r="CB60" t="s">
        <v>674</v>
      </c>
      <c r="CC60" t="s">
        <v>674</v>
      </c>
      <c r="CD60" t="s">
        <v>674</v>
      </c>
      <c r="CE60" t="s">
        <v>674</v>
      </c>
      <c r="CF60" t="s">
        <v>674</v>
      </c>
      <c r="CG60" t="s">
        <v>674</v>
      </c>
      <c r="CH60" t="s">
        <v>674</v>
      </c>
      <c r="CI60" t="s">
        <v>674</v>
      </c>
    </row>
    <row r="61" spans="1:87" x14ac:dyDescent="0.25">
      <c r="A61" t="s">
        <v>874</v>
      </c>
      <c r="B61" t="s">
        <v>88</v>
      </c>
      <c r="D61" t="s">
        <v>871</v>
      </c>
      <c r="E61" t="s">
        <v>875</v>
      </c>
      <c r="F61" t="s">
        <v>674</v>
      </c>
      <c r="G61" t="s">
        <v>674</v>
      </c>
      <c r="H61" t="s">
        <v>674</v>
      </c>
      <c r="I61" t="s">
        <v>674</v>
      </c>
      <c r="J61" t="s">
        <v>674</v>
      </c>
      <c r="K61" t="s">
        <v>674</v>
      </c>
      <c r="L61" t="s">
        <v>674</v>
      </c>
      <c r="M61" s="1">
        <v>46274.900254629632</v>
      </c>
      <c r="N61" s="1">
        <v>46274.900266203702</v>
      </c>
      <c r="O61" s="1"/>
      <c r="P61" t="s">
        <v>674</v>
      </c>
      <c r="Q61" t="s">
        <v>674</v>
      </c>
      <c r="R61">
        <v>2</v>
      </c>
      <c r="T61" t="s">
        <v>674</v>
      </c>
      <c r="U61" t="s">
        <v>674</v>
      </c>
      <c r="V61" t="s">
        <v>674</v>
      </c>
      <c r="W61" t="s">
        <v>674</v>
      </c>
      <c r="X61" t="s">
        <v>674</v>
      </c>
      <c r="Y61" t="s">
        <v>674</v>
      </c>
      <c r="Z61" t="s">
        <v>674</v>
      </c>
      <c r="AA61" t="s">
        <v>674</v>
      </c>
      <c r="AB61" t="s">
        <v>674</v>
      </c>
      <c r="AC61" t="s">
        <v>710</v>
      </c>
      <c r="AD61" t="s">
        <v>674</v>
      </c>
      <c r="AE61" t="s">
        <v>674</v>
      </c>
      <c r="AF61" t="s">
        <v>674</v>
      </c>
      <c r="AG61" t="s">
        <v>674</v>
      </c>
      <c r="AH61" t="s">
        <v>163</v>
      </c>
      <c r="AJ61" t="s">
        <v>674</v>
      </c>
      <c r="AK61" t="s">
        <v>674</v>
      </c>
      <c r="AL61" t="s">
        <v>876</v>
      </c>
      <c r="AM61" t="s">
        <v>674</v>
      </c>
      <c r="AN61" t="s">
        <v>674</v>
      </c>
      <c r="AO61" t="s">
        <v>712</v>
      </c>
      <c r="AP61" t="s">
        <v>674</v>
      </c>
      <c r="AQ61" t="s">
        <v>674</v>
      </c>
      <c r="AR61" t="s">
        <v>674</v>
      </c>
      <c r="AS61" t="s">
        <v>674</v>
      </c>
      <c r="AT61" t="s">
        <v>674</v>
      </c>
      <c r="AU61" t="s">
        <v>674</v>
      </c>
      <c r="AV61" t="s">
        <v>674</v>
      </c>
      <c r="AW61" t="s">
        <v>674</v>
      </c>
      <c r="AX61" t="s">
        <v>674</v>
      </c>
      <c r="AY61" t="s">
        <v>674</v>
      </c>
      <c r="AZ61" t="s">
        <v>674</v>
      </c>
      <c r="BA61" t="s">
        <v>674</v>
      </c>
      <c r="BB61" t="s">
        <v>674</v>
      </c>
      <c r="BC61" t="s">
        <v>674</v>
      </c>
      <c r="BD61" t="s">
        <v>674</v>
      </c>
      <c r="BE61" t="s">
        <v>674</v>
      </c>
      <c r="BF61" t="s">
        <v>674</v>
      </c>
      <c r="BG61" t="s">
        <v>674</v>
      </c>
      <c r="BH61" t="s">
        <v>674</v>
      </c>
      <c r="BI61" t="s">
        <v>674</v>
      </c>
      <c r="BJ61" t="s">
        <v>674</v>
      </c>
      <c r="BK61" t="s">
        <v>674</v>
      </c>
      <c r="BL61" t="s">
        <v>674</v>
      </c>
      <c r="BM61" t="s">
        <v>674</v>
      </c>
      <c r="BN61" t="s">
        <v>674</v>
      </c>
      <c r="BO61" t="s">
        <v>674</v>
      </c>
      <c r="BP61" t="s">
        <v>674</v>
      </c>
      <c r="BQ61" t="s">
        <v>674</v>
      </c>
      <c r="BR61" t="s">
        <v>674</v>
      </c>
      <c r="BS61" t="s">
        <v>674</v>
      </c>
      <c r="BT61" t="s">
        <v>674</v>
      </c>
      <c r="BU61" t="s">
        <v>674</v>
      </c>
      <c r="BV61" t="s">
        <v>674</v>
      </c>
      <c r="BW61" t="s">
        <v>674</v>
      </c>
      <c r="BX61" t="s">
        <v>674</v>
      </c>
      <c r="BY61" t="s">
        <v>674</v>
      </c>
      <c r="BZ61" t="s">
        <v>674</v>
      </c>
      <c r="CA61" t="s">
        <v>674</v>
      </c>
      <c r="CB61" t="s">
        <v>674</v>
      </c>
      <c r="CC61" t="s">
        <v>674</v>
      </c>
      <c r="CD61" t="s">
        <v>674</v>
      </c>
      <c r="CE61" t="s">
        <v>674</v>
      </c>
      <c r="CF61" t="s">
        <v>674</v>
      </c>
      <c r="CG61" t="s">
        <v>674</v>
      </c>
      <c r="CH61" t="s">
        <v>674</v>
      </c>
      <c r="CI61" t="s">
        <v>674</v>
      </c>
    </row>
    <row r="62" spans="1:87" x14ac:dyDescent="0.25">
      <c r="A62" t="s">
        <v>877</v>
      </c>
      <c r="B62" t="s">
        <v>88</v>
      </c>
      <c r="D62" t="s">
        <v>871</v>
      </c>
      <c r="E62" t="s">
        <v>878</v>
      </c>
      <c r="F62" t="s">
        <v>674</v>
      </c>
      <c r="G62" t="s">
        <v>674</v>
      </c>
      <c r="H62" t="s">
        <v>674</v>
      </c>
      <c r="I62" t="s">
        <v>674</v>
      </c>
      <c r="J62" t="s">
        <v>674</v>
      </c>
      <c r="K62" t="s">
        <v>674</v>
      </c>
      <c r="L62" t="s">
        <v>674</v>
      </c>
      <c r="M62" s="1">
        <v>46274.900300925925</v>
      </c>
      <c r="N62" s="1">
        <v>46274.900300925925</v>
      </c>
      <c r="O62" s="1"/>
      <c r="P62" t="s">
        <v>674</v>
      </c>
      <c r="Q62" t="s">
        <v>674</v>
      </c>
      <c r="R62">
        <v>2</v>
      </c>
      <c r="T62" t="s">
        <v>674</v>
      </c>
      <c r="U62" t="s">
        <v>674</v>
      </c>
      <c r="V62" t="s">
        <v>674</v>
      </c>
      <c r="W62" t="s">
        <v>674</v>
      </c>
      <c r="X62" t="s">
        <v>674</v>
      </c>
      <c r="Y62" t="s">
        <v>674</v>
      </c>
      <c r="Z62" t="s">
        <v>674</v>
      </c>
      <c r="AA62" t="s">
        <v>674</v>
      </c>
      <c r="AB62" t="s">
        <v>674</v>
      </c>
      <c r="AC62" t="s">
        <v>710</v>
      </c>
      <c r="AD62" t="s">
        <v>674</v>
      </c>
      <c r="AE62" t="s">
        <v>674</v>
      </c>
      <c r="AF62" t="s">
        <v>674</v>
      </c>
      <c r="AG62" t="s">
        <v>674</v>
      </c>
      <c r="AH62" t="s">
        <v>163</v>
      </c>
      <c r="AJ62" t="s">
        <v>674</v>
      </c>
      <c r="AK62" t="s">
        <v>674</v>
      </c>
      <c r="AL62" t="s">
        <v>879</v>
      </c>
      <c r="AM62" t="s">
        <v>674</v>
      </c>
      <c r="AN62" t="s">
        <v>674</v>
      </c>
      <c r="AO62" t="s">
        <v>712</v>
      </c>
      <c r="AP62" t="s">
        <v>674</v>
      </c>
      <c r="AQ62" t="s">
        <v>674</v>
      </c>
      <c r="AR62" t="s">
        <v>674</v>
      </c>
      <c r="AS62" t="s">
        <v>674</v>
      </c>
      <c r="AT62" t="s">
        <v>674</v>
      </c>
      <c r="AU62" t="s">
        <v>674</v>
      </c>
      <c r="AV62" t="s">
        <v>674</v>
      </c>
      <c r="AW62" t="s">
        <v>674</v>
      </c>
      <c r="AX62" t="s">
        <v>674</v>
      </c>
      <c r="AY62" t="s">
        <v>674</v>
      </c>
      <c r="AZ62" t="s">
        <v>674</v>
      </c>
      <c r="BA62" t="s">
        <v>674</v>
      </c>
      <c r="BB62" t="s">
        <v>674</v>
      </c>
      <c r="BC62" t="s">
        <v>674</v>
      </c>
      <c r="BD62" t="s">
        <v>674</v>
      </c>
      <c r="BE62" t="s">
        <v>674</v>
      </c>
      <c r="BF62" t="s">
        <v>674</v>
      </c>
      <c r="BG62" t="s">
        <v>674</v>
      </c>
      <c r="BH62" t="s">
        <v>674</v>
      </c>
      <c r="BI62" t="s">
        <v>674</v>
      </c>
      <c r="BJ62" t="s">
        <v>674</v>
      </c>
      <c r="BK62" t="s">
        <v>674</v>
      </c>
      <c r="BL62" t="s">
        <v>674</v>
      </c>
      <c r="BM62" t="s">
        <v>674</v>
      </c>
      <c r="BN62" t="s">
        <v>674</v>
      </c>
      <c r="BO62" t="s">
        <v>674</v>
      </c>
      <c r="BP62" t="s">
        <v>674</v>
      </c>
      <c r="BQ62" t="s">
        <v>674</v>
      </c>
      <c r="BR62" t="s">
        <v>674</v>
      </c>
      <c r="BS62" t="s">
        <v>674</v>
      </c>
      <c r="BT62" t="s">
        <v>674</v>
      </c>
      <c r="BU62" t="s">
        <v>674</v>
      </c>
      <c r="BV62" t="s">
        <v>674</v>
      </c>
      <c r="BW62" t="s">
        <v>674</v>
      </c>
      <c r="BX62" t="s">
        <v>674</v>
      </c>
      <c r="BY62" t="s">
        <v>674</v>
      </c>
      <c r="BZ62" t="s">
        <v>674</v>
      </c>
      <c r="CA62" t="s">
        <v>674</v>
      </c>
      <c r="CB62" t="s">
        <v>674</v>
      </c>
      <c r="CC62" t="s">
        <v>674</v>
      </c>
      <c r="CD62" t="s">
        <v>674</v>
      </c>
      <c r="CE62" t="s">
        <v>674</v>
      </c>
      <c r="CF62" t="s">
        <v>674</v>
      </c>
      <c r="CG62" t="s">
        <v>674</v>
      </c>
      <c r="CH62" t="s">
        <v>674</v>
      </c>
      <c r="CI62" t="s">
        <v>674</v>
      </c>
    </row>
    <row r="63" spans="1:87" x14ac:dyDescent="0.25">
      <c r="A63" t="s">
        <v>880</v>
      </c>
      <c r="B63" t="s">
        <v>88</v>
      </c>
      <c r="C63">
        <v>2026</v>
      </c>
      <c r="D63" t="s">
        <v>881</v>
      </c>
      <c r="E63" t="s">
        <v>882</v>
      </c>
      <c r="F63" t="s">
        <v>499</v>
      </c>
      <c r="G63" t="s">
        <v>674</v>
      </c>
      <c r="H63" t="s">
        <v>500</v>
      </c>
      <c r="I63" t="s">
        <v>883</v>
      </c>
      <c r="J63" t="s">
        <v>884</v>
      </c>
      <c r="K63" t="s">
        <v>885</v>
      </c>
      <c r="L63" t="s">
        <v>886</v>
      </c>
      <c r="M63" s="1">
        <v>46274.900416666664</v>
      </c>
      <c r="N63" s="1">
        <v>46274.900439814817</v>
      </c>
      <c r="O63" s="1">
        <v>46274.900416666664</v>
      </c>
      <c r="P63" t="s">
        <v>887</v>
      </c>
      <c r="Q63" t="s">
        <v>674</v>
      </c>
      <c r="R63">
        <v>4</v>
      </c>
      <c r="S63">
        <v>41</v>
      </c>
      <c r="T63" t="s">
        <v>674</v>
      </c>
      <c r="U63" t="s">
        <v>505</v>
      </c>
      <c r="V63" t="s">
        <v>674</v>
      </c>
      <c r="W63" t="s">
        <v>674</v>
      </c>
      <c r="X63" t="s">
        <v>674</v>
      </c>
      <c r="Y63" t="s">
        <v>674</v>
      </c>
      <c r="Z63" t="s">
        <v>674</v>
      </c>
      <c r="AA63" t="s">
        <v>674</v>
      </c>
      <c r="AB63" t="s">
        <v>674</v>
      </c>
      <c r="AC63" t="s">
        <v>97</v>
      </c>
      <c r="AD63" t="s">
        <v>122</v>
      </c>
      <c r="AE63" t="s">
        <v>674</v>
      </c>
      <c r="AF63" t="s">
        <v>674</v>
      </c>
      <c r="AG63" t="s">
        <v>674</v>
      </c>
      <c r="AH63" t="s">
        <v>99</v>
      </c>
      <c r="AJ63" t="s">
        <v>674</v>
      </c>
      <c r="AK63" t="s">
        <v>674</v>
      </c>
      <c r="AL63" t="s">
        <v>888</v>
      </c>
      <c r="AM63" t="s">
        <v>674</v>
      </c>
      <c r="AN63" t="s">
        <v>674</v>
      </c>
      <c r="AO63" t="s">
        <v>712</v>
      </c>
      <c r="AP63" t="s">
        <v>674</v>
      </c>
      <c r="AQ63" t="s">
        <v>674</v>
      </c>
      <c r="AR63" t="s">
        <v>674</v>
      </c>
      <c r="AS63" t="s">
        <v>674</v>
      </c>
      <c r="AT63" t="s">
        <v>674</v>
      </c>
      <c r="AU63" t="s">
        <v>674</v>
      </c>
      <c r="AV63" t="s">
        <v>674</v>
      </c>
      <c r="AW63" t="s">
        <v>674</v>
      </c>
      <c r="AX63" t="s">
        <v>674</v>
      </c>
      <c r="AY63" t="s">
        <v>674</v>
      </c>
      <c r="AZ63" t="s">
        <v>674</v>
      </c>
      <c r="BA63" t="s">
        <v>674</v>
      </c>
      <c r="BB63" t="s">
        <v>674</v>
      </c>
      <c r="BC63" t="s">
        <v>674</v>
      </c>
      <c r="BD63" t="s">
        <v>674</v>
      </c>
      <c r="BE63" t="s">
        <v>674</v>
      </c>
      <c r="BF63" t="s">
        <v>674</v>
      </c>
      <c r="BG63" t="s">
        <v>674</v>
      </c>
      <c r="BH63" t="s">
        <v>674</v>
      </c>
      <c r="BI63" t="s">
        <v>674</v>
      </c>
      <c r="BJ63" t="s">
        <v>674</v>
      </c>
      <c r="BK63" t="s">
        <v>674</v>
      </c>
      <c r="BL63" t="s">
        <v>674</v>
      </c>
      <c r="BM63" t="s">
        <v>674</v>
      </c>
      <c r="BN63" t="s">
        <v>674</v>
      </c>
      <c r="BO63" t="s">
        <v>674</v>
      </c>
      <c r="BP63" t="s">
        <v>674</v>
      </c>
      <c r="BQ63" t="s">
        <v>674</v>
      </c>
      <c r="BR63" t="s">
        <v>674</v>
      </c>
      <c r="BS63" t="s">
        <v>674</v>
      </c>
      <c r="BT63" t="s">
        <v>674</v>
      </c>
      <c r="BU63" t="s">
        <v>674</v>
      </c>
      <c r="BV63" t="s">
        <v>674</v>
      </c>
      <c r="BW63" t="s">
        <v>674</v>
      </c>
      <c r="BX63" t="s">
        <v>674</v>
      </c>
      <c r="BY63" t="s">
        <v>674</v>
      </c>
      <c r="BZ63" t="s">
        <v>674</v>
      </c>
      <c r="CA63" t="s">
        <v>674</v>
      </c>
      <c r="CB63" t="s">
        <v>674</v>
      </c>
      <c r="CC63" t="s">
        <v>674</v>
      </c>
      <c r="CD63" t="s">
        <v>674</v>
      </c>
      <c r="CE63" t="s">
        <v>674</v>
      </c>
      <c r="CF63" t="s">
        <v>674</v>
      </c>
      <c r="CG63" t="s">
        <v>674</v>
      </c>
      <c r="CH63" t="s">
        <v>674</v>
      </c>
      <c r="CI63" t="s">
        <v>674</v>
      </c>
    </row>
    <row r="64" spans="1:87" x14ac:dyDescent="0.25">
      <c r="A64" t="s">
        <v>889</v>
      </c>
      <c r="B64" t="s">
        <v>890</v>
      </c>
      <c r="C64">
        <v>2016</v>
      </c>
      <c r="D64" t="s">
        <v>891</v>
      </c>
      <c r="E64" t="s">
        <v>892</v>
      </c>
      <c r="F64" t="s">
        <v>674</v>
      </c>
      <c r="G64" t="s">
        <v>893</v>
      </c>
      <c r="H64" t="s">
        <v>674</v>
      </c>
      <c r="I64" t="s">
        <v>674</v>
      </c>
      <c r="J64" t="s">
        <v>674</v>
      </c>
      <c r="K64" t="s">
        <v>674</v>
      </c>
      <c r="L64" t="s">
        <v>894</v>
      </c>
      <c r="M64" s="1">
        <v>46274.900497685187</v>
      </c>
      <c r="N64" s="1">
        <v>46274.900497685187</v>
      </c>
      <c r="O64" s="1"/>
      <c r="P64" t="s">
        <v>674</v>
      </c>
      <c r="Q64" t="s">
        <v>674</v>
      </c>
      <c r="T64" t="s">
        <v>674</v>
      </c>
      <c r="U64" t="s">
        <v>674</v>
      </c>
      <c r="V64" t="s">
        <v>674</v>
      </c>
      <c r="W64" t="s">
        <v>895</v>
      </c>
      <c r="X64" t="s">
        <v>674</v>
      </c>
      <c r="Y64" t="s">
        <v>674</v>
      </c>
      <c r="Z64" t="s">
        <v>674</v>
      </c>
      <c r="AA64" t="s">
        <v>896</v>
      </c>
      <c r="AB64" t="s">
        <v>897</v>
      </c>
      <c r="AC64" t="s">
        <v>97</v>
      </c>
      <c r="AD64" t="s">
        <v>674</v>
      </c>
      <c r="AE64" t="s">
        <v>674</v>
      </c>
      <c r="AF64" t="s">
        <v>674</v>
      </c>
      <c r="AG64" t="s">
        <v>674</v>
      </c>
      <c r="AH64" t="s">
        <v>898</v>
      </c>
      <c r="AI64">
        <v>621312</v>
      </c>
      <c r="AJ64" t="s">
        <v>674</v>
      </c>
      <c r="AK64" t="s">
        <v>674</v>
      </c>
      <c r="AL64" t="s">
        <v>674</v>
      </c>
      <c r="AM64" t="s">
        <v>674</v>
      </c>
      <c r="AN64" t="s">
        <v>674</v>
      </c>
      <c r="AO64" t="s">
        <v>712</v>
      </c>
      <c r="AP64" t="s">
        <v>674</v>
      </c>
      <c r="AQ64" t="s">
        <v>674</v>
      </c>
      <c r="AR64" t="s">
        <v>674</v>
      </c>
      <c r="AS64" t="s">
        <v>674</v>
      </c>
      <c r="AT64" t="s">
        <v>674</v>
      </c>
      <c r="AU64" t="s">
        <v>674</v>
      </c>
      <c r="AV64" t="s">
        <v>674</v>
      </c>
      <c r="AW64" t="s">
        <v>674</v>
      </c>
      <c r="AX64" t="s">
        <v>674</v>
      </c>
      <c r="AY64" t="s">
        <v>674</v>
      </c>
      <c r="AZ64" t="s">
        <v>674</v>
      </c>
      <c r="BA64" t="s">
        <v>674</v>
      </c>
      <c r="BB64" t="s">
        <v>674</v>
      </c>
      <c r="BC64" t="s">
        <v>674</v>
      </c>
      <c r="BD64" t="s">
        <v>674</v>
      </c>
      <c r="BE64" t="s">
        <v>674</v>
      </c>
      <c r="BF64" t="s">
        <v>674</v>
      </c>
      <c r="BG64" t="s">
        <v>674</v>
      </c>
      <c r="BH64" t="s">
        <v>674</v>
      </c>
      <c r="BI64" t="s">
        <v>674</v>
      </c>
      <c r="BJ64" t="s">
        <v>674</v>
      </c>
      <c r="BK64" t="s">
        <v>674</v>
      </c>
      <c r="BL64" t="s">
        <v>674</v>
      </c>
      <c r="BM64" t="s">
        <v>674</v>
      </c>
      <c r="BN64" t="s">
        <v>674</v>
      </c>
      <c r="BO64" t="s">
        <v>674</v>
      </c>
      <c r="BP64" t="s">
        <v>674</v>
      </c>
      <c r="BQ64" t="s">
        <v>674</v>
      </c>
      <c r="BR64" t="s">
        <v>674</v>
      </c>
      <c r="BS64" t="s">
        <v>674</v>
      </c>
      <c r="BT64" t="s">
        <v>674</v>
      </c>
      <c r="BU64" t="s">
        <v>674</v>
      </c>
      <c r="BV64" t="s">
        <v>674</v>
      </c>
      <c r="BW64" t="s">
        <v>674</v>
      </c>
      <c r="BX64" t="s">
        <v>674</v>
      </c>
      <c r="BY64" t="s">
        <v>674</v>
      </c>
      <c r="BZ64" t="s">
        <v>674</v>
      </c>
      <c r="CA64" t="s">
        <v>674</v>
      </c>
      <c r="CB64" t="s">
        <v>674</v>
      </c>
      <c r="CC64" t="s">
        <v>674</v>
      </c>
      <c r="CD64" t="s">
        <v>674</v>
      </c>
      <c r="CE64" t="s">
        <v>674</v>
      </c>
      <c r="CF64" t="s">
        <v>674</v>
      </c>
      <c r="CG64" t="s">
        <v>674</v>
      </c>
      <c r="CH64" t="s">
        <v>674</v>
      </c>
      <c r="CI64" t="s">
        <v>674</v>
      </c>
    </row>
    <row r="65" spans="1:87" x14ac:dyDescent="0.25">
      <c r="A65" t="s">
        <v>899</v>
      </c>
      <c r="B65" t="s">
        <v>103</v>
      </c>
      <c r="C65">
        <v>2004</v>
      </c>
      <c r="D65" t="s">
        <v>900</v>
      </c>
      <c r="E65" t="s">
        <v>901</v>
      </c>
      <c r="F65" t="s">
        <v>674</v>
      </c>
      <c r="G65" t="s">
        <v>674</v>
      </c>
      <c r="H65" t="s">
        <v>674</v>
      </c>
      <c r="I65" t="s">
        <v>902</v>
      </c>
      <c r="J65" t="s">
        <v>903</v>
      </c>
      <c r="K65" t="s">
        <v>904</v>
      </c>
      <c r="L65" t="s">
        <v>905</v>
      </c>
      <c r="M65" s="1">
        <v>46274.90053240741</v>
      </c>
      <c r="N65" s="1">
        <v>46274.900543981479</v>
      </c>
      <c r="O65" s="1">
        <v>46274.90053240741</v>
      </c>
      <c r="P65" t="s">
        <v>674</v>
      </c>
      <c r="Q65" t="s">
        <v>674</v>
      </c>
      <c r="T65" t="s">
        <v>674</v>
      </c>
      <c r="U65" t="s">
        <v>674</v>
      </c>
      <c r="V65" t="s">
        <v>674</v>
      </c>
      <c r="W65" t="s">
        <v>674</v>
      </c>
      <c r="X65" t="s">
        <v>674</v>
      </c>
      <c r="Y65" t="s">
        <v>674</v>
      </c>
      <c r="Z65" t="s">
        <v>674</v>
      </c>
      <c r="AA65" t="s">
        <v>906</v>
      </c>
      <c r="AB65" t="s">
        <v>674</v>
      </c>
      <c r="AC65" t="s">
        <v>710</v>
      </c>
      <c r="AD65" t="s">
        <v>907</v>
      </c>
      <c r="AE65" t="s">
        <v>908</v>
      </c>
      <c r="AF65" t="s">
        <v>674</v>
      </c>
      <c r="AG65" t="s">
        <v>674</v>
      </c>
      <c r="AH65" t="s">
        <v>99</v>
      </c>
      <c r="AJ65" t="s">
        <v>674</v>
      </c>
      <c r="AK65" t="s">
        <v>674</v>
      </c>
      <c r="AL65" t="s">
        <v>909</v>
      </c>
      <c r="AM65" t="s">
        <v>674</v>
      </c>
      <c r="AN65" t="s">
        <v>674</v>
      </c>
      <c r="AO65" t="s">
        <v>712</v>
      </c>
      <c r="AP65" t="s">
        <v>674</v>
      </c>
      <c r="AQ65" t="s">
        <v>674</v>
      </c>
      <c r="AR65" t="s">
        <v>674</v>
      </c>
      <c r="AS65" t="s">
        <v>674</v>
      </c>
      <c r="AT65" t="s">
        <v>674</v>
      </c>
      <c r="AU65" t="s">
        <v>674</v>
      </c>
      <c r="AV65" t="s">
        <v>674</v>
      </c>
      <c r="AW65" t="s">
        <v>674</v>
      </c>
      <c r="AX65" t="s">
        <v>674</v>
      </c>
      <c r="AY65" t="s">
        <v>674</v>
      </c>
      <c r="AZ65" t="s">
        <v>674</v>
      </c>
      <c r="BA65" t="s">
        <v>674</v>
      </c>
      <c r="BB65" t="s">
        <v>674</v>
      </c>
      <c r="BC65" t="s">
        <v>674</v>
      </c>
      <c r="BD65" t="s">
        <v>674</v>
      </c>
      <c r="BE65" t="s">
        <v>674</v>
      </c>
      <c r="BF65" t="s">
        <v>674</v>
      </c>
      <c r="BG65" t="s">
        <v>674</v>
      </c>
      <c r="BH65" t="s">
        <v>674</v>
      </c>
      <c r="BI65" t="s">
        <v>674</v>
      </c>
      <c r="BJ65" t="s">
        <v>674</v>
      </c>
      <c r="BK65" t="s">
        <v>674</v>
      </c>
      <c r="BL65" t="s">
        <v>674</v>
      </c>
      <c r="BM65" t="s">
        <v>674</v>
      </c>
      <c r="BN65" t="s">
        <v>674</v>
      </c>
      <c r="BO65" t="s">
        <v>674</v>
      </c>
      <c r="BP65" t="s">
        <v>674</v>
      </c>
      <c r="BQ65" t="s">
        <v>674</v>
      </c>
      <c r="BR65" t="s">
        <v>674</v>
      </c>
      <c r="BS65" t="s">
        <v>674</v>
      </c>
      <c r="BT65" t="s">
        <v>674</v>
      </c>
      <c r="BU65" t="s">
        <v>674</v>
      </c>
      <c r="BV65" t="s">
        <v>674</v>
      </c>
      <c r="BW65" t="s">
        <v>674</v>
      </c>
      <c r="BX65" t="s">
        <v>674</v>
      </c>
      <c r="BY65" t="s">
        <v>674</v>
      </c>
      <c r="BZ65" t="s">
        <v>674</v>
      </c>
      <c r="CA65" t="s">
        <v>674</v>
      </c>
      <c r="CB65" t="s">
        <v>674</v>
      </c>
      <c r="CC65" t="s">
        <v>674</v>
      </c>
      <c r="CD65" t="s">
        <v>674</v>
      </c>
      <c r="CE65" t="s">
        <v>674</v>
      </c>
      <c r="CF65" t="s">
        <v>674</v>
      </c>
      <c r="CG65" t="s">
        <v>674</v>
      </c>
      <c r="CH65" t="s">
        <v>674</v>
      </c>
      <c r="CI65" t="s">
        <v>674</v>
      </c>
    </row>
    <row r="66" spans="1:87" x14ac:dyDescent="0.25">
      <c r="A66" t="s">
        <v>978</v>
      </c>
      <c r="B66" t="s">
        <v>88</v>
      </c>
      <c r="C66">
        <v>2019</v>
      </c>
      <c r="D66" t="s">
        <v>979</v>
      </c>
      <c r="E66" t="s">
        <v>980</v>
      </c>
      <c r="F66" t="s">
        <v>479</v>
      </c>
      <c r="G66" t="s">
        <v>674</v>
      </c>
      <c r="H66" t="s">
        <v>480</v>
      </c>
      <c r="I66" t="s">
        <v>981</v>
      </c>
      <c r="J66" t="s">
        <v>982</v>
      </c>
      <c r="K66" t="s">
        <v>983</v>
      </c>
      <c r="L66" t="s">
        <v>984</v>
      </c>
      <c r="M66" s="1">
        <v>46276.556030092594</v>
      </c>
      <c r="N66" s="1">
        <v>46276.556041666663</v>
      </c>
      <c r="O66" s="1">
        <v>46276.556030092594</v>
      </c>
      <c r="P66" t="s">
        <v>985</v>
      </c>
      <c r="Q66" t="s">
        <v>674</v>
      </c>
      <c r="R66">
        <v>1</v>
      </c>
      <c r="S66">
        <v>10</v>
      </c>
      <c r="T66" t="s">
        <v>674</v>
      </c>
      <c r="U66" t="s">
        <v>479</v>
      </c>
      <c r="V66" t="s">
        <v>674</v>
      </c>
      <c r="W66" t="s">
        <v>674</v>
      </c>
      <c r="X66" t="s">
        <v>674</v>
      </c>
      <c r="Y66" t="s">
        <v>674</v>
      </c>
      <c r="Z66" t="s">
        <v>674</v>
      </c>
      <c r="AA66" t="s">
        <v>674</v>
      </c>
      <c r="AB66" t="s">
        <v>674</v>
      </c>
      <c r="AC66" t="s">
        <v>97</v>
      </c>
      <c r="AD66" t="s">
        <v>674</v>
      </c>
      <c r="AE66" t="s">
        <v>674</v>
      </c>
      <c r="AF66" t="s">
        <v>674</v>
      </c>
      <c r="AG66" t="s">
        <v>674</v>
      </c>
      <c r="AH66" t="s">
        <v>99</v>
      </c>
      <c r="AJ66" t="s">
        <v>674</v>
      </c>
      <c r="AK66" t="s">
        <v>674</v>
      </c>
      <c r="AL66" t="s">
        <v>986</v>
      </c>
      <c r="AM66" t="s">
        <v>674</v>
      </c>
      <c r="AN66" t="s">
        <v>674</v>
      </c>
      <c r="AO66" t="s">
        <v>712</v>
      </c>
      <c r="AP66" t="s">
        <v>674</v>
      </c>
      <c r="AQ66" t="s">
        <v>674</v>
      </c>
      <c r="AR66" t="s">
        <v>674</v>
      </c>
      <c r="AS66" t="s">
        <v>674</v>
      </c>
      <c r="AT66" t="s">
        <v>674</v>
      </c>
      <c r="AU66" t="s">
        <v>674</v>
      </c>
      <c r="AV66" t="s">
        <v>674</v>
      </c>
      <c r="AW66" t="s">
        <v>674</v>
      </c>
      <c r="AX66" t="s">
        <v>674</v>
      </c>
      <c r="AY66" t="s">
        <v>674</v>
      </c>
      <c r="AZ66" t="s">
        <v>674</v>
      </c>
      <c r="BA66" t="s">
        <v>674</v>
      </c>
      <c r="BB66" t="s">
        <v>674</v>
      </c>
      <c r="BC66" t="s">
        <v>674</v>
      </c>
      <c r="BD66" t="s">
        <v>674</v>
      </c>
      <c r="BE66" t="s">
        <v>674</v>
      </c>
      <c r="BF66" t="s">
        <v>674</v>
      </c>
      <c r="BG66" t="s">
        <v>674</v>
      </c>
      <c r="BH66" t="s">
        <v>674</v>
      </c>
      <c r="BI66" t="s">
        <v>674</v>
      </c>
      <c r="BJ66" t="s">
        <v>674</v>
      </c>
      <c r="BK66" t="s">
        <v>674</v>
      </c>
      <c r="BL66" t="s">
        <v>674</v>
      </c>
      <c r="BM66" t="s">
        <v>674</v>
      </c>
      <c r="BN66" t="s">
        <v>674</v>
      </c>
      <c r="BO66" t="s">
        <v>674</v>
      </c>
      <c r="BP66" t="s">
        <v>674</v>
      </c>
      <c r="BQ66" t="s">
        <v>674</v>
      </c>
      <c r="BR66" t="s">
        <v>674</v>
      </c>
      <c r="BS66" t="s">
        <v>674</v>
      </c>
      <c r="BT66" t="s">
        <v>674</v>
      </c>
      <c r="BU66" t="s">
        <v>674</v>
      </c>
      <c r="BV66" t="s">
        <v>674</v>
      </c>
      <c r="BW66" t="s">
        <v>674</v>
      </c>
      <c r="BX66" t="s">
        <v>674</v>
      </c>
      <c r="BY66" t="s">
        <v>674</v>
      </c>
      <c r="BZ66" t="s">
        <v>674</v>
      </c>
      <c r="CA66" t="s">
        <v>674</v>
      </c>
      <c r="CB66" t="s">
        <v>674</v>
      </c>
      <c r="CC66" t="s">
        <v>674</v>
      </c>
      <c r="CD66" t="s">
        <v>674</v>
      </c>
      <c r="CE66" t="s">
        <v>674</v>
      </c>
      <c r="CF66" t="s">
        <v>674</v>
      </c>
      <c r="CG66" t="s">
        <v>674</v>
      </c>
      <c r="CH66" t="s">
        <v>674</v>
      </c>
      <c r="CI66" t="s">
        <v>674</v>
      </c>
    </row>
    <row r="67" spans="1:87" x14ac:dyDescent="0.25">
      <c r="A67" t="s">
        <v>987</v>
      </c>
      <c r="B67" t="s">
        <v>88</v>
      </c>
      <c r="C67">
        <v>2025</v>
      </c>
      <c r="D67" t="s">
        <v>988</v>
      </c>
      <c r="E67" t="s">
        <v>989</v>
      </c>
      <c r="F67" t="s">
        <v>499</v>
      </c>
      <c r="G67" t="s">
        <v>674</v>
      </c>
      <c r="H67" t="s">
        <v>500</v>
      </c>
      <c r="I67" t="s">
        <v>990</v>
      </c>
      <c r="J67" t="s">
        <v>991</v>
      </c>
      <c r="K67" t="s">
        <v>992</v>
      </c>
      <c r="L67" t="s">
        <v>993</v>
      </c>
      <c r="M67" s="1">
        <v>46276.55609953704</v>
      </c>
      <c r="N67" s="1">
        <v>46276.556122685186</v>
      </c>
      <c r="O67" s="1">
        <v>46276.55609953704</v>
      </c>
      <c r="P67" t="s">
        <v>994</v>
      </c>
      <c r="Q67" t="s">
        <v>674</v>
      </c>
      <c r="R67">
        <v>8</v>
      </c>
      <c r="S67">
        <v>40</v>
      </c>
      <c r="T67" t="s">
        <v>674</v>
      </c>
      <c r="U67" t="s">
        <v>505</v>
      </c>
      <c r="V67" t="s">
        <v>674</v>
      </c>
      <c r="W67" t="s">
        <v>674</v>
      </c>
      <c r="X67" t="s">
        <v>674</v>
      </c>
      <c r="Y67" t="s">
        <v>674</v>
      </c>
      <c r="Z67" t="s">
        <v>674</v>
      </c>
      <c r="AA67" t="s">
        <v>674</v>
      </c>
      <c r="AB67" t="s">
        <v>674</v>
      </c>
      <c r="AC67" t="s">
        <v>97</v>
      </c>
      <c r="AD67" t="s">
        <v>122</v>
      </c>
      <c r="AE67" t="s">
        <v>674</v>
      </c>
      <c r="AF67" t="s">
        <v>674</v>
      </c>
      <c r="AG67" t="s">
        <v>674</v>
      </c>
      <c r="AH67" t="s">
        <v>99</v>
      </c>
      <c r="AJ67" t="s">
        <v>674</v>
      </c>
      <c r="AK67" t="s">
        <v>674</v>
      </c>
      <c r="AL67" t="s">
        <v>995</v>
      </c>
      <c r="AM67" t="s">
        <v>674</v>
      </c>
      <c r="AN67" t="s">
        <v>674</v>
      </c>
      <c r="AO67" t="s">
        <v>712</v>
      </c>
      <c r="AP67" t="s">
        <v>674</v>
      </c>
      <c r="AQ67" t="s">
        <v>674</v>
      </c>
      <c r="AR67" t="s">
        <v>674</v>
      </c>
      <c r="AS67" t="s">
        <v>674</v>
      </c>
      <c r="AT67" t="s">
        <v>674</v>
      </c>
      <c r="AU67" t="s">
        <v>674</v>
      </c>
      <c r="AV67" t="s">
        <v>674</v>
      </c>
      <c r="AW67" t="s">
        <v>674</v>
      </c>
      <c r="AX67" t="s">
        <v>674</v>
      </c>
      <c r="AY67" t="s">
        <v>674</v>
      </c>
      <c r="AZ67" t="s">
        <v>674</v>
      </c>
      <c r="BA67" t="s">
        <v>674</v>
      </c>
      <c r="BB67" t="s">
        <v>674</v>
      </c>
      <c r="BC67" t="s">
        <v>674</v>
      </c>
      <c r="BD67" t="s">
        <v>674</v>
      </c>
      <c r="BE67" t="s">
        <v>674</v>
      </c>
      <c r="BF67" t="s">
        <v>674</v>
      </c>
      <c r="BG67" t="s">
        <v>674</v>
      </c>
      <c r="BH67" t="s">
        <v>674</v>
      </c>
      <c r="BI67" t="s">
        <v>674</v>
      </c>
      <c r="BJ67" t="s">
        <v>674</v>
      </c>
      <c r="BK67" t="s">
        <v>674</v>
      </c>
      <c r="BL67" t="s">
        <v>674</v>
      </c>
      <c r="BM67" t="s">
        <v>674</v>
      </c>
      <c r="BN67" t="s">
        <v>674</v>
      </c>
      <c r="BO67" t="s">
        <v>674</v>
      </c>
      <c r="BP67" t="s">
        <v>674</v>
      </c>
      <c r="BQ67" t="s">
        <v>674</v>
      </c>
      <c r="BR67" t="s">
        <v>674</v>
      </c>
      <c r="BS67" t="s">
        <v>674</v>
      </c>
      <c r="BT67" t="s">
        <v>674</v>
      </c>
      <c r="BU67" t="s">
        <v>674</v>
      </c>
      <c r="BV67" t="s">
        <v>674</v>
      </c>
      <c r="BW67" t="s">
        <v>674</v>
      </c>
      <c r="BX67" t="s">
        <v>674</v>
      </c>
      <c r="BY67" t="s">
        <v>674</v>
      </c>
      <c r="BZ67" t="s">
        <v>674</v>
      </c>
      <c r="CA67" t="s">
        <v>674</v>
      </c>
      <c r="CB67" t="s">
        <v>674</v>
      </c>
      <c r="CC67" t="s">
        <v>674</v>
      </c>
      <c r="CD67" t="s">
        <v>674</v>
      </c>
      <c r="CE67" t="s">
        <v>674</v>
      </c>
      <c r="CF67" t="s">
        <v>674</v>
      </c>
      <c r="CG67" t="s">
        <v>674</v>
      </c>
      <c r="CH67" t="s">
        <v>674</v>
      </c>
      <c r="CI67" t="s">
        <v>674</v>
      </c>
    </row>
    <row r="68" spans="1:87" x14ac:dyDescent="0.25">
      <c r="A68" t="s">
        <v>996</v>
      </c>
      <c r="B68" t="s">
        <v>126</v>
      </c>
      <c r="C68">
        <v>2024</v>
      </c>
      <c r="D68" t="s">
        <v>997</v>
      </c>
      <c r="E68" t="s">
        <v>998</v>
      </c>
      <c r="F68" t="s">
        <v>999</v>
      </c>
      <c r="G68" t="s">
        <v>1000</v>
      </c>
      <c r="H68" t="s">
        <v>674</v>
      </c>
      <c r="I68" t="s">
        <v>1001</v>
      </c>
      <c r="J68" t="s">
        <v>1002</v>
      </c>
      <c r="K68" t="s">
        <v>1003</v>
      </c>
      <c r="L68" t="s">
        <v>1004</v>
      </c>
      <c r="M68" s="1">
        <v>46276.556180555555</v>
      </c>
      <c r="N68" s="1">
        <v>46276.556215277778</v>
      </c>
      <c r="O68" s="1">
        <v>46276.556180555555</v>
      </c>
      <c r="P68" t="s">
        <v>1005</v>
      </c>
      <c r="Q68" t="s">
        <v>674</v>
      </c>
      <c r="T68" t="s">
        <v>674</v>
      </c>
      <c r="U68" t="s">
        <v>674</v>
      </c>
      <c r="V68" t="s">
        <v>674</v>
      </c>
      <c r="W68" t="s">
        <v>674</v>
      </c>
      <c r="X68" t="s">
        <v>674</v>
      </c>
      <c r="Y68" t="s">
        <v>674</v>
      </c>
      <c r="Z68" t="s">
        <v>674</v>
      </c>
      <c r="AA68" t="s">
        <v>133</v>
      </c>
      <c r="AB68" t="s">
        <v>1006</v>
      </c>
      <c r="AC68" t="s">
        <v>97</v>
      </c>
      <c r="AD68" t="s">
        <v>135</v>
      </c>
      <c r="AE68" t="s">
        <v>674</v>
      </c>
      <c r="AF68" t="s">
        <v>674</v>
      </c>
      <c r="AG68" t="s">
        <v>674</v>
      </c>
      <c r="AH68" t="s">
        <v>99</v>
      </c>
      <c r="AJ68" t="s">
        <v>674</v>
      </c>
      <c r="AK68" t="s">
        <v>674</v>
      </c>
      <c r="AL68" t="s">
        <v>1007</v>
      </c>
      <c r="AM68" t="s">
        <v>674</v>
      </c>
      <c r="AN68" t="s">
        <v>674</v>
      </c>
      <c r="AO68" t="s">
        <v>712</v>
      </c>
      <c r="AP68" t="s">
        <v>674</v>
      </c>
      <c r="AQ68" t="s">
        <v>674</v>
      </c>
      <c r="AR68" t="s">
        <v>674</v>
      </c>
      <c r="AS68" t="s">
        <v>674</v>
      </c>
      <c r="AT68" t="s">
        <v>674</v>
      </c>
      <c r="AU68" t="s">
        <v>674</v>
      </c>
      <c r="AV68" t="s">
        <v>674</v>
      </c>
      <c r="AW68" t="s">
        <v>674</v>
      </c>
      <c r="AX68" t="s">
        <v>674</v>
      </c>
      <c r="AY68" t="s">
        <v>674</v>
      </c>
      <c r="AZ68" t="s">
        <v>674</v>
      </c>
      <c r="BA68" t="s">
        <v>674</v>
      </c>
      <c r="BB68" t="s">
        <v>674</v>
      </c>
      <c r="BC68" t="s">
        <v>674</v>
      </c>
      <c r="BD68" t="s">
        <v>674</v>
      </c>
      <c r="BE68" t="s">
        <v>674</v>
      </c>
      <c r="BF68" t="s">
        <v>674</v>
      </c>
      <c r="BG68" t="s">
        <v>674</v>
      </c>
      <c r="BH68" t="s">
        <v>674</v>
      </c>
      <c r="BI68" t="s">
        <v>674</v>
      </c>
      <c r="BJ68" t="s">
        <v>674</v>
      </c>
      <c r="BK68" t="s">
        <v>674</v>
      </c>
      <c r="BL68" t="s">
        <v>674</v>
      </c>
      <c r="BM68" t="s">
        <v>674</v>
      </c>
      <c r="BN68" t="s">
        <v>674</v>
      </c>
      <c r="BO68" t="s">
        <v>674</v>
      </c>
      <c r="BP68" t="s">
        <v>674</v>
      </c>
      <c r="BQ68" t="s">
        <v>674</v>
      </c>
      <c r="BR68" t="s">
        <v>674</v>
      </c>
      <c r="BS68" t="s">
        <v>674</v>
      </c>
      <c r="BT68" t="s">
        <v>999</v>
      </c>
      <c r="BU68" t="s">
        <v>674</v>
      </c>
      <c r="BV68" t="s">
        <v>674</v>
      </c>
      <c r="BW68" t="s">
        <v>674</v>
      </c>
      <c r="BX68" t="s">
        <v>674</v>
      </c>
      <c r="BY68" t="s">
        <v>674</v>
      </c>
      <c r="BZ68" t="s">
        <v>674</v>
      </c>
      <c r="CA68" t="s">
        <v>674</v>
      </c>
      <c r="CB68" t="s">
        <v>674</v>
      </c>
      <c r="CC68" t="s">
        <v>674</v>
      </c>
      <c r="CD68" t="s">
        <v>674</v>
      </c>
      <c r="CE68" t="s">
        <v>674</v>
      </c>
      <c r="CF68" t="s">
        <v>674</v>
      </c>
      <c r="CG68" t="s">
        <v>674</v>
      </c>
      <c r="CH68" t="s">
        <v>674</v>
      </c>
      <c r="CI68" t="s">
        <v>674</v>
      </c>
    </row>
    <row r="69" spans="1:87" x14ac:dyDescent="0.25">
      <c r="A69" t="s">
        <v>1008</v>
      </c>
      <c r="B69" t="s">
        <v>88</v>
      </c>
      <c r="C69">
        <v>2025</v>
      </c>
      <c r="D69" t="s">
        <v>1009</v>
      </c>
      <c r="E69" t="s">
        <v>1010</v>
      </c>
      <c r="F69" t="s">
        <v>297</v>
      </c>
      <c r="G69" t="s">
        <v>674</v>
      </c>
      <c r="H69" t="s">
        <v>298</v>
      </c>
      <c r="I69" t="s">
        <v>1011</v>
      </c>
      <c r="J69" t="s">
        <v>1012</v>
      </c>
      <c r="K69" t="s">
        <v>1013</v>
      </c>
      <c r="L69" t="s">
        <v>1014</v>
      </c>
      <c r="M69" s="1">
        <v>46276.556273148148</v>
      </c>
      <c r="N69" s="1">
        <v>46276.556284722225</v>
      </c>
      <c r="O69" s="1">
        <v>46276.556273148148</v>
      </c>
      <c r="P69" t="s">
        <v>1015</v>
      </c>
      <c r="Q69" t="s">
        <v>674</v>
      </c>
      <c r="R69">
        <v>1</v>
      </c>
      <c r="S69">
        <v>15</v>
      </c>
      <c r="T69" t="s">
        <v>674</v>
      </c>
      <c r="U69" t="s">
        <v>302</v>
      </c>
      <c r="V69" t="s">
        <v>674</v>
      </c>
      <c r="W69" t="s">
        <v>674</v>
      </c>
      <c r="X69" t="s">
        <v>674</v>
      </c>
      <c r="Y69" t="s">
        <v>674</v>
      </c>
      <c r="Z69" t="s">
        <v>674</v>
      </c>
      <c r="AA69" t="s">
        <v>674</v>
      </c>
      <c r="AB69" t="s">
        <v>674</v>
      </c>
      <c r="AC69" t="s">
        <v>97</v>
      </c>
      <c r="AD69" t="s">
        <v>674</v>
      </c>
      <c r="AE69" t="s">
        <v>674</v>
      </c>
      <c r="AF69" t="s">
        <v>674</v>
      </c>
      <c r="AG69" t="s">
        <v>674</v>
      </c>
      <c r="AH69" t="s">
        <v>99</v>
      </c>
      <c r="AJ69" t="s">
        <v>674</v>
      </c>
      <c r="AK69" t="s">
        <v>674</v>
      </c>
      <c r="AL69" t="s">
        <v>1016</v>
      </c>
      <c r="AM69" t="s">
        <v>674</v>
      </c>
      <c r="AN69" t="s">
        <v>674</v>
      </c>
      <c r="AO69" t="s">
        <v>712</v>
      </c>
      <c r="AP69" t="s">
        <v>674</v>
      </c>
      <c r="AQ69" t="s">
        <v>674</v>
      </c>
      <c r="AR69" t="s">
        <v>674</v>
      </c>
      <c r="AS69" t="s">
        <v>674</v>
      </c>
      <c r="AT69" t="s">
        <v>674</v>
      </c>
      <c r="AU69" t="s">
        <v>674</v>
      </c>
      <c r="AV69" t="s">
        <v>674</v>
      </c>
      <c r="AW69" t="s">
        <v>674</v>
      </c>
      <c r="AX69" t="s">
        <v>674</v>
      </c>
      <c r="AY69" t="s">
        <v>674</v>
      </c>
      <c r="AZ69" t="s">
        <v>674</v>
      </c>
      <c r="BA69" t="s">
        <v>674</v>
      </c>
      <c r="BB69" t="s">
        <v>674</v>
      </c>
      <c r="BC69" t="s">
        <v>674</v>
      </c>
      <c r="BD69" t="s">
        <v>674</v>
      </c>
      <c r="BE69" t="s">
        <v>674</v>
      </c>
      <c r="BF69" t="s">
        <v>674</v>
      </c>
      <c r="BG69" t="s">
        <v>674</v>
      </c>
      <c r="BH69" t="s">
        <v>674</v>
      </c>
      <c r="BI69" t="s">
        <v>674</v>
      </c>
      <c r="BJ69" t="s">
        <v>674</v>
      </c>
      <c r="BK69" t="s">
        <v>674</v>
      </c>
      <c r="BL69" t="s">
        <v>674</v>
      </c>
      <c r="BM69" t="s">
        <v>674</v>
      </c>
      <c r="BN69" t="s">
        <v>674</v>
      </c>
      <c r="BO69" t="s">
        <v>674</v>
      </c>
      <c r="BP69" t="s">
        <v>674</v>
      </c>
      <c r="BQ69" t="s">
        <v>674</v>
      </c>
      <c r="BR69" t="s">
        <v>674</v>
      </c>
      <c r="BS69" t="s">
        <v>674</v>
      </c>
      <c r="BT69" t="s">
        <v>674</v>
      </c>
      <c r="BU69" t="s">
        <v>674</v>
      </c>
      <c r="BV69" t="s">
        <v>674</v>
      </c>
      <c r="BW69" t="s">
        <v>674</v>
      </c>
      <c r="BX69" t="s">
        <v>674</v>
      </c>
      <c r="BY69" t="s">
        <v>674</v>
      </c>
      <c r="BZ69" t="s">
        <v>674</v>
      </c>
      <c r="CA69" t="s">
        <v>674</v>
      </c>
      <c r="CB69" t="s">
        <v>674</v>
      </c>
      <c r="CC69" t="s">
        <v>674</v>
      </c>
      <c r="CD69" t="s">
        <v>674</v>
      </c>
      <c r="CE69" t="s">
        <v>674</v>
      </c>
      <c r="CF69" t="s">
        <v>674</v>
      </c>
      <c r="CG69" t="s">
        <v>674</v>
      </c>
      <c r="CH69" t="s">
        <v>674</v>
      </c>
      <c r="CI69" t="s">
        <v>674</v>
      </c>
    </row>
    <row r="70" spans="1:87" x14ac:dyDescent="0.25">
      <c r="A70" t="s">
        <v>1017</v>
      </c>
      <c r="B70" t="s">
        <v>88</v>
      </c>
      <c r="C70">
        <v>2025</v>
      </c>
      <c r="D70" t="s">
        <v>1018</v>
      </c>
      <c r="E70" t="s">
        <v>1019</v>
      </c>
      <c r="F70" t="s">
        <v>1020</v>
      </c>
      <c r="G70" t="s">
        <v>674</v>
      </c>
      <c r="H70" t="s">
        <v>1021</v>
      </c>
      <c r="I70" t="s">
        <v>1022</v>
      </c>
      <c r="J70" t="s">
        <v>1023</v>
      </c>
      <c r="K70" t="s">
        <v>1024</v>
      </c>
      <c r="L70" t="s">
        <v>1025</v>
      </c>
      <c r="M70" s="1">
        <v>46276.556319444448</v>
      </c>
      <c r="N70" s="1">
        <v>46276.556342592594</v>
      </c>
      <c r="O70" s="1">
        <v>46276.556319444448</v>
      </c>
      <c r="P70" t="s">
        <v>1026</v>
      </c>
      <c r="Q70" t="s">
        <v>674</v>
      </c>
      <c r="R70">
        <v>5</v>
      </c>
      <c r="S70">
        <v>25</v>
      </c>
      <c r="T70" t="s">
        <v>674</v>
      </c>
      <c r="U70" t="s">
        <v>1020</v>
      </c>
      <c r="V70" t="s">
        <v>674</v>
      </c>
      <c r="W70" t="s">
        <v>674</v>
      </c>
      <c r="X70" t="s">
        <v>674</v>
      </c>
      <c r="Y70" t="s">
        <v>674</v>
      </c>
      <c r="Z70" t="s">
        <v>674</v>
      </c>
      <c r="AA70" t="s">
        <v>674</v>
      </c>
      <c r="AB70" t="s">
        <v>674</v>
      </c>
      <c r="AC70" t="s">
        <v>97</v>
      </c>
      <c r="AD70" t="s">
        <v>674</v>
      </c>
      <c r="AE70" t="s">
        <v>674</v>
      </c>
      <c r="AF70" t="s">
        <v>674</v>
      </c>
      <c r="AG70" t="s">
        <v>674</v>
      </c>
      <c r="AH70" t="s">
        <v>99</v>
      </c>
      <c r="AJ70" t="s">
        <v>674</v>
      </c>
      <c r="AK70" t="s">
        <v>674</v>
      </c>
      <c r="AL70" t="s">
        <v>1027</v>
      </c>
      <c r="AM70" t="s">
        <v>674</v>
      </c>
      <c r="AN70" t="s">
        <v>674</v>
      </c>
      <c r="AO70" t="s">
        <v>712</v>
      </c>
      <c r="AP70" t="s">
        <v>674</v>
      </c>
      <c r="AQ70" t="s">
        <v>674</v>
      </c>
      <c r="AR70" t="s">
        <v>674</v>
      </c>
      <c r="AS70" t="s">
        <v>674</v>
      </c>
      <c r="AT70" t="s">
        <v>674</v>
      </c>
      <c r="AU70" t="s">
        <v>674</v>
      </c>
      <c r="AV70" t="s">
        <v>674</v>
      </c>
      <c r="AW70" t="s">
        <v>674</v>
      </c>
      <c r="AX70" t="s">
        <v>674</v>
      </c>
      <c r="AY70" t="s">
        <v>674</v>
      </c>
      <c r="AZ70" t="s">
        <v>674</v>
      </c>
      <c r="BA70" t="s">
        <v>674</v>
      </c>
      <c r="BB70" t="s">
        <v>674</v>
      </c>
      <c r="BC70" t="s">
        <v>674</v>
      </c>
      <c r="BD70" t="s">
        <v>674</v>
      </c>
      <c r="BE70" t="s">
        <v>674</v>
      </c>
      <c r="BF70" t="s">
        <v>674</v>
      </c>
      <c r="BG70" t="s">
        <v>674</v>
      </c>
      <c r="BH70" t="s">
        <v>674</v>
      </c>
      <c r="BI70" t="s">
        <v>674</v>
      </c>
      <c r="BJ70" t="s">
        <v>674</v>
      </c>
      <c r="BK70" t="s">
        <v>674</v>
      </c>
      <c r="BL70" t="s">
        <v>674</v>
      </c>
      <c r="BM70" t="s">
        <v>674</v>
      </c>
      <c r="BN70" t="s">
        <v>674</v>
      </c>
      <c r="BO70" t="s">
        <v>674</v>
      </c>
      <c r="BP70" t="s">
        <v>674</v>
      </c>
      <c r="BQ70" t="s">
        <v>674</v>
      </c>
      <c r="BR70" t="s">
        <v>674</v>
      </c>
      <c r="BS70" t="s">
        <v>674</v>
      </c>
      <c r="BT70" t="s">
        <v>674</v>
      </c>
      <c r="BU70" t="s">
        <v>674</v>
      </c>
      <c r="BV70" t="s">
        <v>674</v>
      </c>
      <c r="BW70" t="s">
        <v>674</v>
      </c>
      <c r="BX70" t="s">
        <v>674</v>
      </c>
      <c r="BY70" t="s">
        <v>674</v>
      </c>
      <c r="BZ70" t="s">
        <v>674</v>
      </c>
      <c r="CA70" t="s">
        <v>674</v>
      </c>
      <c r="CB70" t="s">
        <v>674</v>
      </c>
      <c r="CC70" t="s">
        <v>674</v>
      </c>
      <c r="CD70" t="s">
        <v>674</v>
      </c>
      <c r="CE70" t="s">
        <v>674</v>
      </c>
      <c r="CF70" t="s">
        <v>674</v>
      </c>
      <c r="CG70" t="s">
        <v>674</v>
      </c>
      <c r="CH70" t="s">
        <v>674</v>
      </c>
      <c r="CI70" t="s">
        <v>674</v>
      </c>
    </row>
    <row r="71" spans="1:87" x14ac:dyDescent="0.25">
      <c r="A71" t="s">
        <v>1028</v>
      </c>
      <c r="B71" t="s">
        <v>126</v>
      </c>
      <c r="C71">
        <v>2025</v>
      </c>
      <c r="D71" t="s">
        <v>1029</v>
      </c>
      <c r="E71" t="s">
        <v>1030</v>
      </c>
      <c r="F71" t="s">
        <v>1031</v>
      </c>
      <c r="G71" t="s">
        <v>1032</v>
      </c>
      <c r="H71" t="s">
        <v>674</v>
      </c>
      <c r="I71" t="s">
        <v>1033</v>
      </c>
      <c r="J71" t="s">
        <v>1034</v>
      </c>
      <c r="K71" t="s">
        <v>1035</v>
      </c>
      <c r="L71" t="s">
        <v>1036</v>
      </c>
      <c r="M71" s="1">
        <v>46276.556377314817</v>
      </c>
      <c r="N71" s="1">
        <v>46276.556400462963</v>
      </c>
      <c r="O71" s="1">
        <v>46276.556377314817</v>
      </c>
      <c r="P71" t="s">
        <v>1037</v>
      </c>
      <c r="Q71" t="s">
        <v>674</v>
      </c>
      <c r="T71" t="s">
        <v>674</v>
      </c>
      <c r="U71" t="s">
        <v>674</v>
      </c>
      <c r="V71" t="s">
        <v>674</v>
      </c>
      <c r="W71" t="s">
        <v>674</v>
      </c>
      <c r="X71" t="s">
        <v>674</v>
      </c>
      <c r="Y71" t="s">
        <v>674</v>
      </c>
      <c r="Z71" t="s">
        <v>674</v>
      </c>
      <c r="AA71" t="s">
        <v>133</v>
      </c>
      <c r="AB71" t="s">
        <v>1038</v>
      </c>
      <c r="AC71" t="s">
        <v>97</v>
      </c>
      <c r="AD71" t="s">
        <v>135</v>
      </c>
      <c r="AE71" t="s">
        <v>674</v>
      </c>
      <c r="AF71" t="s">
        <v>674</v>
      </c>
      <c r="AG71" t="s">
        <v>674</v>
      </c>
      <c r="AH71" t="s">
        <v>99</v>
      </c>
      <c r="AJ71" t="s">
        <v>674</v>
      </c>
      <c r="AK71" t="s">
        <v>674</v>
      </c>
      <c r="AL71" t="s">
        <v>1039</v>
      </c>
      <c r="AM71" t="s">
        <v>674</v>
      </c>
      <c r="AN71" t="s">
        <v>674</v>
      </c>
      <c r="AO71" t="s">
        <v>712</v>
      </c>
      <c r="AP71" t="s">
        <v>674</v>
      </c>
      <c r="AQ71" t="s">
        <v>674</v>
      </c>
      <c r="AR71" t="s">
        <v>674</v>
      </c>
      <c r="AS71" t="s">
        <v>674</v>
      </c>
      <c r="AT71" t="s">
        <v>674</v>
      </c>
      <c r="AU71" t="s">
        <v>674</v>
      </c>
      <c r="AV71" t="s">
        <v>674</v>
      </c>
      <c r="AW71" t="s">
        <v>674</v>
      </c>
      <c r="AX71" t="s">
        <v>674</v>
      </c>
      <c r="AY71" t="s">
        <v>674</v>
      </c>
      <c r="AZ71" t="s">
        <v>674</v>
      </c>
      <c r="BA71" t="s">
        <v>674</v>
      </c>
      <c r="BB71" t="s">
        <v>674</v>
      </c>
      <c r="BC71" t="s">
        <v>674</v>
      </c>
      <c r="BD71" t="s">
        <v>674</v>
      </c>
      <c r="BE71" t="s">
        <v>674</v>
      </c>
      <c r="BF71" t="s">
        <v>674</v>
      </c>
      <c r="BG71" t="s">
        <v>674</v>
      </c>
      <c r="BH71" t="s">
        <v>674</v>
      </c>
      <c r="BI71" t="s">
        <v>674</v>
      </c>
      <c r="BJ71" t="s">
        <v>674</v>
      </c>
      <c r="BK71" t="s">
        <v>674</v>
      </c>
      <c r="BL71" t="s">
        <v>674</v>
      </c>
      <c r="BM71" t="s">
        <v>674</v>
      </c>
      <c r="BN71" t="s">
        <v>674</v>
      </c>
      <c r="BO71" t="s">
        <v>674</v>
      </c>
      <c r="BP71" t="s">
        <v>674</v>
      </c>
      <c r="BQ71" t="s">
        <v>674</v>
      </c>
      <c r="BR71" t="s">
        <v>674</v>
      </c>
      <c r="BS71" t="s">
        <v>674</v>
      </c>
      <c r="BT71" t="s">
        <v>1031</v>
      </c>
      <c r="BU71" t="s">
        <v>674</v>
      </c>
      <c r="BV71" t="s">
        <v>674</v>
      </c>
      <c r="BW71" t="s">
        <v>674</v>
      </c>
      <c r="BX71" t="s">
        <v>674</v>
      </c>
      <c r="BY71" t="s">
        <v>674</v>
      </c>
      <c r="BZ71" t="s">
        <v>674</v>
      </c>
      <c r="CA71" t="s">
        <v>674</v>
      </c>
      <c r="CB71" t="s">
        <v>674</v>
      </c>
      <c r="CC71" t="s">
        <v>674</v>
      </c>
      <c r="CD71" t="s">
        <v>674</v>
      </c>
      <c r="CE71" t="s">
        <v>674</v>
      </c>
      <c r="CF71" t="s">
        <v>674</v>
      </c>
      <c r="CG71" t="s">
        <v>674</v>
      </c>
      <c r="CH71" t="s">
        <v>674</v>
      </c>
      <c r="CI71" t="s">
        <v>674</v>
      </c>
    </row>
    <row r="72" spans="1:87" x14ac:dyDescent="0.25">
      <c r="A72" t="s">
        <v>1040</v>
      </c>
      <c r="B72" t="s">
        <v>88</v>
      </c>
      <c r="C72">
        <v>2022</v>
      </c>
      <c r="D72" t="s">
        <v>1041</v>
      </c>
      <c r="E72" t="s">
        <v>1042</v>
      </c>
      <c r="F72" t="s">
        <v>1043</v>
      </c>
      <c r="G72" t="s">
        <v>674</v>
      </c>
      <c r="H72" t="s">
        <v>1044</v>
      </c>
      <c r="I72" t="s">
        <v>1045</v>
      </c>
      <c r="J72" t="s">
        <v>1046</v>
      </c>
      <c r="K72" t="s">
        <v>1047</v>
      </c>
      <c r="L72" t="s">
        <v>1048</v>
      </c>
      <c r="M72" s="1">
        <v>46276.556423611109</v>
      </c>
      <c r="N72" s="1">
        <v>46276.556446759256</v>
      </c>
      <c r="O72" s="1">
        <v>46276.556423611109</v>
      </c>
      <c r="P72" t="s">
        <v>1049</v>
      </c>
      <c r="Q72" t="s">
        <v>674</v>
      </c>
      <c r="R72">
        <v>4</v>
      </c>
      <c r="S72">
        <v>2022</v>
      </c>
      <c r="T72" t="s">
        <v>674</v>
      </c>
      <c r="U72" t="s">
        <v>1050</v>
      </c>
      <c r="V72" t="s">
        <v>674</v>
      </c>
      <c r="W72" t="s">
        <v>674</v>
      </c>
      <c r="X72" t="s">
        <v>674</v>
      </c>
      <c r="Y72" t="s">
        <v>674</v>
      </c>
      <c r="Z72" t="s">
        <v>674</v>
      </c>
      <c r="AA72" t="s">
        <v>674</v>
      </c>
      <c r="AB72" t="s">
        <v>674</v>
      </c>
      <c r="AC72" t="s">
        <v>97</v>
      </c>
      <c r="AD72" t="s">
        <v>674</v>
      </c>
      <c r="AE72" t="s">
        <v>674</v>
      </c>
      <c r="AF72" t="s">
        <v>674</v>
      </c>
      <c r="AG72" t="s">
        <v>674</v>
      </c>
      <c r="AH72" t="s">
        <v>99</v>
      </c>
      <c r="AJ72" t="s">
        <v>674</v>
      </c>
      <c r="AK72" t="s">
        <v>674</v>
      </c>
      <c r="AL72" t="s">
        <v>1051</v>
      </c>
      <c r="AM72" t="s">
        <v>674</v>
      </c>
      <c r="AN72" t="s">
        <v>674</v>
      </c>
      <c r="AO72" t="s">
        <v>712</v>
      </c>
      <c r="AP72" t="s">
        <v>674</v>
      </c>
      <c r="AQ72" t="s">
        <v>674</v>
      </c>
      <c r="AR72" t="s">
        <v>674</v>
      </c>
      <c r="AS72" t="s">
        <v>674</v>
      </c>
      <c r="AT72" t="s">
        <v>674</v>
      </c>
      <c r="AU72" t="s">
        <v>674</v>
      </c>
      <c r="AV72" t="s">
        <v>674</v>
      </c>
      <c r="AW72" t="s">
        <v>674</v>
      </c>
      <c r="AX72" t="s">
        <v>674</v>
      </c>
      <c r="AY72" t="s">
        <v>674</v>
      </c>
      <c r="AZ72" t="s">
        <v>674</v>
      </c>
      <c r="BA72" t="s">
        <v>674</v>
      </c>
      <c r="BB72" t="s">
        <v>674</v>
      </c>
      <c r="BC72" t="s">
        <v>674</v>
      </c>
      <c r="BD72" t="s">
        <v>674</v>
      </c>
      <c r="BE72" t="s">
        <v>674</v>
      </c>
      <c r="BF72" t="s">
        <v>674</v>
      </c>
      <c r="BG72" t="s">
        <v>674</v>
      </c>
      <c r="BH72" t="s">
        <v>674</v>
      </c>
      <c r="BI72" t="s">
        <v>674</v>
      </c>
      <c r="BJ72" t="s">
        <v>674</v>
      </c>
      <c r="BK72" t="s">
        <v>674</v>
      </c>
      <c r="BL72" t="s">
        <v>674</v>
      </c>
      <c r="BM72" t="s">
        <v>674</v>
      </c>
      <c r="BN72" t="s">
        <v>674</v>
      </c>
      <c r="BO72" t="s">
        <v>674</v>
      </c>
      <c r="BP72" t="s">
        <v>674</v>
      </c>
      <c r="BQ72" t="s">
        <v>674</v>
      </c>
      <c r="BR72" t="s">
        <v>674</v>
      </c>
      <c r="BS72" t="s">
        <v>674</v>
      </c>
      <c r="BT72" t="s">
        <v>674</v>
      </c>
      <c r="BU72" t="s">
        <v>674</v>
      </c>
      <c r="BV72" t="s">
        <v>674</v>
      </c>
      <c r="BW72" t="s">
        <v>674</v>
      </c>
      <c r="BX72" t="s">
        <v>674</v>
      </c>
      <c r="BY72" t="s">
        <v>674</v>
      </c>
      <c r="BZ72" t="s">
        <v>674</v>
      </c>
      <c r="CA72" t="s">
        <v>674</v>
      </c>
      <c r="CB72" t="s">
        <v>674</v>
      </c>
      <c r="CC72" t="s">
        <v>674</v>
      </c>
      <c r="CD72" t="s">
        <v>674</v>
      </c>
      <c r="CE72" t="s">
        <v>674</v>
      </c>
      <c r="CF72" t="s">
        <v>674</v>
      </c>
      <c r="CG72" t="s">
        <v>674</v>
      </c>
      <c r="CH72" t="s">
        <v>674</v>
      </c>
      <c r="CI72" t="s">
        <v>674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B938F-A403-43D6-9A82-417271E38BF3}">
  <dimension ref="A1:CI85"/>
  <sheetViews>
    <sheetView workbookViewId="0">
      <selection activeCell="A14" sqref="A2:XFD14"/>
    </sheetView>
  </sheetViews>
  <sheetFormatPr baseColWidth="10" defaultRowHeight="15" x14ac:dyDescent="0.25"/>
  <cols>
    <col min="1" max="1" width="11.140625" bestFit="1" customWidth="1"/>
    <col min="2" max="2" width="15.85546875" bestFit="1" customWidth="1"/>
    <col min="3" max="3" width="17.85546875" bestFit="1" customWidth="1"/>
    <col min="4" max="6" width="81.140625" bestFit="1" customWidth="1"/>
    <col min="7" max="7" width="33.7109375" bestFit="1" customWidth="1"/>
    <col min="8" max="8" width="29.5703125" bestFit="1" customWidth="1"/>
    <col min="9" max="9" width="47.28515625" bestFit="1" customWidth="1"/>
    <col min="10" max="10" width="66.85546875" bestFit="1" customWidth="1"/>
    <col min="11" max="11" width="81.140625" bestFit="1" customWidth="1"/>
    <col min="12" max="12" width="10.42578125" bestFit="1" customWidth="1"/>
    <col min="13" max="13" width="15.42578125" bestFit="1" customWidth="1"/>
    <col min="14" max="14" width="16" bestFit="1" customWidth="1"/>
    <col min="15" max="15" width="15.42578125" bestFit="1" customWidth="1"/>
    <col min="16" max="16" width="11.7109375" bestFit="1" customWidth="1"/>
    <col min="17" max="17" width="13.28515625" bestFit="1" customWidth="1"/>
    <col min="18" max="18" width="8.140625" bestFit="1" customWidth="1"/>
    <col min="19" max="19" width="10.140625" bestFit="1" customWidth="1"/>
    <col min="20" max="20" width="21.5703125" bestFit="1" customWidth="1"/>
    <col min="21" max="21" width="37.140625" bestFit="1" customWidth="1"/>
    <col min="22" max="22" width="70.7109375" bestFit="1" customWidth="1"/>
    <col min="23" max="23" width="35.42578125" bestFit="1" customWidth="1"/>
    <col min="24" max="24" width="16.7109375" bestFit="1" customWidth="1"/>
    <col min="25" max="25" width="13.28515625" bestFit="1" customWidth="1"/>
    <col min="26" max="26" width="13.42578125" bestFit="1" customWidth="1"/>
    <col min="27" max="27" width="39.140625" bestFit="1" customWidth="1"/>
    <col min="28" max="28" width="26.7109375" bestFit="1" customWidth="1"/>
    <col min="29" max="29" width="11.7109375" bestFit="1" customWidth="1"/>
    <col min="30" max="30" width="73.5703125" bestFit="1" customWidth="1"/>
    <col min="31" max="31" width="18.85546875" bestFit="1" customWidth="1"/>
    <col min="32" max="32" width="10" bestFit="1" customWidth="1"/>
    <col min="33" max="33" width="18.140625" bestFit="1" customWidth="1"/>
    <col min="34" max="34" width="17" bestFit="1" customWidth="1"/>
    <col min="35" max="35" width="14.5703125" bestFit="1" customWidth="1"/>
    <col min="36" max="36" width="24.85546875" bestFit="1" customWidth="1"/>
    <col min="37" max="37" width="8.7109375" bestFit="1" customWidth="1"/>
    <col min="38" max="38" width="81.140625" bestFit="1" customWidth="1"/>
    <col min="39" max="39" width="19" bestFit="1" customWidth="1"/>
    <col min="40" max="40" width="79.42578125" bestFit="1" customWidth="1"/>
    <col min="41" max="41" width="81.140625" bestFit="1" customWidth="1"/>
    <col min="42" max="42" width="14.28515625" bestFit="1" customWidth="1"/>
    <col min="43" max="43" width="14.85546875" bestFit="1" customWidth="1"/>
    <col min="44" max="44" width="12.28515625" bestFit="1" customWidth="1"/>
    <col min="45" max="45" width="13.85546875" bestFit="1" customWidth="1"/>
    <col min="46" max="46" width="16.5703125" bestFit="1" customWidth="1"/>
    <col min="47" max="47" width="14.140625" bestFit="1" customWidth="1"/>
    <col min="48" max="48" width="15.28515625" bestFit="1" customWidth="1"/>
    <col min="49" max="49" width="14.140625" bestFit="1" customWidth="1"/>
    <col min="50" max="50" width="12.7109375" bestFit="1" customWidth="1"/>
    <col min="51" max="51" width="13.140625" bestFit="1" customWidth="1"/>
    <col min="52" max="52" width="10.85546875" bestFit="1" customWidth="1"/>
    <col min="53" max="53" width="13.5703125" bestFit="1" customWidth="1"/>
    <col min="55" max="55" width="12" bestFit="1" customWidth="1"/>
    <col min="56" max="56" width="18.7109375" bestFit="1" customWidth="1"/>
    <col min="57" max="57" width="13.85546875" bestFit="1" customWidth="1"/>
    <col min="58" max="58" width="11.7109375" bestFit="1" customWidth="1"/>
    <col min="59" max="59" width="8.7109375" bestFit="1" customWidth="1"/>
    <col min="60" max="60" width="10.5703125" bestFit="1" customWidth="1"/>
    <col min="61" max="61" width="9.7109375" bestFit="1" customWidth="1"/>
    <col min="62" max="62" width="15.5703125" bestFit="1" customWidth="1"/>
    <col min="63" max="63" width="8.140625" bestFit="1" customWidth="1"/>
    <col min="64" max="64" width="10.5703125" bestFit="1" customWidth="1"/>
    <col min="65" max="65" width="14.28515625" bestFit="1" customWidth="1"/>
    <col min="66" max="66" width="12.85546875" bestFit="1" customWidth="1"/>
    <col min="67" max="67" width="21.28515625" bestFit="1" customWidth="1"/>
    <col min="69" max="69" width="18.5703125" bestFit="1" customWidth="1"/>
    <col min="70" max="70" width="10.5703125" bestFit="1" customWidth="1"/>
    <col min="71" max="71" width="16.28515625" bestFit="1" customWidth="1"/>
    <col min="72" max="72" width="81.140625" bestFit="1" customWidth="1"/>
    <col min="73" max="73" width="8.42578125" bestFit="1" customWidth="1"/>
    <col min="74" max="74" width="13.7109375" bestFit="1" customWidth="1"/>
    <col min="75" max="75" width="11.28515625" bestFit="1" customWidth="1"/>
    <col min="76" max="76" width="14.140625" bestFit="1" customWidth="1"/>
    <col min="77" max="77" width="18.7109375" bestFit="1" customWidth="1"/>
    <col min="78" max="78" width="24.28515625" bestFit="1" customWidth="1"/>
    <col min="79" max="79" width="10.140625" bestFit="1" customWidth="1"/>
    <col min="80" max="80" width="10" bestFit="1" customWidth="1"/>
    <col min="81" max="81" width="8.140625" bestFit="1" customWidth="1"/>
    <col min="82" max="82" width="15.85546875" bestFit="1" customWidth="1"/>
    <col min="83" max="83" width="10.140625" bestFit="1" customWidth="1"/>
    <col min="84" max="84" width="10.42578125" bestFit="1" customWidth="1"/>
    <col min="85" max="85" width="13.5703125" bestFit="1" customWidth="1"/>
    <col min="86" max="86" width="9.85546875" bestFit="1" customWidth="1"/>
    <col min="87" max="87" width="17.85546875" bestFit="1" customWidth="1"/>
  </cols>
  <sheetData>
    <row r="1" spans="1:8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row>
    <row r="2" spans="1:87" x14ac:dyDescent="0.25">
      <c r="A2" t="s">
        <v>1188</v>
      </c>
      <c r="B2" t="s">
        <v>88</v>
      </c>
      <c r="C2">
        <v>2024</v>
      </c>
      <c r="D2" t="s">
        <v>748</v>
      </c>
      <c r="E2" t="s">
        <v>1189</v>
      </c>
      <c r="F2" t="s">
        <v>1190</v>
      </c>
      <c r="G2" t="s">
        <v>674</v>
      </c>
      <c r="H2" t="s">
        <v>1191</v>
      </c>
      <c r="I2" t="s">
        <v>1192</v>
      </c>
      <c r="J2" t="s">
        <v>1193</v>
      </c>
      <c r="K2" t="s">
        <v>1194</v>
      </c>
      <c r="L2" t="s">
        <v>1195</v>
      </c>
      <c r="M2" s="1">
        <v>46286.060914351852</v>
      </c>
      <c r="N2" s="1">
        <v>46286.060925925929</v>
      </c>
      <c r="O2" s="1">
        <v>46286.060914351852</v>
      </c>
      <c r="P2" t="s">
        <v>1196</v>
      </c>
      <c r="Q2" t="s">
        <v>674</v>
      </c>
      <c r="R2">
        <v>3</v>
      </c>
      <c r="S2">
        <v>65</v>
      </c>
      <c r="T2" t="s">
        <v>674</v>
      </c>
      <c r="U2" t="s">
        <v>1190</v>
      </c>
      <c r="V2" t="s">
        <v>674</v>
      </c>
      <c r="W2" t="s">
        <v>674</v>
      </c>
      <c r="X2" t="s">
        <v>674</v>
      </c>
      <c r="Y2" t="s">
        <v>674</v>
      </c>
      <c r="Z2" t="s">
        <v>674</v>
      </c>
      <c r="AA2" t="s">
        <v>674</v>
      </c>
      <c r="AB2" t="s">
        <v>674</v>
      </c>
      <c r="AC2" t="s">
        <v>97</v>
      </c>
      <c r="AD2" t="s">
        <v>674</v>
      </c>
      <c r="AE2" t="s">
        <v>674</v>
      </c>
      <c r="AF2" t="s">
        <v>674</v>
      </c>
      <c r="AG2" t="s">
        <v>674</v>
      </c>
      <c r="AH2" t="s">
        <v>99</v>
      </c>
      <c r="AJ2" t="s">
        <v>674</v>
      </c>
      <c r="AK2" t="s">
        <v>674</v>
      </c>
      <c r="AL2" t="s">
        <v>1197</v>
      </c>
      <c r="AM2" t="s">
        <v>674</v>
      </c>
      <c r="AN2" t="s">
        <v>674</v>
      </c>
      <c r="AO2" t="s">
        <v>712</v>
      </c>
      <c r="AP2" t="s">
        <v>674</v>
      </c>
      <c r="AQ2" t="s">
        <v>674</v>
      </c>
      <c r="AR2" t="s">
        <v>674</v>
      </c>
      <c r="AS2" t="s">
        <v>674</v>
      </c>
      <c r="AT2" t="s">
        <v>674</v>
      </c>
      <c r="AU2" t="s">
        <v>674</v>
      </c>
      <c r="AV2" t="s">
        <v>674</v>
      </c>
      <c r="AW2" t="s">
        <v>674</v>
      </c>
      <c r="AX2" t="s">
        <v>674</v>
      </c>
      <c r="AY2" t="s">
        <v>674</v>
      </c>
      <c r="AZ2" t="s">
        <v>674</v>
      </c>
      <c r="BA2" t="s">
        <v>674</v>
      </c>
      <c r="BB2" t="s">
        <v>674</v>
      </c>
      <c r="BC2" t="s">
        <v>674</v>
      </c>
      <c r="BD2" t="s">
        <v>674</v>
      </c>
      <c r="BE2" t="s">
        <v>674</v>
      </c>
      <c r="BF2" t="s">
        <v>674</v>
      </c>
      <c r="BG2" t="s">
        <v>674</v>
      </c>
      <c r="BH2" t="s">
        <v>674</v>
      </c>
      <c r="BI2" t="s">
        <v>674</v>
      </c>
      <c r="BJ2" t="s">
        <v>674</v>
      </c>
      <c r="BK2" t="s">
        <v>674</v>
      </c>
      <c r="BL2" t="s">
        <v>674</v>
      </c>
      <c r="BM2" t="s">
        <v>674</v>
      </c>
      <c r="BN2" t="s">
        <v>674</v>
      </c>
      <c r="BO2" t="s">
        <v>674</v>
      </c>
      <c r="BP2" t="s">
        <v>674</v>
      </c>
      <c r="BQ2" t="s">
        <v>674</v>
      </c>
      <c r="BR2" t="s">
        <v>674</v>
      </c>
      <c r="BS2" t="s">
        <v>674</v>
      </c>
      <c r="BT2" t="s">
        <v>674</v>
      </c>
      <c r="BU2" t="s">
        <v>674</v>
      </c>
      <c r="BV2" t="s">
        <v>674</v>
      </c>
      <c r="BW2" t="s">
        <v>674</v>
      </c>
      <c r="BX2" t="s">
        <v>674</v>
      </c>
      <c r="BY2" t="s">
        <v>674</v>
      </c>
      <c r="BZ2" t="s">
        <v>674</v>
      </c>
      <c r="CA2" t="s">
        <v>674</v>
      </c>
      <c r="CB2" t="s">
        <v>674</v>
      </c>
      <c r="CC2" t="s">
        <v>674</v>
      </c>
      <c r="CD2" t="s">
        <v>674</v>
      </c>
      <c r="CE2" t="s">
        <v>674</v>
      </c>
      <c r="CF2" t="s">
        <v>674</v>
      </c>
      <c r="CG2" t="s">
        <v>674</v>
      </c>
      <c r="CH2" t="s">
        <v>674</v>
      </c>
      <c r="CI2" t="s">
        <v>674</v>
      </c>
    </row>
    <row r="3" spans="1:87" x14ac:dyDescent="0.25">
      <c r="A3" t="s">
        <v>1183</v>
      </c>
      <c r="B3" t="s">
        <v>88</v>
      </c>
      <c r="D3" t="s">
        <v>1184</v>
      </c>
      <c r="E3" t="s">
        <v>1185</v>
      </c>
      <c r="F3" t="s">
        <v>674</v>
      </c>
      <c r="G3" t="s">
        <v>674</v>
      </c>
      <c r="H3" t="s">
        <v>674</v>
      </c>
      <c r="I3" t="s">
        <v>674</v>
      </c>
      <c r="J3" t="s">
        <v>674</v>
      </c>
      <c r="K3" t="s">
        <v>1186</v>
      </c>
      <c r="L3" t="s">
        <v>674</v>
      </c>
      <c r="M3" s="1">
        <v>46286.060856481483</v>
      </c>
      <c r="N3" s="1">
        <v>46286.060868055552</v>
      </c>
      <c r="O3" s="1"/>
      <c r="P3" t="s">
        <v>674</v>
      </c>
      <c r="Q3" t="s">
        <v>674</v>
      </c>
      <c r="T3" t="s">
        <v>674</v>
      </c>
      <c r="U3" t="s">
        <v>674</v>
      </c>
      <c r="V3" t="s">
        <v>674</v>
      </c>
      <c r="W3" t="s">
        <v>674</v>
      </c>
      <c r="X3" t="s">
        <v>674</v>
      </c>
      <c r="Y3" t="s">
        <v>674</v>
      </c>
      <c r="Z3" t="s">
        <v>674</v>
      </c>
      <c r="AA3" t="s">
        <v>674</v>
      </c>
      <c r="AB3" t="s">
        <v>674</v>
      </c>
      <c r="AC3" t="s">
        <v>97</v>
      </c>
      <c r="AD3" t="s">
        <v>674</v>
      </c>
      <c r="AE3" t="s">
        <v>674</v>
      </c>
      <c r="AF3" t="s">
        <v>674</v>
      </c>
      <c r="AG3" t="s">
        <v>674</v>
      </c>
      <c r="AH3" t="s">
        <v>163</v>
      </c>
      <c r="AJ3" t="s">
        <v>674</v>
      </c>
      <c r="AK3" t="s">
        <v>674</v>
      </c>
      <c r="AL3" t="s">
        <v>1187</v>
      </c>
      <c r="AM3" t="s">
        <v>674</v>
      </c>
      <c r="AN3" t="s">
        <v>674</v>
      </c>
      <c r="AO3" t="s">
        <v>712</v>
      </c>
      <c r="AP3" t="s">
        <v>674</v>
      </c>
      <c r="AQ3" t="s">
        <v>674</v>
      </c>
      <c r="AR3" t="s">
        <v>674</v>
      </c>
      <c r="AS3" t="s">
        <v>674</v>
      </c>
      <c r="AT3" t="s">
        <v>674</v>
      </c>
      <c r="AU3" t="s">
        <v>674</v>
      </c>
      <c r="AV3" t="s">
        <v>674</v>
      </c>
      <c r="AW3" t="s">
        <v>674</v>
      </c>
      <c r="AX3" t="s">
        <v>674</v>
      </c>
      <c r="AY3" t="s">
        <v>674</v>
      </c>
      <c r="AZ3" t="s">
        <v>674</v>
      </c>
      <c r="BA3" t="s">
        <v>674</v>
      </c>
      <c r="BB3" t="s">
        <v>674</v>
      </c>
      <c r="BC3" t="s">
        <v>674</v>
      </c>
      <c r="BD3" t="s">
        <v>674</v>
      </c>
      <c r="BE3" t="s">
        <v>674</v>
      </c>
      <c r="BF3" t="s">
        <v>674</v>
      </c>
      <c r="BG3" t="s">
        <v>674</v>
      </c>
      <c r="BH3" t="s">
        <v>674</v>
      </c>
      <c r="BI3" t="s">
        <v>674</v>
      </c>
      <c r="BJ3" t="s">
        <v>674</v>
      </c>
      <c r="BK3" t="s">
        <v>674</v>
      </c>
      <c r="BL3" t="s">
        <v>674</v>
      </c>
      <c r="BM3" t="s">
        <v>674</v>
      </c>
      <c r="BN3" t="s">
        <v>674</v>
      </c>
      <c r="BO3" t="s">
        <v>674</v>
      </c>
      <c r="BP3" t="s">
        <v>674</v>
      </c>
      <c r="BQ3" t="s">
        <v>674</v>
      </c>
      <c r="BR3" t="s">
        <v>674</v>
      </c>
      <c r="BS3" t="s">
        <v>674</v>
      </c>
      <c r="BT3" t="s">
        <v>674</v>
      </c>
      <c r="BU3" t="s">
        <v>674</v>
      </c>
      <c r="BV3" t="s">
        <v>674</v>
      </c>
      <c r="BW3" t="s">
        <v>674</v>
      </c>
      <c r="BX3" t="s">
        <v>674</v>
      </c>
      <c r="BY3" t="s">
        <v>674</v>
      </c>
      <c r="BZ3" t="s">
        <v>674</v>
      </c>
      <c r="CA3" t="s">
        <v>674</v>
      </c>
      <c r="CB3" t="s">
        <v>674</v>
      </c>
      <c r="CC3" t="s">
        <v>674</v>
      </c>
      <c r="CD3" t="s">
        <v>674</v>
      </c>
      <c r="CE3" t="s">
        <v>674</v>
      </c>
      <c r="CF3" t="s">
        <v>674</v>
      </c>
      <c r="CG3" t="s">
        <v>674</v>
      </c>
      <c r="CH3" t="s">
        <v>674</v>
      </c>
      <c r="CI3" t="s">
        <v>674</v>
      </c>
    </row>
    <row r="4" spans="1:87" x14ac:dyDescent="0.25">
      <c r="A4" t="s">
        <v>1181</v>
      </c>
      <c r="B4" t="s">
        <v>88</v>
      </c>
      <c r="C4">
        <v>2022</v>
      </c>
      <c r="D4" t="s">
        <v>1095</v>
      </c>
      <c r="E4" t="s">
        <v>1096</v>
      </c>
      <c r="F4" t="s">
        <v>499</v>
      </c>
      <c r="G4" t="s">
        <v>674</v>
      </c>
      <c r="H4" t="s">
        <v>500</v>
      </c>
      <c r="I4" t="s">
        <v>1097</v>
      </c>
      <c r="J4" t="s">
        <v>1098</v>
      </c>
      <c r="K4" t="s">
        <v>1099</v>
      </c>
      <c r="L4" t="s">
        <v>1100</v>
      </c>
      <c r="M4" s="1">
        <v>46286.060810185183</v>
      </c>
      <c r="N4" s="1">
        <v>46286.06082175926</v>
      </c>
      <c r="O4" s="1">
        <v>46286.060810185183</v>
      </c>
      <c r="P4" t="s">
        <v>1101</v>
      </c>
      <c r="Q4" t="s">
        <v>674</v>
      </c>
      <c r="R4">
        <v>11</v>
      </c>
      <c r="S4">
        <v>37</v>
      </c>
      <c r="T4" t="s">
        <v>674</v>
      </c>
      <c r="U4" t="s">
        <v>505</v>
      </c>
      <c r="V4" t="s">
        <v>674</v>
      </c>
      <c r="W4" t="s">
        <v>674</v>
      </c>
      <c r="X4" t="s">
        <v>674</v>
      </c>
      <c r="Y4" t="s">
        <v>674</v>
      </c>
      <c r="Z4" t="s">
        <v>674</v>
      </c>
      <c r="AA4" t="s">
        <v>674</v>
      </c>
      <c r="AB4" t="s">
        <v>674</v>
      </c>
      <c r="AC4" t="s">
        <v>97</v>
      </c>
      <c r="AD4" t="s">
        <v>122</v>
      </c>
      <c r="AE4" t="s">
        <v>674</v>
      </c>
      <c r="AF4" t="s">
        <v>674</v>
      </c>
      <c r="AG4" t="s">
        <v>674</v>
      </c>
      <c r="AH4" t="s">
        <v>99</v>
      </c>
      <c r="AJ4" t="s">
        <v>674</v>
      </c>
      <c r="AK4" t="s">
        <v>674</v>
      </c>
      <c r="AL4" t="s">
        <v>1182</v>
      </c>
      <c r="AM4" t="s">
        <v>674</v>
      </c>
      <c r="AN4" t="s">
        <v>674</v>
      </c>
      <c r="AO4" t="s">
        <v>712</v>
      </c>
      <c r="AP4" t="s">
        <v>674</v>
      </c>
      <c r="AQ4" t="s">
        <v>674</v>
      </c>
      <c r="AR4" t="s">
        <v>674</v>
      </c>
      <c r="AS4" t="s">
        <v>674</v>
      </c>
      <c r="AT4" t="s">
        <v>674</v>
      </c>
      <c r="AU4" t="s">
        <v>674</v>
      </c>
      <c r="AV4" t="s">
        <v>674</v>
      </c>
      <c r="AW4" t="s">
        <v>674</v>
      </c>
      <c r="AX4" t="s">
        <v>674</v>
      </c>
      <c r="AY4" t="s">
        <v>674</v>
      </c>
      <c r="AZ4" t="s">
        <v>674</v>
      </c>
      <c r="BA4" t="s">
        <v>674</v>
      </c>
      <c r="BB4" t="s">
        <v>674</v>
      </c>
      <c r="BC4" t="s">
        <v>674</v>
      </c>
      <c r="BD4" t="s">
        <v>674</v>
      </c>
      <c r="BE4" t="s">
        <v>674</v>
      </c>
      <c r="BF4" t="s">
        <v>674</v>
      </c>
      <c r="BG4" t="s">
        <v>674</v>
      </c>
      <c r="BH4" t="s">
        <v>674</v>
      </c>
      <c r="BI4" t="s">
        <v>674</v>
      </c>
      <c r="BJ4" t="s">
        <v>674</v>
      </c>
      <c r="BK4" t="s">
        <v>674</v>
      </c>
      <c r="BL4" t="s">
        <v>674</v>
      </c>
      <c r="BM4" t="s">
        <v>674</v>
      </c>
      <c r="BN4" t="s">
        <v>674</v>
      </c>
      <c r="BO4" t="s">
        <v>674</v>
      </c>
      <c r="BP4" t="s">
        <v>674</v>
      </c>
      <c r="BQ4" t="s">
        <v>674</v>
      </c>
      <c r="BR4" t="s">
        <v>674</v>
      </c>
      <c r="BS4" t="s">
        <v>674</v>
      </c>
      <c r="BT4" t="s">
        <v>674</v>
      </c>
      <c r="BU4" t="s">
        <v>674</v>
      </c>
      <c r="BV4" t="s">
        <v>674</v>
      </c>
      <c r="BW4" t="s">
        <v>674</v>
      </c>
      <c r="BX4" t="s">
        <v>674</v>
      </c>
      <c r="BY4" t="s">
        <v>674</v>
      </c>
      <c r="BZ4" t="s">
        <v>674</v>
      </c>
      <c r="CA4" t="s">
        <v>674</v>
      </c>
      <c r="CB4" t="s">
        <v>674</v>
      </c>
      <c r="CC4" t="s">
        <v>674</v>
      </c>
      <c r="CD4" t="s">
        <v>674</v>
      </c>
      <c r="CE4" t="s">
        <v>674</v>
      </c>
      <c r="CF4" t="s">
        <v>674</v>
      </c>
      <c r="CG4" t="s">
        <v>674</v>
      </c>
      <c r="CH4" t="s">
        <v>674</v>
      </c>
      <c r="CI4" t="s">
        <v>674</v>
      </c>
    </row>
    <row r="5" spans="1:87" x14ac:dyDescent="0.25">
      <c r="A5" t="s">
        <v>1171</v>
      </c>
      <c r="B5" t="s">
        <v>88</v>
      </c>
      <c r="C5">
        <v>1999</v>
      </c>
      <c r="D5" t="s">
        <v>1172</v>
      </c>
      <c r="E5" t="s">
        <v>1173</v>
      </c>
      <c r="F5" t="s">
        <v>341</v>
      </c>
      <c r="G5" t="s">
        <v>674</v>
      </c>
      <c r="H5" t="s">
        <v>1174</v>
      </c>
      <c r="I5" t="s">
        <v>1175</v>
      </c>
      <c r="J5" t="s">
        <v>1176</v>
      </c>
      <c r="K5" t="s">
        <v>1177</v>
      </c>
      <c r="L5" t="s">
        <v>1178</v>
      </c>
      <c r="M5" s="1">
        <v>46286.060752314814</v>
      </c>
      <c r="N5" s="1">
        <v>46286.060763888891</v>
      </c>
      <c r="O5" s="1">
        <v>46286.060752314814</v>
      </c>
      <c r="P5" t="s">
        <v>1179</v>
      </c>
      <c r="Q5" t="s">
        <v>674</v>
      </c>
      <c r="R5">
        <v>4</v>
      </c>
      <c r="S5">
        <v>7</v>
      </c>
      <c r="T5" t="s">
        <v>674</v>
      </c>
      <c r="U5" t="s">
        <v>347</v>
      </c>
      <c r="V5" t="s">
        <v>674</v>
      </c>
      <c r="W5" t="s">
        <v>674</v>
      </c>
      <c r="X5" t="s">
        <v>674</v>
      </c>
      <c r="Y5" t="s">
        <v>674</v>
      </c>
      <c r="Z5" t="s">
        <v>674</v>
      </c>
      <c r="AA5" t="s">
        <v>674</v>
      </c>
      <c r="AB5" t="s">
        <v>674</v>
      </c>
      <c r="AC5" t="s">
        <v>97</v>
      </c>
      <c r="AD5" t="s">
        <v>122</v>
      </c>
      <c r="AE5" t="s">
        <v>674</v>
      </c>
      <c r="AF5" t="s">
        <v>674</v>
      </c>
      <c r="AG5" t="s">
        <v>674</v>
      </c>
      <c r="AH5" t="s">
        <v>99</v>
      </c>
      <c r="AJ5" t="s">
        <v>674</v>
      </c>
      <c r="AK5" t="s">
        <v>674</v>
      </c>
      <c r="AL5" t="s">
        <v>1180</v>
      </c>
      <c r="AM5" t="s">
        <v>674</v>
      </c>
      <c r="AN5" t="s">
        <v>674</v>
      </c>
      <c r="AO5" t="s">
        <v>712</v>
      </c>
      <c r="AP5" t="s">
        <v>674</v>
      </c>
      <c r="AQ5" t="s">
        <v>674</v>
      </c>
      <c r="AR5" t="s">
        <v>674</v>
      </c>
      <c r="AS5" t="s">
        <v>674</v>
      </c>
      <c r="AT5" t="s">
        <v>674</v>
      </c>
      <c r="AU5" t="s">
        <v>674</v>
      </c>
      <c r="AV5" t="s">
        <v>674</v>
      </c>
      <c r="AW5" t="s">
        <v>674</v>
      </c>
      <c r="AX5" t="s">
        <v>674</v>
      </c>
      <c r="AY5" t="s">
        <v>674</v>
      </c>
      <c r="AZ5" t="s">
        <v>674</v>
      </c>
      <c r="BA5" t="s">
        <v>674</v>
      </c>
      <c r="BB5" t="s">
        <v>674</v>
      </c>
      <c r="BC5" t="s">
        <v>674</v>
      </c>
      <c r="BD5" t="s">
        <v>674</v>
      </c>
      <c r="BE5" t="s">
        <v>674</v>
      </c>
      <c r="BF5" t="s">
        <v>674</v>
      </c>
      <c r="BG5" t="s">
        <v>674</v>
      </c>
      <c r="BH5" t="s">
        <v>674</v>
      </c>
      <c r="BI5" t="s">
        <v>674</v>
      </c>
      <c r="BJ5" t="s">
        <v>674</v>
      </c>
      <c r="BK5" t="s">
        <v>674</v>
      </c>
      <c r="BL5" t="s">
        <v>674</v>
      </c>
      <c r="BM5" t="s">
        <v>674</v>
      </c>
      <c r="BN5" t="s">
        <v>674</v>
      </c>
      <c r="BO5" t="s">
        <v>674</v>
      </c>
      <c r="BP5" t="s">
        <v>674</v>
      </c>
      <c r="BQ5" t="s">
        <v>674</v>
      </c>
      <c r="BR5" t="s">
        <v>674</v>
      </c>
      <c r="BS5" t="s">
        <v>674</v>
      </c>
      <c r="BT5" t="s">
        <v>674</v>
      </c>
      <c r="BU5" t="s">
        <v>674</v>
      </c>
      <c r="BV5" t="s">
        <v>674</v>
      </c>
      <c r="BW5" t="s">
        <v>674</v>
      </c>
      <c r="BX5" t="s">
        <v>674</v>
      </c>
      <c r="BY5" t="s">
        <v>674</v>
      </c>
      <c r="BZ5" t="s">
        <v>674</v>
      </c>
      <c r="CA5" t="s">
        <v>674</v>
      </c>
      <c r="CB5" t="s">
        <v>674</v>
      </c>
      <c r="CC5" t="s">
        <v>674</v>
      </c>
      <c r="CD5" t="s">
        <v>674</v>
      </c>
      <c r="CE5" t="s">
        <v>674</v>
      </c>
      <c r="CF5" t="s">
        <v>674</v>
      </c>
      <c r="CG5" t="s">
        <v>674</v>
      </c>
      <c r="CH5" t="s">
        <v>674</v>
      </c>
      <c r="CI5" t="s">
        <v>674</v>
      </c>
    </row>
    <row r="6" spans="1:87" x14ac:dyDescent="0.25">
      <c r="A6" t="s">
        <v>1162</v>
      </c>
      <c r="B6" t="s">
        <v>88</v>
      </c>
      <c r="C6">
        <v>2000</v>
      </c>
      <c r="D6" t="s">
        <v>1163</v>
      </c>
      <c r="E6" t="s">
        <v>1164</v>
      </c>
      <c r="F6" t="s">
        <v>499</v>
      </c>
      <c r="G6" t="s">
        <v>674</v>
      </c>
      <c r="H6" t="s">
        <v>500</v>
      </c>
      <c r="I6" t="s">
        <v>1165</v>
      </c>
      <c r="J6" t="s">
        <v>1166</v>
      </c>
      <c r="K6" t="s">
        <v>1167</v>
      </c>
      <c r="L6" t="s">
        <v>1168</v>
      </c>
      <c r="M6" s="1">
        <v>46286.060694444444</v>
      </c>
      <c r="N6" s="1">
        <v>46286.060717592591</v>
      </c>
      <c r="O6" s="1">
        <v>46286.060694444444</v>
      </c>
      <c r="P6" t="s">
        <v>1169</v>
      </c>
      <c r="Q6" t="s">
        <v>674</v>
      </c>
      <c r="R6">
        <v>5</v>
      </c>
      <c r="S6">
        <v>15</v>
      </c>
      <c r="T6" t="s">
        <v>674</v>
      </c>
      <c r="U6" t="s">
        <v>505</v>
      </c>
      <c r="V6" t="s">
        <v>674</v>
      </c>
      <c r="W6" t="s">
        <v>674</v>
      </c>
      <c r="X6" t="s">
        <v>674</v>
      </c>
      <c r="Y6" t="s">
        <v>674</v>
      </c>
      <c r="Z6" t="s">
        <v>674</v>
      </c>
      <c r="AA6" t="s">
        <v>674</v>
      </c>
      <c r="AB6" t="s">
        <v>674</v>
      </c>
      <c r="AC6" t="s">
        <v>97</v>
      </c>
      <c r="AD6" t="s">
        <v>122</v>
      </c>
      <c r="AE6" t="s">
        <v>674</v>
      </c>
      <c r="AF6" t="s">
        <v>674</v>
      </c>
      <c r="AG6" t="s">
        <v>674</v>
      </c>
      <c r="AH6" t="s">
        <v>99</v>
      </c>
      <c r="AJ6" t="s">
        <v>674</v>
      </c>
      <c r="AK6" t="s">
        <v>674</v>
      </c>
      <c r="AL6" t="s">
        <v>1170</v>
      </c>
      <c r="AM6" t="s">
        <v>674</v>
      </c>
      <c r="AN6" t="s">
        <v>674</v>
      </c>
      <c r="AO6" t="s">
        <v>712</v>
      </c>
      <c r="AP6" t="s">
        <v>674</v>
      </c>
      <c r="AQ6" t="s">
        <v>674</v>
      </c>
      <c r="AR6" t="s">
        <v>674</v>
      </c>
      <c r="AS6" t="s">
        <v>674</v>
      </c>
      <c r="AT6" t="s">
        <v>674</v>
      </c>
      <c r="AU6" t="s">
        <v>674</v>
      </c>
      <c r="AV6" t="s">
        <v>674</v>
      </c>
      <c r="AW6" t="s">
        <v>674</v>
      </c>
      <c r="AX6" t="s">
        <v>674</v>
      </c>
      <c r="AY6" t="s">
        <v>674</v>
      </c>
      <c r="AZ6" t="s">
        <v>674</v>
      </c>
      <c r="BA6" t="s">
        <v>674</v>
      </c>
      <c r="BB6" t="s">
        <v>674</v>
      </c>
      <c r="BC6" t="s">
        <v>674</v>
      </c>
      <c r="BD6" t="s">
        <v>674</v>
      </c>
      <c r="BE6" t="s">
        <v>674</v>
      </c>
      <c r="BF6" t="s">
        <v>674</v>
      </c>
      <c r="BG6" t="s">
        <v>674</v>
      </c>
      <c r="BH6" t="s">
        <v>674</v>
      </c>
      <c r="BI6" t="s">
        <v>674</v>
      </c>
      <c r="BJ6" t="s">
        <v>674</v>
      </c>
      <c r="BK6" t="s">
        <v>674</v>
      </c>
      <c r="BL6" t="s">
        <v>674</v>
      </c>
      <c r="BM6" t="s">
        <v>674</v>
      </c>
      <c r="BN6" t="s">
        <v>674</v>
      </c>
      <c r="BO6" t="s">
        <v>674</v>
      </c>
      <c r="BP6" t="s">
        <v>674</v>
      </c>
      <c r="BQ6" t="s">
        <v>674</v>
      </c>
      <c r="BR6" t="s">
        <v>674</v>
      </c>
      <c r="BS6" t="s">
        <v>674</v>
      </c>
      <c r="BT6" t="s">
        <v>674</v>
      </c>
      <c r="BU6" t="s">
        <v>674</v>
      </c>
      <c r="BV6" t="s">
        <v>674</v>
      </c>
      <c r="BW6" t="s">
        <v>674</v>
      </c>
      <c r="BX6" t="s">
        <v>674</v>
      </c>
      <c r="BY6" t="s">
        <v>674</v>
      </c>
      <c r="BZ6" t="s">
        <v>674</v>
      </c>
      <c r="CA6" t="s">
        <v>674</v>
      </c>
      <c r="CB6" t="s">
        <v>674</v>
      </c>
      <c r="CC6" t="s">
        <v>674</v>
      </c>
      <c r="CD6" t="s">
        <v>674</v>
      </c>
      <c r="CE6" t="s">
        <v>674</v>
      </c>
      <c r="CF6" t="s">
        <v>674</v>
      </c>
      <c r="CG6" t="s">
        <v>674</v>
      </c>
      <c r="CH6" t="s">
        <v>674</v>
      </c>
      <c r="CI6" t="s">
        <v>674</v>
      </c>
    </row>
    <row r="7" spans="1:87" x14ac:dyDescent="0.25">
      <c r="A7" t="s">
        <v>1150</v>
      </c>
      <c r="B7" t="s">
        <v>88</v>
      </c>
      <c r="C7">
        <v>2023</v>
      </c>
      <c r="D7" t="s">
        <v>1151</v>
      </c>
      <c r="E7" t="s">
        <v>1152</v>
      </c>
      <c r="F7" t="s">
        <v>1153</v>
      </c>
      <c r="G7" t="s">
        <v>674</v>
      </c>
      <c r="H7" t="s">
        <v>1154</v>
      </c>
      <c r="I7" t="s">
        <v>1155</v>
      </c>
      <c r="J7" t="s">
        <v>1156</v>
      </c>
      <c r="K7" t="s">
        <v>1157</v>
      </c>
      <c r="L7" t="s">
        <v>1158</v>
      </c>
      <c r="M7" s="1">
        <v>46286.060659722221</v>
      </c>
      <c r="N7" s="1">
        <v>46286.060659722221</v>
      </c>
      <c r="O7" s="1">
        <v>46286.060659722221</v>
      </c>
      <c r="P7" t="s">
        <v>1159</v>
      </c>
      <c r="Q7" t="s">
        <v>674</v>
      </c>
      <c r="R7">
        <v>2</v>
      </c>
      <c r="S7">
        <v>87</v>
      </c>
      <c r="T7" t="s">
        <v>674</v>
      </c>
      <c r="U7" t="s">
        <v>1160</v>
      </c>
      <c r="V7" t="s">
        <v>674</v>
      </c>
      <c r="W7" t="s">
        <v>674</v>
      </c>
      <c r="X7" t="s">
        <v>674</v>
      </c>
      <c r="Y7" t="s">
        <v>674</v>
      </c>
      <c r="Z7" t="s">
        <v>674</v>
      </c>
      <c r="AA7" t="s">
        <v>674</v>
      </c>
      <c r="AB7" t="s">
        <v>674</v>
      </c>
      <c r="AC7" t="s">
        <v>97</v>
      </c>
      <c r="AD7" t="s">
        <v>674</v>
      </c>
      <c r="AE7" t="s">
        <v>674</v>
      </c>
      <c r="AF7" t="s">
        <v>674</v>
      </c>
      <c r="AG7" t="s">
        <v>674</v>
      </c>
      <c r="AH7" t="s">
        <v>99</v>
      </c>
      <c r="AJ7" t="s">
        <v>674</v>
      </c>
      <c r="AK7" t="s">
        <v>674</v>
      </c>
      <c r="AL7" t="s">
        <v>1161</v>
      </c>
      <c r="AM7" t="s">
        <v>674</v>
      </c>
      <c r="AN7" t="s">
        <v>674</v>
      </c>
      <c r="AO7" t="s">
        <v>712</v>
      </c>
      <c r="AP7" t="s">
        <v>674</v>
      </c>
      <c r="AQ7" t="s">
        <v>674</v>
      </c>
      <c r="AR7" t="s">
        <v>674</v>
      </c>
      <c r="AS7" t="s">
        <v>674</v>
      </c>
      <c r="AT7" t="s">
        <v>674</v>
      </c>
      <c r="AU7" t="s">
        <v>674</v>
      </c>
      <c r="AV7" t="s">
        <v>674</v>
      </c>
      <c r="AW7" t="s">
        <v>674</v>
      </c>
      <c r="AX7" t="s">
        <v>674</v>
      </c>
      <c r="AY7" t="s">
        <v>674</v>
      </c>
      <c r="AZ7" t="s">
        <v>674</v>
      </c>
      <c r="BA7" t="s">
        <v>674</v>
      </c>
      <c r="BB7" t="s">
        <v>674</v>
      </c>
      <c r="BC7" t="s">
        <v>674</v>
      </c>
      <c r="BD7" t="s">
        <v>674</v>
      </c>
      <c r="BE7" t="s">
        <v>674</v>
      </c>
      <c r="BF7" t="s">
        <v>674</v>
      </c>
      <c r="BG7" t="s">
        <v>674</v>
      </c>
      <c r="BH7" t="s">
        <v>674</v>
      </c>
      <c r="BI7" t="s">
        <v>674</v>
      </c>
      <c r="BJ7" t="s">
        <v>674</v>
      </c>
      <c r="BK7" t="s">
        <v>674</v>
      </c>
      <c r="BL7" t="s">
        <v>674</v>
      </c>
      <c r="BM7" t="s">
        <v>674</v>
      </c>
      <c r="BN7" t="s">
        <v>674</v>
      </c>
      <c r="BO7" t="s">
        <v>674</v>
      </c>
      <c r="BP7" t="s">
        <v>674</v>
      </c>
      <c r="BQ7" t="s">
        <v>674</v>
      </c>
      <c r="BR7" t="s">
        <v>674</v>
      </c>
      <c r="BS7" t="s">
        <v>674</v>
      </c>
      <c r="BT7" t="s">
        <v>674</v>
      </c>
      <c r="BU7" t="s">
        <v>674</v>
      </c>
      <c r="BV7" t="s">
        <v>674</v>
      </c>
      <c r="BW7" t="s">
        <v>674</v>
      </c>
      <c r="BX7" t="s">
        <v>674</v>
      </c>
      <c r="BY7" t="s">
        <v>674</v>
      </c>
      <c r="BZ7" t="s">
        <v>674</v>
      </c>
      <c r="CA7" t="s">
        <v>674</v>
      </c>
      <c r="CB7" t="s">
        <v>674</v>
      </c>
      <c r="CC7" t="s">
        <v>674</v>
      </c>
      <c r="CD7" t="s">
        <v>674</v>
      </c>
      <c r="CE7" t="s">
        <v>674</v>
      </c>
      <c r="CF7" t="s">
        <v>674</v>
      </c>
      <c r="CG7" t="s">
        <v>674</v>
      </c>
      <c r="CH7" t="s">
        <v>674</v>
      </c>
      <c r="CI7" t="s">
        <v>674</v>
      </c>
    </row>
    <row r="8" spans="1:87" x14ac:dyDescent="0.25">
      <c r="A8" t="s">
        <v>1139</v>
      </c>
      <c r="B8" t="s">
        <v>88</v>
      </c>
      <c r="C8">
        <v>2013</v>
      </c>
      <c r="D8" t="s">
        <v>1140</v>
      </c>
      <c r="E8" t="s">
        <v>1141</v>
      </c>
      <c r="F8" t="s">
        <v>1142</v>
      </c>
      <c r="G8" t="s">
        <v>674</v>
      </c>
      <c r="H8" t="s">
        <v>1143</v>
      </c>
      <c r="I8" t="s">
        <v>1144</v>
      </c>
      <c r="J8" t="s">
        <v>1145</v>
      </c>
      <c r="K8" t="s">
        <v>1146</v>
      </c>
      <c r="L8" t="s">
        <v>1147</v>
      </c>
      <c r="M8" s="1">
        <v>46286.060624999998</v>
      </c>
      <c r="N8" s="1">
        <v>46286.060624999998</v>
      </c>
      <c r="O8" s="1">
        <v>46286.060613425929</v>
      </c>
      <c r="P8" t="s">
        <v>1148</v>
      </c>
      <c r="Q8" t="s">
        <v>674</v>
      </c>
      <c r="R8">
        <v>11</v>
      </c>
      <c r="S8">
        <v>46</v>
      </c>
      <c r="T8" t="s">
        <v>674</v>
      </c>
      <c r="U8" t="s">
        <v>1142</v>
      </c>
      <c r="V8" t="s">
        <v>674</v>
      </c>
      <c r="W8" t="s">
        <v>674</v>
      </c>
      <c r="X8" t="s">
        <v>674</v>
      </c>
      <c r="Y8" t="s">
        <v>674</v>
      </c>
      <c r="Z8" t="s">
        <v>674</v>
      </c>
      <c r="AA8" t="s">
        <v>674</v>
      </c>
      <c r="AB8" t="s">
        <v>674</v>
      </c>
      <c r="AC8" t="s">
        <v>97</v>
      </c>
      <c r="AD8" t="s">
        <v>674</v>
      </c>
      <c r="AE8" t="s">
        <v>674</v>
      </c>
      <c r="AF8" t="s">
        <v>674</v>
      </c>
      <c r="AG8" t="s">
        <v>674</v>
      </c>
      <c r="AH8" t="s">
        <v>99</v>
      </c>
      <c r="AJ8" t="s">
        <v>674</v>
      </c>
      <c r="AK8" t="s">
        <v>674</v>
      </c>
      <c r="AL8" t="s">
        <v>1149</v>
      </c>
      <c r="AM8" t="s">
        <v>674</v>
      </c>
      <c r="AN8" t="s">
        <v>674</v>
      </c>
      <c r="AO8" t="s">
        <v>712</v>
      </c>
      <c r="AP8" t="s">
        <v>674</v>
      </c>
      <c r="AQ8" t="s">
        <v>674</v>
      </c>
      <c r="AR8" t="s">
        <v>674</v>
      </c>
      <c r="AS8" t="s">
        <v>674</v>
      </c>
      <c r="AT8" t="s">
        <v>674</v>
      </c>
      <c r="AU8" t="s">
        <v>674</v>
      </c>
      <c r="AV8" t="s">
        <v>674</v>
      </c>
      <c r="AW8" t="s">
        <v>674</v>
      </c>
      <c r="AX8" t="s">
        <v>674</v>
      </c>
      <c r="AY8" t="s">
        <v>674</v>
      </c>
      <c r="AZ8" t="s">
        <v>674</v>
      </c>
      <c r="BA8" t="s">
        <v>674</v>
      </c>
      <c r="BB8" t="s">
        <v>674</v>
      </c>
      <c r="BC8" t="s">
        <v>674</v>
      </c>
      <c r="BD8" t="s">
        <v>674</v>
      </c>
      <c r="BE8" t="s">
        <v>674</v>
      </c>
      <c r="BF8" t="s">
        <v>674</v>
      </c>
      <c r="BG8" t="s">
        <v>674</v>
      </c>
      <c r="BH8" t="s">
        <v>674</v>
      </c>
      <c r="BI8" t="s">
        <v>674</v>
      </c>
      <c r="BJ8" t="s">
        <v>674</v>
      </c>
      <c r="BK8" t="s">
        <v>674</v>
      </c>
      <c r="BL8" t="s">
        <v>674</v>
      </c>
      <c r="BM8" t="s">
        <v>674</v>
      </c>
      <c r="BN8" t="s">
        <v>674</v>
      </c>
      <c r="BO8" t="s">
        <v>674</v>
      </c>
      <c r="BP8" t="s">
        <v>674</v>
      </c>
      <c r="BQ8" t="s">
        <v>674</v>
      </c>
      <c r="BR8" t="s">
        <v>674</v>
      </c>
      <c r="BS8" t="s">
        <v>674</v>
      </c>
      <c r="BT8" t="s">
        <v>674</v>
      </c>
      <c r="BU8" t="s">
        <v>674</v>
      </c>
      <c r="BV8" t="s">
        <v>674</v>
      </c>
      <c r="BW8" t="s">
        <v>674</v>
      </c>
      <c r="BX8" t="s">
        <v>674</v>
      </c>
      <c r="BY8" t="s">
        <v>674</v>
      </c>
      <c r="BZ8" t="s">
        <v>674</v>
      </c>
      <c r="CA8" t="s">
        <v>674</v>
      </c>
      <c r="CB8" t="s">
        <v>674</v>
      </c>
      <c r="CC8" t="s">
        <v>674</v>
      </c>
      <c r="CD8" t="s">
        <v>674</v>
      </c>
      <c r="CE8" t="s">
        <v>674</v>
      </c>
      <c r="CF8" t="s">
        <v>674</v>
      </c>
      <c r="CG8" t="s">
        <v>674</v>
      </c>
      <c r="CH8" t="s">
        <v>674</v>
      </c>
      <c r="CI8" t="s">
        <v>674</v>
      </c>
    </row>
    <row r="9" spans="1:87" x14ac:dyDescent="0.25">
      <c r="A9" t="s">
        <v>1130</v>
      </c>
      <c r="B9" t="s">
        <v>88</v>
      </c>
      <c r="C9">
        <v>2003</v>
      </c>
      <c r="D9" t="s">
        <v>1109</v>
      </c>
      <c r="E9" t="s">
        <v>1131</v>
      </c>
      <c r="F9" t="s">
        <v>414</v>
      </c>
      <c r="G9" t="s">
        <v>674</v>
      </c>
      <c r="H9" t="s">
        <v>1132</v>
      </c>
      <c r="I9" t="s">
        <v>1133</v>
      </c>
      <c r="J9" t="s">
        <v>1134</v>
      </c>
      <c r="K9" t="s">
        <v>1135</v>
      </c>
      <c r="L9" t="s">
        <v>1136</v>
      </c>
      <c r="M9" s="1">
        <v>46286.060578703706</v>
      </c>
      <c r="N9" s="1">
        <v>46286.060590277775</v>
      </c>
      <c r="O9" s="1">
        <v>46286.060578703706</v>
      </c>
      <c r="P9" t="s">
        <v>1137</v>
      </c>
      <c r="Q9" t="s">
        <v>674</v>
      </c>
      <c r="R9">
        <v>6</v>
      </c>
      <c r="S9">
        <v>39</v>
      </c>
      <c r="T9" t="s">
        <v>674</v>
      </c>
      <c r="U9" t="s">
        <v>420</v>
      </c>
      <c r="V9" t="s">
        <v>674</v>
      </c>
      <c r="W9" t="s">
        <v>674</v>
      </c>
      <c r="X9" t="s">
        <v>674</v>
      </c>
      <c r="Y9" t="s">
        <v>674</v>
      </c>
      <c r="Z9" t="s">
        <v>674</v>
      </c>
      <c r="AA9" t="s">
        <v>674</v>
      </c>
      <c r="AB9" t="s">
        <v>674</v>
      </c>
      <c r="AC9" t="s">
        <v>97</v>
      </c>
      <c r="AD9" t="s">
        <v>122</v>
      </c>
      <c r="AE9" t="s">
        <v>674</v>
      </c>
      <c r="AF9" t="s">
        <v>674</v>
      </c>
      <c r="AG9" t="s">
        <v>674</v>
      </c>
      <c r="AH9" t="s">
        <v>99</v>
      </c>
      <c r="AJ9" t="s">
        <v>674</v>
      </c>
      <c r="AK9" t="s">
        <v>674</v>
      </c>
      <c r="AL9" t="s">
        <v>1138</v>
      </c>
      <c r="AM9" t="s">
        <v>674</v>
      </c>
      <c r="AN9" t="s">
        <v>674</v>
      </c>
      <c r="AO9" t="s">
        <v>712</v>
      </c>
      <c r="AP9" t="s">
        <v>674</v>
      </c>
      <c r="AQ9" t="s">
        <v>674</v>
      </c>
      <c r="AR9" t="s">
        <v>674</v>
      </c>
      <c r="AS9" t="s">
        <v>674</v>
      </c>
      <c r="AT9" t="s">
        <v>674</v>
      </c>
      <c r="AU9" t="s">
        <v>674</v>
      </c>
      <c r="AV9" t="s">
        <v>674</v>
      </c>
      <c r="AW9" t="s">
        <v>674</v>
      </c>
      <c r="AX9" t="s">
        <v>674</v>
      </c>
      <c r="AY9" t="s">
        <v>674</v>
      </c>
      <c r="AZ9" t="s">
        <v>674</v>
      </c>
      <c r="BA9" t="s">
        <v>674</v>
      </c>
      <c r="BB9" t="s">
        <v>674</v>
      </c>
      <c r="BC9" t="s">
        <v>674</v>
      </c>
      <c r="BD9" t="s">
        <v>674</v>
      </c>
      <c r="BE9" t="s">
        <v>674</v>
      </c>
      <c r="BF9" t="s">
        <v>674</v>
      </c>
      <c r="BG9" t="s">
        <v>674</v>
      </c>
      <c r="BH9" t="s">
        <v>674</v>
      </c>
      <c r="BI9" t="s">
        <v>674</v>
      </c>
      <c r="BJ9" t="s">
        <v>674</v>
      </c>
      <c r="BK9" t="s">
        <v>674</v>
      </c>
      <c r="BL9" t="s">
        <v>674</v>
      </c>
      <c r="BM9" t="s">
        <v>674</v>
      </c>
      <c r="BN9" t="s">
        <v>674</v>
      </c>
      <c r="BO9" t="s">
        <v>674</v>
      </c>
      <c r="BP9" t="s">
        <v>674</v>
      </c>
      <c r="BQ9" t="s">
        <v>674</v>
      </c>
      <c r="BR9" t="s">
        <v>674</v>
      </c>
      <c r="BS9" t="s">
        <v>674</v>
      </c>
      <c r="BT9" t="s">
        <v>674</v>
      </c>
      <c r="BU9" t="s">
        <v>674</v>
      </c>
      <c r="BV9" t="s">
        <v>674</v>
      </c>
      <c r="BW9" t="s">
        <v>674</v>
      </c>
      <c r="BX9" t="s">
        <v>674</v>
      </c>
      <c r="BY9" t="s">
        <v>674</v>
      </c>
      <c r="BZ9" t="s">
        <v>674</v>
      </c>
      <c r="CA9" t="s">
        <v>674</v>
      </c>
      <c r="CB9" t="s">
        <v>674</v>
      </c>
      <c r="CC9" t="s">
        <v>674</v>
      </c>
      <c r="CD9" t="s">
        <v>674</v>
      </c>
      <c r="CE9" t="s">
        <v>674</v>
      </c>
      <c r="CF9" t="s">
        <v>674</v>
      </c>
      <c r="CG9" t="s">
        <v>674</v>
      </c>
      <c r="CH9" t="s">
        <v>674</v>
      </c>
      <c r="CI9" t="s">
        <v>674</v>
      </c>
    </row>
    <row r="10" spans="1:87" x14ac:dyDescent="0.25">
      <c r="A10" t="s">
        <v>1120</v>
      </c>
      <c r="B10" t="s">
        <v>88</v>
      </c>
      <c r="C10">
        <v>2016</v>
      </c>
      <c r="D10" t="s">
        <v>1121</v>
      </c>
      <c r="E10" t="s">
        <v>1122</v>
      </c>
      <c r="F10" t="s">
        <v>115</v>
      </c>
      <c r="G10" t="s">
        <v>674</v>
      </c>
      <c r="H10" t="s">
        <v>116</v>
      </c>
      <c r="I10" t="s">
        <v>1123</v>
      </c>
      <c r="J10" t="s">
        <v>1124</v>
      </c>
      <c r="K10" t="s">
        <v>1125</v>
      </c>
      <c r="L10" t="s">
        <v>1126</v>
      </c>
      <c r="M10" s="1">
        <v>46286.060543981483</v>
      </c>
      <c r="N10" s="1">
        <v>46286.060555555552</v>
      </c>
      <c r="O10" s="1">
        <v>46286.060543981483</v>
      </c>
      <c r="P10" t="s">
        <v>1127</v>
      </c>
      <c r="Q10" t="s">
        <v>674</v>
      </c>
      <c r="R10">
        <v>2</v>
      </c>
      <c r="S10">
        <v>63</v>
      </c>
      <c r="T10" t="s">
        <v>674</v>
      </c>
      <c r="U10" t="s">
        <v>121</v>
      </c>
      <c r="V10" t="s">
        <v>674</v>
      </c>
      <c r="W10" t="s">
        <v>674</v>
      </c>
      <c r="X10" t="s">
        <v>674</v>
      </c>
      <c r="Y10" t="s">
        <v>674</v>
      </c>
      <c r="Z10" t="s">
        <v>674</v>
      </c>
      <c r="AA10" t="s">
        <v>674</v>
      </c>
      <c r="AB10" t="s">
        <v>674</v>
      </c>
      <c r="AC10" t="s">
        <v>97</v>
      </c>
      <c r="AD10" t="s">
        <v>1128</v>
      </c>
      <c r="AE10" t="s">
        <v>674</v>
      </c>
      <c r="AF10" t="s">
        <v>674</v>
      </c>
      <c r="AG10" t="s">
        <v>674</v>
      </c>
      <c r="AH10" t="s">
        <v>99</v>
      </c>
      <c r="AJ10" t="s">
        <v>674</v>
      </c>
      <c r="AK10" t="s">
        <v>674</v>
      </c>
      <c r="AL10" t="s">
        <v>1129</v>
      </c>
      <c r="AM10" t="s">
        <v>674</v>
      </c>
      <c r="AN10" t="s">
        <v>674</v>
      </c>
      <c r="AO10" t="s">
        <v>712</v>
      </c>
      <c r="AP10" t="s">
        <v>674</v>
      </c>
      <c r="AQ10" t="s">
        <v>674</v>
      </c>
      <c r="AR10" t="s">
        <v>674</v>
      </c>
      <c r="AS10" t="s">
        <v>674</v>
      </c>
      <c r="AT10" t="s">
        <v>674</v>
      </c>
      <c r="AU10" t="s">
        <v>674</v>
      </c>
      <c r="AV10" t="s">
        <v>674</v>
      </c>
      <c r="AW10" t="s">
        <v>674</v>
      </c>
      <c r="AX10" t="s">
        <v>674</v>
      </c>
      <c r="AY10" t="s">
        <v>674</v>
      </c>
      <c r="AZ10" t="s">
        <v>674</v>
      </c>
      <c r="BA10" t="s">
        <v>674</v>
      </c>
      <c r="BB10" t="s">
        <v>674</v>
      </c>
      <c r="BC10" t="s">
        <v>674</v>
      </c>
      <c r="BD10" t="s">
        <v>674</v>
      </c>
      <c r="BE10" t="s">
        <v>674</v>
      </c>
      <c r="BF10" t="s">
        <v>674</v>
      </c>
      <c r="BG10" t="s">
        <v>674</v>
      </c>
      <c r="BH10" t="s">
        <v>674</v>
      </c>
      <c r="BI10" t="s">
        <v>674</v>
      </c>
      <c r="BJ10" t="s">
        <v>674</v>
      </c>
      <c r="BK10" t="s">
        <v>674</v>
      </c>
      <c r="BL10" t="s">
        <v>674</v>
      </c>
      <c r="BM10" t="s">
        <v>674</v>
      </c>
      <c r="BN10" t="s">
        <v>674</v>
      </c>
      <c r="BO10" t="s">
        <v>674</v>
      </c>
      <c r="BP10" t="s">
        <v>674</v>
      </c>
      <c r="BQ10" t="s">
        <v>674</v>
      </c>
      <c r="BR10" t="s">
        <v>674</v>
      </c>
      <c r="BS10" t="s">
        <v>674</v>
      </c>
      <c r="BT10" t="s">
        <v>674</v>
      </c>
      <c r="BU10" t="s">
        <v>674</v>
      </c>
      <c r="BV10" t="s">
        <v>674</v>
      </c>
      <c r="BW10" t="s">
        <v>674</v>
      </c>
      <c r="BX10" t="s">
        <v>674</v>
      </c>
      <c r="BY10" t="s">
        <v>674</v>
      </c>
      <c r="BZ10" t="s">
        <v>674</v>
      </c>
      <c r="CA10" t="s">
        <v>674</v>
      </c>
      <c r="CB10" t="s">
        <v>674</v>
      </c>
      <c r="CC10" t="s">
        <v>674</v>
      </c>
      <c r="CD10" t="s">
        <v>674</v>
      </c>
      <c r="CE10" t="s">
        <v>674</v>
      </c>
      <c r="CF10" t="s">
        <v>674</v>
      </c>
      <c r="CG10" t="s">
        <v>674</v>
      </c>
      <c r="CH10" t="s">
        <v>674</v>
      </c>
      <c r="CI10" t="s">
        <v>674</v>
      </c>
    </row>
    <row r="11" spans="1:87" x14ac:dyDescent="0.25">
      <c r="A11" t="s">
        <v>1108</v>
      </c>
      <c r="B11" t="s">
        <v>126</v>
      </c>
      <c r="C11">
        <v>2002</v>
      </c>
      <c r="D11" t="s">
        <v>1109</v>
      </c>
      <c r="E11" t="s">
        <v>1110</v>
      </c>
      <c r="F11" t="s">
        <v>1111</v>
      </c>
      <c r="G11" t="s">
        <v>1112</v>
      </c>
      <c r="H11" t="s">
        <v>674</v>
      </c>
      <c r="I11" t="s">
        <v>1113</v>
      </c>
      <c r="J11" t="s">
        <v>1114</v>
      </c>
      <c r="K11" t="s">
        <v>1115</v>
      </c>
      <c r="L11" t="s">
        <v>1116</v>
      </c>
      <c r="M11" s="1">
        <v>46286.060497685183</v>
      </c>
      <c r="N11" s="1">
        <v>46286.06050925926</v>
      </c>
      <c r="O11" s="1">
        <v>46286.060497685183</v>
      </c>
      <c r="P11" t="s">
        <v>1117</v>
      </c>
      <c r="Q11" t="s">
        <v>674</v>
      </c>
      <c r="S11">
        <v>1</v>
      </c>
      <c r="T11" t="s">
        <v>674</v>
      </c>
      <c r="U11" t="s">
        <v>674</v>
      </c>
      <c r="V11" t="s">
        <v>674</v>
      </c>
      <c r="W11" t="s">
        <v>674</v>
      </c>
      <c r="X11" t="s">
        <v>674</v>
      </c>
      <c r="Y11" t="s">
        <v>674</v>
      </c>
      <c r="Z11" t="s">
        <v>674</v>
      </c>
      <c r="AA11" t="s">
        <v>133</v>
      </c>
      <c r="AB11" t="s">
        <v>233</v>
      </c>
      <c r="AC11" t="s">
        <v>97</v>
      </c>
      <c r="AD11" t="s">
        <v>674</v>
      </c>
      <c r="AE11" t="s">
        <v>674</v>
      </c>
      <c r="AF11" t="s">
        <v>674</v>
      </c>
      <c r="AG11" t="s">
        <v>674</v>
      </c>
      <c r="AH11" t="s">
        <v>99</v>
      </c>
      <c r="AJ11" t="s">
        <v>674</v>
      </c>
      <c r="AK11" t="s">
        <v>674</v>
      </c>
      <c r="AL11" t="s">
        <v>1118</v>
      </c>
      <c r="AM11" t="s">
        <v>674</v>
      </c>
      <c r="AN11" t="s">
        <v>674</v>
      </c>
      <c r="AO11" t="s">
        <v>712</v>
      </c>
      <c r="AP11" t="s">
        <v>674</v>
      </c>
      <c r="AQ11" t="s">
        <v>674</v>
      </c>
      <c r="AR11" t="s">
        <v>674</v>
      </c>
      <c r="AS11" t="s">
        <v>674</v>
      </c>
      <c r="AT11" t="s">
        <v>674</v>
      </c>
      <c r="AU11" t="s">
        <v>674</v>
      </c>
      <c r="AV11" t="s">
        <v>674</v>
      </c>
      <c r="AW11" t="s">
        <v>674</v>
      </c>
      <c r="AX11" t="s">
        <v>674</v>
      </c>
      <c r="AY11" t="s">
        <v>674</v>
      </c>
      <c r="AZ11" t="s">
        <v>674</v>
      </c>
      <c r="BA11" t="s">
        <v>674</v>
      </c>
      <c r="BB11" t="s">
        <v>674</v>
      </c>
      <c r="BC11" t="s">
        <v>674</v>
      </c>
      <c r="BD11" t="s">
        <v>674</v>
      </c>
      <c r="BE11" t="s">
        <v>674</v>
      </c>
      <c r="BF11" t="s">
        <v>674</v>
      </c>
      <c r="BG11" t="s">
        <v>674</v>
      </c>
      <c r="BH11" t="s">
        <v>674</v>
      </c>
      <c r="BI11" t="s">
        <v>674</v>
      </c>
      <c r="BJ11" t="s">
        <v>674</v>
      </c>
      <c r="BK11" t="s">
        <v>674</v>
      </c>
      <c r="BL11" t="s">
        <v>674</v>
      </c>
      <c r="BM11" t="s">
        <v>674</v>
      </c>
      <c r="BN11" t="s">
        <v>674</v>
      </c>
      <c r="BO11" t="s">
        <v>674</v>
      </c>
      <c r="BP11" t="s">
        <v>674</v>
      </c>
      <c r="BQ11" t="s">
        <v>674</v>
      </c>
      <c r="BR11" t="s">
        <v>674</v>
      </c>
      <c r="BS11" t="s">
        <v>674</v>
      </c>
      <c r="BT11" t="s">
        <v>1119</v>
      </c>
      <c r="BU11" t="s">
        <v>674</v>
      </c>
      <c r="BV11" t="s">
        <v>674</v>
      </c>
      <c r="BW11" t="s">
        <v>674</v>
      </c>
      <c r="BX11" t="s">
        <v>674</v>
      </c>
      <c r="BY11" t="s">
        <v>674</v>
      </c>
      <c r="BZ11" t="s">
        <v>674</v>
      </c>
      <c r="CA11" t="s">
        <v>674</v>
      </c>
      <c r="CB11" t="s">
        <v>674</v>
      </c>
      <c r="CC11" t="s">
        <v>674</v>
      </c>
      <c r="CD11" t="s">
        <v>674</v>
      </c>
      <c r="CE11" t="s">
        <v>674</v>
      </c>
      <c r="CF11" t="s">
        <v>674</v>
      </c>
      <c r="CG11" t="s">
        <v>674</v>
      </c>
      <c r="CH11" t="s">
        <v>674</v>
      </c>
      <c r="CI11" t="s">
        <v>674</v>
      </c>
    </row>
    <row r="12" spans="1:87" x14ac:dyDescent="0.25">
      <c r="A12" t="s">
        <v>1094</v>
      </c>
      <c r="B12" t="s">
        <v>88</v>
      </c>
      <c r="C12">
        <v>2022</v>
      </c>
      <c r="D12" t="s">
        <v>1095</v>
      </c>
      <c r="E12" t="s">
        <v>1096</v>
      </c>
      <c r="F12" t="s">
        <v>499</v>
      </c>
      <c r="G12" t="s">
        <v>674</v>
      </c>
      <c r="H12" t="s">
        <v>500</v>
      </c>
      <c r="I12" t="s">
        <v>1097</v>
      </c>
      <c r="J12" t="s">
        <v>1098</v>
      </c>
      <c r="K12" t="s">
        <v>1099</v>
      </c>
      <c r="L12" t="s">
        <v>1100</v>
      </c>
      <c r="M12" s="1">
        <v>46285.713148148148</v>
      </c>
      <c r="N12" s="1">
        <v>46285.761840277781</v>
      </c>
      <c r="O12" s="1">
        <v>46285.713148148148</v>
      </c>
      <c r="P12" t="s">
        <v>1101</v>
      </c>
      <c r="Q12" t="s">
        <v>674</v>
      </c>
      <c r="R12">
        <v>11</v>
      </c>
      <c r="S12">
        <v>37</v>
      </c>
      <c r="T12" t="s">
        <v>674</v>
      </c>
      <c r="U12" t="s">
        <v>505</v>
      </c>
      <c r="V12" t="s">
        <v>674</v>
      </c>
      <c r="W12" t="s">
        <v>674</v>
      </c>
      <c r="X12" t="s">
        <v>674</v>
      </c>
      <c r="Y12" t="s">
        <v>674</v>
      </c>
      <c r="Z12" t="s">
        <v>674</v>
      </c>
      <c r="AA12" t="s">
        <v>674</v>
      </c>
      <c r="AB12" t="s">
        <v>674</v>
      </c>
      <c r="AC12" t="s">
        <v>97</v>
      </c>
      <c r="AD12" t="s">
        <v>122</v>
      </c>
      <c r="AE12" t="s">
        <v>674</v>
      </c>
      <c r="AF12" t="s">
        <v>674</v>
      </c>
      <c r="AG12" t="s">
        <v>674</v>
      </c>
      <c r="AH12" t="s">
        <v>99</v>
      </c>
      <c r="AJ12" t="s">
        <v>674</v>
      </c>
      <c r="AK12" t="s">
        <v>674</v>
      </c>
      <c r="AL12" t="s">
        <v>1102</v>
      </c>
      <c r="AM12" t="s">
        <v>674</v>
      </c>
      <c r="AN12" t="s">
        <v>674</v>
      </c>
      <c r="AO12" t="s">
        <v>674</v>
      </c>
      <c r="AP12" t="s">
        <v>674</v>
      </c>
      <c r="AQ12" t="s">
        <v>674</v>
      </c>
      <c r="AR12" t="s">
        <v>674</v>
      </c>
      <c r="AS12" t="s">
        <v>674</v>
      </c>
      <c r="AT12" t="s">
        <v>674</v>
      </c>
      <c r="AU12" t="s">
        <v>674</v>
      </c>
      <c r="AV12" t="s">
        <v>674</v>
      </c>
      <c r="AW12" t="s">
        <v>674</v>
      </c>
      <c r="AX12" t="s">
        <v>674</v>
      </c>
      <c r="AY12" t="s">
        <v>674</v>
      </c>
      <c r="AZ12" t="s">
        <v>674</v>
      </c>
      <c r="BA12" t="s">
        <v>674</v>
      </c>
      <c r="BB12" t="s">
        <v>674</v>
      </c>
      <c r="BC12" t="s">
        <v>674</v>
      </c>
      <c r="BD12" t="s">
        <v>674</v>
      </c>
      <c r="BE12" t="s">
        <v>674</v>
      </c>
      <c r="BF12" t="s">
        <v>674</v>
      </c>
      <c r="BG12" t="s">
        <v>674</v>
      </c>
      <c r="BH12" t="s">
        <v>674</v>
      </c>
      <c r="BI12" t="s">
        <v>674</v>
      </c>
      <c r="BJ12" t="s">
        <v>674</v>
      </c>
      <c r="BK12" t="s">
        <v>674</v>
      </c>
      <c r="BL12" t="s">
        <v>674</v>
      </c>
      <c r="BM12" t="s">
        <v>674</v>
      </c>
      <c r="BN12" t="s">
        <v>674</v>
      </c>
      <c r="BO12" t="s">
        <v>674</v>
      </c>
      <c r="BP12" t="s">
        <v>674</v>
      </c>
      <c r="BQ12" t="s">
        <v>674</v>
      </c>
      <c r="BR12" t="s">
        <v>674</v>
      </c>
      <c r="BS12" t="s">
        <v>674</v>
      </c>
      <c r="BT12" t="s">
        <v>674</v>
      </c>
      <c r="BU12" t="s">
        <v>674</v>
      </c>
      <c r="BV12" t="s">
        <v>674</v>
      </c>
      <c r="BW12" t="s">
        <v>674</v>
      </c>
      <c r="BX12" t="s">
        <v>674</v>
      </c>
      <c r="BY12" t="s">
        <v>674</v>
      </c>
      <c r="BZ12" t="s">
        <v>674</v>
      </c>
      <c r="CA12" t="s">
        <v>674</v>
      </c>
      <c r="CB12" t="s">
        <v>674</v>
      </c>
      <c r="CC12" t="s">
        <v>674</v>
      </c>
      <c r="CD12" t="s">
        <v>674</v>
      </c>
      <c r="CE12" t="s">
        <v>674</v>
      </c>
      <c r="CF12" t="s">
        <v>674</v>
      </c>
      <c r="CG12" t="s">
        <v>674</v>
      </c>
      <c r="CH12" t="s">
        <v>674</v>
      </c>
      <c r="CI12" t="s">
        <v>674</v>
      </c>
    </row>
    <row r="13" spans="1:87" x14ac:dyDescent="0.25">
      <c r="A13" t="s">
        <v>1092</v>
      </c>
      <c r="B13" t="s">
        <v>88</v>
      </c>
      <c r="C13">
        <v>2019</v>
      </c>
      <c r="D13" t="s">
        <v>979</v>
      </c>
      <c r="E13" t="s">
        <v>980</v>
      </c>
      <c r="F13" t="s">
        <v>479</v>
      </c>
      <c r="G13" t="s">
        <v>674</v>
      </c>
      <c r="H13" t="s">
        <v>480</v>
      </c>
      <c r="I13" t="s">
        <v>981</v>
      </c>
      <c r="J13" t="s">
        <v>982</v>
      </c>
      <c r="K13" t="s">
        <v>983</v>
      </c>
      <c r="L13" t="s">
        <v>984</v>
      </c>
      <c r="M13" s="1">
        <v>46284.999594907407</v>
      </c>
      <c r="N13" s="1">
        <v>46285.724675925929</v>
      </c>
      <c r="O13" s="1">
        <v>46284.999594907407</v>
      </c>
      <c r="P13" t="s">
        <v>985</v>
      </c>
      <c r="Q13" t="s">
        <v>674</v>
      </c>
      <c r="R13">
        <v>1</v>
      </c>
      <c r="S13">
        <v>10</v>
      </c>
      <c r="T13" t="s">
        <v>674</v>
      </c>
      <c r="U13" t="s">
        <v>479</v>
      </c>
      <c r="V13" t="s">
        <v>674</v>
      </c>
      <c r="W13" t="s">
        <v>674</v>
      </c>
      <c r="X13" t="s">
        <v>674</v>
      </c>
      <c r="Y13" t="s">
        <v>674</v>
      </c>
      <c r="Z13" t="s">
        <v>674</v>
      </c>
      <c r="AA13" t="s">
        <v>674</v>
      </c>
      <c r="AB13" t="s">
        <v>674</v>
      </c>
      <c r="AC13" t="s">
        <v>97</v>
      </c>
      <c r="AD13" t="s">
        <v>674</v>
      </c>
      <c r="AE13" t="s">
        <v>674</v>
      </c>
      <c r="AF13" t="s">
        <v>674</v>
      </c>
      <c r="AG13" t="s">
        <v>674</v>
      </c>
      <c r="AH13" t="s">
        <v>99</v>
      </c>
      <c r="AJ13" t="s">
        <v>674</v>
      </c>
      <c r="AK13" t="s">
        <v>674</v>
      </c>
      <c r="AL13" t="s">
        <v>1093</v>
      </c>
      <c r="AM13" t="s">
        <v>674</v>
      </c>
      <c r="AN13" t="s">
        <v>674</v>
      </c>
      <c r="AO13" t="s">
        <v>674</v>
      </c>
      <c r="AP13" t="s">
        <v>674</v>
      </c>
      <c r="AQ13" t="s">
        <v>674</v>
      </c>
      <c r="AR13" t="s">
        <v>674</v>
      </c>
      <c r="AS13" t="s">
        <v>674</v>
      </c>
      <c r="AT13" t="s">
        <v>674</v>
      </c>
      <c r="AU13" t="s">
        <v>674</v>
      </c>
      <c r="AV13" t="s">
        <v>674</v>
      </c>
      <c r="AW13" t="s">
        <v>674</v>
      </c>
      <c r="AX13" t="s">
        <v>674</v>
      </c>
      <c r="AY13" t="s">
        <v>674</v>
      </c>
      <c r="AZ13" t="s">
        <v>674</v>
      </c>
      <c r="BA13" t="s">
        <v>674</v>
      </c>
      <c r="BB13" t="s">
        <v>674</v>
      </c>
      <c r="BC13" t="s">
        <v>674</v>
      </c>
      <c r="BD13" t="s">
        <v>674</v>
      </c>
      <c r="BE13" t="s">
        <v>674</v>
      </c>
      <c r="BF13" t="s">
        <v>674</v>
      </c>
      <c r="BG13" t="s">
        <v>674</v>
      </c>
      <c r="BH13" t="s">
        <v>674</v>
      </c>
      <c r="BI13" t="s">
        <v>674</v>
      </c>
      <c r="BJ13" t="s">
        <v>674</v>
      </c>
      <c r="BK13" t="s">
        <v>674</v>
      </c>
      <c r="BL13" t="s">
        <v>674</v>
      </c>
      <c r="BM13" t="s">
        <v>674</v>
      </c>
      <c r="BN13" t="s">
        <v>674</v>
      </c>
      <c r="BO13" t="s">
        <v>674</v>
      </c>
      <c r="BP13" t="s">
        <v>674</v>
      </c>
      <c r="BQ13" t="s">
        <v>674</v>
      </c>
      <c r="BR13" t="s">
        <v>674</v>
      </c>
      <c r="BS13" t="s">
        <v>674</v>
      </c>
      <c r="BT13" t="s">
        <v>674</v>
      </c>
      <c r="BU13" t="s">
        <v>674</v>
      </c>
      <c r="BV13" t="s">
        <v>674</v>
      </c>
      <c r="BW13" t="s">
        <v>674</v>
      </c>
      <c r="BX13" t="s">
        <v>674</v>
      </c>
      <c r="BY13" t="s">
        <v>674</v>
      </c>
      <c r="BZ13" t="s">
        <v>674</v>
      </c>
      <c r="CA13" t="s">
        <v>674</v>
      </c>
      <c r="CB13" t="s">
        <v>674</v>
      </c>
      <c r="CC13" t="s">
        <v>674</v>
      </c>
      <c r="CD13" t="s">
        <v>674</v>
      </c>
      <c r="CE13" t="s">
        <v>674</v>
      </c>
      <c r="CF13" t="s">
        <v>674</v>
      </c>
      <c r="CG13" t="s">
        <v>674</v>
      </c>
      <c r="CH13" t="s">
        <v>674</v>
      </c>
      <c r="CI13" t="s">
        <v>674</v>
      </c>
    </row>
    <row r="14" spans="1:87" x14ac:dyDescent="0.25">
      <c r="A14" t="s">
        <v>1083</v>
      </c>
      <c r="B14" t="s">
        <v>88</v>
      </c>
      <c r="C14">
        <v>2017</v>
      </c>
      <c r="D14" t="s">
        <v>1084</v>
      </c>
      <c r="E14" t="s">
        <v>1085</v>
      </c>
      <c r="F14" t="s">
        <v>479</v>
      </c>
      <c r="G14" t="s">
        <v>674</v>
      </c>
      <c r="H14" t="s">
        <v>480</v>
      </c>
      <c r="I14" t="s">
        <v>1086</v>
      </c>
      <c r="J14" t="s">
        <v>1087</v>
      </c>
      <c r="K14" t="s">
        <v>1088</v>
      </c>
      <c r="L14" t="s">
        <v>1089</v>
      </c>
      <c r="M14" s="1">
        <v>46284.999502314815</v>
      </c>
      <c r="N14" s="1">
        <v>46285.761840277781</v>
      </c>
      <c r="O14" s="1">
        <v>46284.999502314815</v>
      </c>
      <c r="P14" t="s">
        <v>1090</v>
      </c>
      <c r="Q14" t="s">
        <v>674</v>
      </c>
      <c r="R14">
        <v>9</v>
      </c>
      <c r="S14">
        <v>7</v>
      </c>
      <c r="T14" t="s">
        <v>674</v>
      </c>
      <c r="U14" t="s">
        <v>479</v>
      </c>
      <c r="V14" t="s">
        <v>674</v>
      </c>
      <c r="W14" t="s">
        <v>674</v>
      </c>
      <c r="X14" t="s">
        <v>674</v>
      </c>
      <c r="Y14" t="s">
        <v>674</v>
      </c>
      <c r="Z14" t="s">
        <v>674</v>
      </c>
      <c r="AA14" t="s">
        <v>674</v>
      </c>
      <c r="AB14" t="s">
        <v>674</v>
      </c>
      <c r="AC14" t="s">
        <v>97</v>
      </c>
      <c r="AD14" t="s">
        <v>674</v>
      </c>
      <c r="AE14" t="s">
        <v>674</v>
      </c>
      <c r="AF14" t="s">
        <v>674</v>
      </c>
      <c r="AG14" t="s">
        <v>674</v>
      </c>
      <c r="AH14" t="s">
        <v>99</v>
      </c>
      <c r="AJ14" t="s">
        <v>674</v>
      </c>
      <c r="AK14" t="s">
        <v>674</v>
      </c>
      <c r="AL14" t="s">
        <v>1091</v>
      </c>
      <c r="AM14" t="s">
        <v>674</v>
      </c>
      <c r="AN14" t="s">
        <v>674</v>
      </c>
      <c r="AO14" t="s">
        <v>674</v>
      </c>
      <c r="AP14" t="s">
        <v>674</v>
      </c>
      <c r="AQ14" t="s">
        <v>674</v>
      </c>
      <c r="AR14" t="s">
        <v>674</v>
      </c>
      <c r="AS14" t="s">
        <v>674</v>
      </c>
      <c r="AT14" t="s">
        <v>674</v>
      </c>
      <c r="AU14" t="s">
        <v>674</v>
      </c>
      <c r="AV14" t="s">
        <v>674</v>
      </c>
      <c r="AW14" t="s">
        <v>674</v>
      </c>
      <c r="AX14" t="s">
        <v>674</v>
      </c>
      <c r="AY14" t="s">
        <v>674</v>
      </c>
      <c r="AZ14" t="s">
        <v>674</v>
      </c>
      <c r="BA14" t="s">
        <v>674</v>
      </c>
      <c r="BB14" t="s">
        <v>674</v>
      </c>
      <c r="BC14" t="s">
        <v>674</v>
      </c>
      <c r="BD14" t="s">
        <v>674</v>
      </c>
      <c r="BE14" t="s">
        <v>674</v>
      </c>
      <c r="BF14" t="s">
        <v>674</v>
      </c>
      <c r="BG14" t="s">
        <v>674</v>
      </c>
      <c r="BH14" t="s">
        <v>674</v>
      </c>
      <c r="BI14" t="s">
        <v>674</v>
      </c>
      <c r="BJ14" t="s">
        <v>674</v>
      </c>
      <c r="BK14" t="s">
        <v>674</v>
      </c>
      <c r="BL14" t="s">
        <v>674</v>
      </c>
      <c r="BM14" t="s">
        <v>674</v>
      </c>
      <c r="BN14" t="s">
        <v>674</v>
      </c>
      <c r="BO14" t="s">
        <v>674</v>
      </c>
      <c r="BP14" t="s">
        <v>674</v>
      </c>
      <c r="BQ14" t="s">
        <v>674</v>
      </c>
      <c r="BR14" t="s">
        <v>674</v>
      </c>
      <c r="BS14" t="s">
        <v>674</v>
      </c>
      <c r="BT14" t="s">
        <v>674</v>
      </c>
      <c r="BU14" t="s">
        <v>674</v>
      </c>
      <c r="BV14" t="s">
        <v>674</v>
      </c>
      <c r="BW14" t="s">
        <v>674</v>
      </c>
      <c r="BX14" t="s">
        <v>674</v>
      </c>
      <c r="BY14" t="s">
        <v>674</v>
      </c>
      <c r="BZ14" t="s">
        <v>674</v>
      </c>
      <c r="CA14" t="s">
        <v>674</v>
      </c>
      <c r="CB14" t="s">
        <v>674</v>
      </c>
      <c r="CC14" t="s">
        <v>674</v>
      </c>
      <c r="CD14" t="s">
        <v>674</v>
      </c>
      <c r="CE14" t="s">
        <v>674</v>
      </c>
      <c r="CF14" t="s">
        <v>674</v>
      </c>
      <c r="CG14" t="s">
        <v>674</v>
      </c>
      <c r="CH14" t="s">
        <v>674</v>
      </c>
      <c r="CI14" t="s">
        <v>674</v>
      </c>
    </row>
    <row r="15" spans="1:87" x14ac:dyDescent="0.25">
      <c r="A15" t="s">
        <v>1040</v>
      </c>
      <c r="B15" t="s">
        <v>88</v>
      </c>
      <c r="C15">
        <v>2022</v>
      </c>
      <c r="D15" t="s">
        <v>1041</v>
      </c>
      <c r="E15" t="s">
        <v>1042</v>
      </c>
      <c r="F15" t="s">
        <v>1043</v>
      </c>
      <c r="G15" t="s">
        <v>674</v>
      </c>
      <c r="H15" t="s">
        <v>1044</v>
      </c>
      <c r="I15" t="s">
        <v>1045</v>
      </c>
      <c r="J15" t="s">
        <v>1046</v>
      </c>
      <c r="K15" t="s">
        <v>1047</v>
      </c>
      <c r="L15" t="s">
        <v>1048</v>
      </c>
      <c r="M15" s="1">
        <v>46276.556423611109</v>
      </c>
      <c r="N15" s="1">
        <v>46276.556446759256</v>
      </c>
      <c r="O15" s="1">
        <v>46276.556423611109</v>
      </c>
      <c r="P15" t="s">
        <v>1049</v>
      </c>
      <c r="Q15" t="s">
        <v>674</v>
      </c>
      <c r="R15">
        <v>4</v>
      </c>
      <c r="S15">
        <v>2022</v>
      </c>
      <c r="T15" t="s">
        <v>674</v>
      </c>
      <c r="U15" t="s">
        <v>1050</v>
      </c>
      <c r="V15" t="s">
        <v>674</v>
      </c>
      <c r="W15" t="s">
        <v>674</v>
      </c>
      <c r="X15" t="s">
        <v>674</v>
      </c>
      <c r="Y15" t="s">
        <v>674</v>
      </c>
      <c r="Z15" t="s">
        <v>674</v>
      </c>
      <c r="AA15" t="s">
        <v>674</v>
      </c>
      <c r="AB15" t="s">
        <v>674</v>
      </c>
      <c r="AC15" t="s">
        <v>97</v>
      </c>
      <c r="AD15" t="s">
        <v>674</v>
      </c>
      <c r="AE15" t="s">
        <v>674</v>
      </c>
      <c r="AF15" t="s">
        <v>674</v>
      </c>
      <c r="AG15" t="s">
        <v>674</v>
      </c>
      <c r="AH15" t="s">
        <v>99</v>
      </c>
      <c r="AJ15" t="s">
        <v>674</v>
      </c>
      <c r="AK15" t="s">
        <v>674</v>
      </c>
      <c r="AL15" t="s">
        <v>1051</v>
      </c>
      <c r="AM15" t="s">
        <v>674</v>
      </c>
      <c r="AN15" t="s">
        <v>674</v>
      </c>
      <c r="AO15" t="s">
        <v>712</v>
      </c>
      <c r="AP15" t="s">
        <v>674</v>
      </c>
      <c r="AQ15" t="s">
        <v>674</v>
      </c>
      <c r="AR15" t="s">
        <v>674</v>
      </c>
      <c r="AS15" t="s">
        <v>674</v>
      </c>
      <c r="AT15" t="s">
        <v>674</v>
      </c>
      <c r="AU15" t="s">
        <v>674</v>
      </c>
      <c r="AV15" t="s">
        <v>674</v>
      </c>
      <c r="AW15" t="s">
        <v>674</v>
      </c>
      <c r="AX15" t="s">
        <v>674</v>
      </c>
      <c r="AY15" t="s">
        <v>674</v>
      </c>
      <c r="AZ15" t="s">
        <v>674</v>
      </c>
      <c r="BA15" t="s">
        <v>674</v>
      </c>
      <c r="BB15" t="s">
        <v>674</v>
      </c>
      <c r="BC15" t="s">
        <v>674</v>
      </c>
      <c r="BD15" t="s">
        <v>674</v>
      </c>
      <c r="BE15" t="s">
        <v>674</v>
      </c>
      <c r="BF15" t="s">
        <v>674</v>
      </c>
      <c r="BG15" t="s">
        <v>674</v>
      </c>
      <c r="BH15" t="s">
        <v>674</v>
      </c>
      <c r="BI15" t="s">
        <v>674</v>
      </c>
      <c r="BJ15" t="s">
        <v>674</v>
      </c>
      <c r="BK15" t="s">
        <v>674</v>
      </c>
      <c r="BL15" t="s">
        <v>674</v>
      </c>
      <c r="BM15" t="s">
        <v>674</v>
      </c>
      <c r="BN15" t="s">
        <v>674</v>
      </c>
      <c r="BO15" t="s">
        <v>674</v>
      </c>
      <c r="BP15" t="s">
        <v>674</v>
      </c>
      <c r="BQ15" t="s">
        <v>674</v>
      </c>
      <c r="BR15" t="s">
        <v>674</v>
      </c>
      <c r="BS15" t="s">
        <v>674</v>
      </c>
      <c r="BT15" t="s">
        <v>674</v>
      </c>
      <c r="BU15" t="s">
        <v>674</v>
      </c>
      <c r="BV15" t="s">
        <v>674</v>
      </c>
      <c r="BW15" t="s">
        <v>674</v>
      </c>
      <c r="BX15" t="s">
        <v>674</v>
      </c>
      <c r="BY15" t="s">
        <v>674</v>
      </c>
      <c r="BZ15" t="s">
        <v>674</v>
      </c>
      <c r="CA15" t="s">
        <v>674</v>
      </c>
      <c r="CB15" t="s">
        <v>674</v>
      </c>
      <c r="CC15" t="s">
        <v>674</v>
      </c>
      <c r="CD15" t="s">
        <v>674</v>
      </c>
      <c r="CE15" t="s">
        <v>674</v>
      </c>
      <c r="CF15" t="s">
        <v>674</v>
      </c>
      <c r="CG15" t="s">
        <v>674</v>
      </c>
      <c r="CH15" t="s">
        <v>674</v>
      </c>
      <c r="CI15" t="s">
        <v>674</v>
      </c>
    </row>
    <row r="16" spans="1:87" x14ac:dyDescent="0.25">
      <c r="A16" t="s">
        <v>1028</v>
      </c>
      <c r="B16" t="s">
        <v>126</v>
      </c>
      <c r="C16">
        <v>2025</v>
      </c>
      <c r="D16" t="s">
        <v>1029</v>
      </c>
      <c r="E16" t="s">
        <v>1030</v>
      </c>
      <c r="F16" t="s">
        <v>1031</v>
      </c>
      <c r="G16" t="s">
        <v>1032</v>
      </c>
      <c r="H16" t="s">
        <v>674</v>
      </c>
      <c r="I16" t="s">
        <v>1033</v>
      </c>
      <c r="J16" t="s">
        <v>1034</v>
      </c>
      <c r="K16" t="s">
        <v>1035</v>
      </c>
      <c r="L16" t="s">
        <v>1036</v>
      </c>
      <c r="M16" s="1">
        <v>46276.556377314817</v>
      </c>
      <c r="N16" s="1">
        <v>46276.556400462963</v>
      </c>
      <c r="O16" s="1">
        <v>46276.556377314817</v>
      </c>
      <c r="P16" t="s">
        <v>1037</v>
      </c>
      <c r="Q16" t="s">
        <v>674</v>
      </c>
      <c r="T16" t="s">
        <v>674</v>
      </c>
      <c r="U16" t="s">
        <v>674</v>
      </c>
      <c r="V16" t="s">
        <v>674</v>
      </c>
      <c r="W16" t="s">
        <v>674</v>
      </c>
      <c r="X16" t="s">
        <v>674</v>
      </c>
      <c r="Y16" t="s">
        <v>674</v>
      </c>
      <c r="Z16" t="s">
        <v>674</v>
      </c>
      <c r="AA16" t="s">
        <v>133</v>
      </c>
      <c r="AB16" t="s">
        <v>1038</v>
      </c>
      <c r="AC16" t="s">
        <v>97</v>
      </c>
      <c r="AD16" t="s">
        <v>135</v>
      </c>
      <c r="AE16" t="s">
        <v>674</v>
      </c>
      <c r="AF16" t="s">
        <v>674</v>
      </c>
      <c r="AG16" t="s">
        <v>674</v>
      </c>
      <c r="AH16" t="s">
        <v>99</v>
      </c>
      <c r="AJ16" t="s">
        <v>674</v>
      </c>
      <c r="AK16" t="s">
        <v>674</v>
      </c>
      <c r="AL16" t="s">
        <v>1039</v>
      </c>
      <c r="AM16" t="s">
        <v>674</v>
      </c>
      <c r="AN16" t="s">
        <v>674</v>
      </c>
      <c r="AO16" t="s">
        <v>712</v>
      </c>
      <c r="AP16" t="s">
        <v>674</v>
      </c>
      <c r="AQ16" t="s">
        <v>674</v>
      </c>
      <c r="AR16" t="s">
        <v>674</v>
      </c>
      <c r="AS16" t="s">
        <v>674</v>
      </c>
      <c r="AT16" t="s">
        <v>674</v>
      </c>
      <c r="AU16" t="s">
        <v>674</v>
      </c>
      <c r="AV16" t="s">
        <v>674</v>
      </c>
      <c r="AW16" t="s">
        <v>674</v>
      </c>
      <c r="AX16" t="s">
        <v>674</v>
      </c>
      <c r="AY16" t="s">
        <v>674</v>
      </c>
      <c r="AZ16" t="s">
        <v>674</v>
      </c>
      <c r="BA16" t="s">
        <v>674</v>
      </c>
      <c r="BB16" t="s">
        <v>674</v>
      </c>
      <c r="BC16" t="s">
        <v>674</v>
      </c>
      <c r="BD16" t="s">
        <v>674</v>
      </c>
      <c r="BE16" t="s">
        <v>674</v>
      </c>
      <c r="BF16" t="s">
        <v>674</v>
      </c>
      <c r="BG16" t="s">
        <v>674</v>
      </c>
      <c r="BH16" t="s">
        <v>674</v>
      </c>
      <c r="BI16" t="s">
        <v>674</v>
      </c>
      <c r="BJ16" t="s">
        <v>674</v>
      </c>
      <c r="BK16" t="s">
        <v>674</v>
      </c>
      <c r="BL16" t="s">
        <v>674</v>
      </c>
      <c r="BM16" t="s">
        <v>674</v>
      </c>
      <c r="BN16" t="s">
        <v>674</v>
      </c>
      <c r="BO16" t="s">
        <v>674</v>
      </c>
      <c r="BP16" t="s">
        <v>674</v>
      </c>
      <c r="BQ16" t="s">
        <v>674</v>
      </c>
      <c r="BR16" t="s">
        <v>674</v>
      </c>
      <c r="BS16" t="s">
        <v>674</v>
      </c>
      <c r="BT16" t="s">
        <v>1031</v>
      </c>
      <c r="BU16" t="s">
        <v>674</v>
      </c>
      <c r="BV16" t="s">
        <v>674</v>
      </c>
      <c r="BW16" t="s">
        <v>674</v>
      </c>
      <c r="BX16" t="s">
        <v>674</v>
      </c>
      <c r="BY16" t="s">
        <v>674</v>
      </c>
      <c r="BZ16" t="s">
        <v>674</v>
      </c>
      <c r="CA16" t="s">
        <v>674</v>
      </c>
      <c r="CB16" t="s">
        <v>674</v>
      </c>
      <c r="CC16" t="s">
        <v>674</v>
      </c>
      <c r="CD16" t="s">
        <v>674</v>
      </c>
      <c r="CE16" t="s">
        <v>674</v>
      </c>
      <c r="CF16" t="s">
        <v>674</v>
      </c>
      <c r="CG16" t="s">
        <v>674</v>
      </c>
      <c r="CH16" t="s">
        <v>674</v>
      </c>
      <c r="CI16" t="s">
        <v>674</v>
      </c>
    </row>
    <row r="17" spans="1:87" x14ac:dyDescent="0.25">
      <c r="A17" t="s">
        <v>1017</v>
      </c>
      <c r="B17" t="s">
        <v>88</v>
      </c>
      <c r="C17">
        <v>2025</v>
      </c>
      <c r="D17" t="s">
        <v>1018</v>
      </c>
      <c r="E17" t="s">
        <v>1019</v>
      </c>
      <c r="F17" t="s">
        <v>1020</v>
      </c>
      <c r="G17" t="s">
        <v>674</v>
      </c>
      <c r="H17" t="s">
        <v>1021</v>
      </c>
      <c r="I17" t="s">
        <v>1022</v>
      </c>
      <c r="J17" t="s">
        <v>1023</v>
      </c>
      <c r="K17" t="s">
        <v>1024</v>
      </c>
      <c r="L17" t="s">
        <v>1025</v>
      </c>
      <c r="M17" s="1">
        <v>46276.556319444448</v>
      </c>
      <c r="N17" s="1">
        <v>46284.853067129632</v>
      </c>
      <c r="O17" s="1">
        <v>46276.556319444448</v>
      </c>
      <c r="P17" t="s">
        <v>1026</v>
      </c>
      <c r="Q17" t="s">
        <v>674</v>
      </c>
      <c r="R17">
        <v>5</v>
      </c>
      <c r="S17">
        <v>25</v>
      </c>
      <c r="T17" t="s">
        <v>674</v>
      </c>
      <c r="U17" t="s">
        <v>1020</v>
      </c>
      <c r="V17" t="s">
        <v>674</v>
      </c>
      <c r="W17" t="s">
        <v>674</v>
      </c>
      <c r="X17" t="s">
        <v>674</v>
      </c>
      <c r="Y17" t="s">
        <v>674</v>
      </c>
      <c r="Z17" t="s">
        <v>674</v>
      </c>
      <c r="AA17" t="s">
        <v>674</v>
      </c>
      <c r="AB17" t="s">
        <v>674</v>
      </c>
      <c r="AC17" t="s">
        <v>97</v>
      </c>
      <c r="AD17" t="s">
        <v>674</v>
      </c>
      <c r="AE17" t="s">
        <v>674</v>
      </c>
      <c r="AF17" t="s">
        <v>674</v>
      </c>
      <c r="AG17" t="s">
        <v>674</v>
      </c>
      <c r="AH17" t="s">
        <v>99</v>
      </c>
      <c r="AJ17" t="s">
        <v>674</v>
      </c>
      <c r="AK17" t="s">
        <v>674</v>
      </c>
      <c r="AL17" t="s">
        <v>1027</v>
      </c>
      <c r="AM17" t="s">
        <v>674</v>
      </c>
      <c r="AN17" t="s">
        <v>674</v>
      </c>
      <c r="AO17" t="s">
        <v>674</v>
      </c>
      <c r="AP17" t="s">
        <v>674</v>
      </c>
      <c r="AQ17" t="s">
        <v>674</v>
      </c>
      <c r="AR17" t="s">
        <v>674</v>
      </c>
      <c r="AS17" t="s">
        <v>674</v>
      </c>
      <c r="AT17" t="s">
        <v>674</v>
      </c>
      <c r="AU17" t="s">
        <v>674</v>
      </c>
      <c r="AV17" t="s">
        <v>674</v>
      </c>
      <c r="AW17" t="s">
        <v>674</v>
      </c>
      <c r="AX17" t="s">
        <v>674</v>
      </c>
      <c r="AY17" t="s">
        <v>674</v>
      </c>
      <c r="AZ17" t="s">
        <v>674</v>
      </c>
      <c r="BA17" t="s">
        <v>674</v>
      </c>
      <c r="BB17" t="s">
        <v>674</v>
      </c>
      <c r="BC17" t="s">
        <v>674</v>
      </c>
      <c r="BD17" t="s">
        <v>674</v>
      </c>
      <c r="BE17" t="s">
        <v>674</v>
      </c>
      <c r="BF17" t="s">
        <v>674</v>
      </c>
      <c r="BG17" t="s">
        <v>674</v>
      </c>
      <c r="BH17" t="s">
        <v>674</v>
      </c>
      <c r="BI17" t="s">
        <v>674</v>
      </c>
      <c r="BJ17" t="s">
        <v>674</v>
      </c>
      <c r="BK17" t="s">
        <v>674</v>
      </c>
      <c r="BL17" t="s">
        <v>674</v>
      </c>
      <c r="BM17" t="s">
        <v>674</v>
      </c>
      <c r="BN17" t="s">
        <v>674</v>
      </c>
      <c r="BO17" t="s">
        <v>674</v>
      </c>
      <c r="BP17" t="s">
        <v>674</v>
      </c>
      <c r="BQ17" t="s">
        <v>674</v>
      </c>
      <c r="BR17" t="s">
        <v>674</v>
      </c>
      <c r="BS17" t="s">
        <v>674</v>
      </c>
      <c r="BT17" t="s">
        <v>674</v>
      </c>
      <c r="BU17" t="s">
        <v>674</v>
      </c>
      <c r="BV17" t="s">
        <v>674</v>
      </c>
      <c r="BW17" t="s">
        <v>674</v>
      </c>
      <c r="BX17" t="s">
        <v>674</v>
      </c>
      <c r="BY17" t="s">
        <v>674</v>
      </c>
      <c r="BZ17" t="s">
        <v>674</v>
      </c>
      <c r="CA17" t="s">
        <v>674</v>
      </c>
      <c r="CB17" t="s">
        <v>674</v>
      </c>
      <c r="CC17" t="s">
        <v>674</v>
      </c>
      <c r="CD17" t="s">
        <v>674</v>
      </c>
      <c r="CE17" t="s">
        <v>674</v>
      </c>
      <c r="CF17" t="s">
        <v>674</v>
      </c>
      <c r="CG17" t="s">
        <v>674</v>
      </c>
      <c r="CH17" t="s">
        <v>674</v>
      </c>
      <c r="CI17" t="s">
        <v>674</v>
      </c>
    </row>
    <row r="18" spans="1:87" x14ac:dyDescent="0.25">
      <c r="A18" t="s">
        <v>1008</v>
      </c>
      <c r="B18" t="s">
        <v>88</v>
      </c>
      <c r="C18">
        <v>2025</v>
      </c>
      <c r="D18" t="s">
        <v>1009</v>
      </c>
      <c r="E18" t="s">
        <v>1010</v>
      </c>
      <c r="F18" t="s">
        <v>297</v>
      </c>
      <c r="G18" t="s">
        <v>674</v>
      </c>
      <c r="H18" t="s">
        <v>298</v>
      </c>
      <c r="I18" t="s">
        <v>1011</v>
      </c>
      <c r="J18" t="s">
        <v>1012</v>
      </c>
      <c r="K18" t="s">
        <v>1013</v>
      </c>
      <c r="L18" t="s">
        <v>1014</v>
      </c>
      <c r="M18" s="1">
        <v>46276.556273148148</v>
      </c>
      <c r="N18" s="1">
        <v>46276.556284722225</v>
      </c>
      <c r="O18" s="1">
        <v>46276.556273148148</v>
      </c>
      <c r="P18" t="s">
        <v>1015</v>
      </c>
      <c r="Q18" t="s">
        <v>674</v>
      </c>
      <c r="R18">
        <v>1</v>
      </c>
      <c r="S18">
        <v>15</v>
      </c>
      <c r="T18" t="s">
        <v>674</v>
      </c>
      <c r="U18" t="s">
        <v>302</v>
      </c>
      <c r="V18" t="s">
        <v>674</v>
      </c>
      <c r="W18" t="s">
        <v>674</v>
      </c>
      <c r="X18" t="s">
        <v>674</v>
      </c>
      <c r="Y18" t="s">
        <v>674</v>
      </c>
      <c r="Z18" t="s">
        <v>674</v>
      </c>
      <c r="AA18" t="s">
        <v>674</v>
      </c>
      <c r="AB18" t="s">
        <v>674</v>
      </c>
      <c r="AC18" t="s">
        <v>97</v>
      </c>
      <c r="AD18" t="s">
        <v>674</v>
      </c>
      <c r="AE18" t="s">
        <v>674</v>
      </c>
      <c r="AF18" t="s">
        <v>674</v>
      </c>
      <c r="AG18" t="s">
        <v>674</v>
      </c>
      <c r="AH18" t="s">
        <v>99</v>
      </c>
      <c r="AJ18" t="s">
        <v>674</v>
      </c>
      <c r="AK18" t="s">
        <v>674</v>
      </c>
      <c r="AL18" t="s">
        <v>1016</v>
      </c>
      <c r="AM18" t="s">
        <v>674</v>
      </c>
      <c r="AN18" t="s">
        <v>674</v>
      </c>
      <c r="AO18" t="s">
        <v>712</v>
      </c>
      <c r="AP18" t="s">
        <v>674</v>
      </c>
      <c r="AQ18" t="s">
        <v>674</v>
      </c>
      <c r="AR18" t="s">
        <v>674</v>
      </c>
      <c r="AS18" t="s">
        <v>674</v>
      </c>
      <c r="AT18" t="s">
        <v>674</v>
      </c>
      <c r="AU18" t="s">
        <v>674</v>
      </c>
      <c r="AV18" t="s">
        <v>674</v>
      </c>
      <c r="AW18" t="s">
        <v>674</v>
      </c>
      <c r="AX18" t="s">
        <v>674</v>
      </c>
      <c r="AY18" t="s">
        <v>674</v>
      </c>
      <c r="AZ18" t="s">
        <v>674</v>
      </c>
      <c r="BA18" t="s">
        <v>674</v>
      </c>
      <c r="BB18" t="s">
        <v>674</v>
      </c>
      <c r="BC18" t="s">
        <v>674</v>
      </c>
      <c r="BD18" t="s">
        <v>674</v>
      </c>
      <c r="BE18" t="s">
        <v>674</v>
      </c>
      <c r="BF18" t="s">
        <v>674</v>
      </c>
      <c r="BG18" t="s">
        <v>674</v>
      </c>
      <c r="BH18" t="s">
        <v>674</v>
      </c>
      <c r="BI18" t="s">
        <v>674</v>
      </c>
      <c r="BJ18" t="s">
        <v>674</v>
      </c>
      <c r="BK18" t="s">
        <v>674</v>
      </c>
      <c r="BL18" t="s">
        <v>674</v>
      </c>
      <c r="BM18" t="s">
        <v>674</v>
      </c>
      <c r="BN18" t="s">
        <v>674</v>
      </c>
      <c r="BO18" t="s">
        <v>674</v>
      </c>
      <c r="BP18" t="s">
        <v>674</v>
      </c>
      <c r="BQ18" t="s">
        <v>674</v>
      </c>
      <c r="BR18" t="s">
        <v>674</v>
      </c>
      <c r="BS18" t="s">
        <v>674</v>
      </c>
      <c r="BT18" t="s">
        <v>674</v>
      </c>
      <c r="BU18" t="s">
        <v>674</v>
      </c>
      <c r="BV18" t="s">
        <v>674</v>
      </c>
      <c r="BW18" t="s">
        <v>674</v>
      </c>
      <c r="BX18" t="s">
        <v>674</v>
      </c>
      <c r="BY18" t="s">
        <v>674</v>
      </c>
      <c r="BZ18" t="s">
        <v>674</v>
      </c>
      <c r="CA18" t="s">
        <v>674</v>
      </c>
      <c r="CB18" t="s">
        <v>674</v>
      </c>
      <c r="CC18" t="s">
        <v>674</v>
      </c>
      <c r="CD18" t="s">
        <v>674</v>
      </c>
      <c r="CE18" t="s">
        <v>674</v>
      </c>
      <c r="CF18" t="s">
        <v>674</v>
      </c>
      <c r="CG18" t="s">
        <v>674</v>
      </c>
      <c r="CH18" t="s">
        <v>674</v>
      </c>
      <c r="CI18" t="s">
        <v>674</v>
      </c>
    </row>
    <row r="19" spans="1:87" x14ac:dyDescent="0.25">
      <c r="A19" t="s">
        <v>996</v>
      </c>
      <c r="B19" t="s">
        <v>126</v>
      </c>
      <c r="C19">
        <v>2024</v>
      </c>
      <c r="D19" t="s">
        <v>997</v>
      </c>
      <c r="E19" t="s">
        <v>998</v>
      </c>
      <c r="F19" t="s">
        <v>999</v>
      </c>
      <c r="G19" t="s">
        <v>1000</v>
      </c>
      <c r="H19" t="s">
        <v>674</v>
      </c>
      <c r="I19" t="s">
        <v>1001</v>
      </c>
      <c r="J19" t="s">
        <v>1002</v>
      </c>
      <c r="K19" t="s">
        <v>1003</v>
      </c>
      <c r="L19" t="s">
        <v>1004</v>
      </c>
      <c r="M19" s="1">
        <v>46276.556180555555</v>
      </c>
      <c r="N19" s="1">
        <v>46281.582731481481</v>
      </c>
      <c r="O19" s="1">
        <v>46276.556180555555</v>
      </c>
      <c r="P19" t="s">
        <v>1005</v>
      </c>
      <c r="Q19" t="s">
        <v>674</v>
      </c>
      <c r="T19" t="s">
        <v>674</v>
      </c>
      <c r="U19" t="s">
        <v>674</v>
      </c>
      <c r="V19" t="s">
        <v>674</v>
      </c>
      <c r="W19" t="s">
        <v>674</v>
      </c>
      <c r="X19" t="s">
        <v>674</v>
      </c>
      <c r="Y19" t="s">
        <v>674</v>
      </c>
      <c r="Z19" t="s">
        <v>674</v>
      </c>
      <c r="AA19" t="s">
        <v>133</v>
      </c>
      <c r="AB19" t="s">
        <v>1006</v>
      </c>
      <c r="AC19" t="s">
        <v>97</v>
      </c>
      <c r="AD19" t="s">
        <v>135</v>
      </c>
      <c r="AE19" t="s">
        <v>674</v>
      </c>
      <c r="AF19" t="s">
        <v>674</v>
      </c>
      <c r="AG19" t="s">
        <v>674</v>
      </c>
      <c r="AH19" t="s">
        <v>99</v>
      </c>
      <c r="AJ19" t="s">
        <v>674</v>
      </c>
      <c r="AK19" t="s">
        <v>674</v>
      </c>
      <c r="AL19" t="s">
        <v>1007</v>
      </c>
      <c r="AM19" t="s">
        <v>674</v>
      </c>
      <c r="AN19" t="s">
        <v>674</v>
      </c>
      <c r="AO19" t="s">
        <v>674</v>
      </c>
      <c r="AP19" t="s">
        <v>674</v>
      </c>
      <c r="AQ19" t="s">
        <v>674</v>
      </c>
      <c r="AR19" t="s">
        <v>674</v>
      </c>
      <c r="AS19" t="s">
        <v>674</v>
      </c>
      <c r="AT19" t="s">
        <v>674</v>
      </c>
      <c r="AU19" t="s">
        <v>674</v>
      </c>
      <c r="AV19" t="s">
        <v>674</v>
      </c>
      <c r="AW19" t="s">
        <v>674</v>
      </c>
      <c r="AX19" t="s">
        <v>674</v>
      </c>
      <c r="AY19" t="s">
        <v>674</v>
      </c>
      <c r="AZ19" t="s">
        <v>674</v>
      </c>
      <c r="BA19" t="s">
        <v>674</v>
      </c>
      <c r="BB19" t="s">
        <v>674</v>
      </c>
      <c r="BC19" t="s">
        <v>674</v>
      </c>
      <c r="BD19" t="s">
        <v>674</v>
      </c>
      <c r="BE19" t="s">
        <v>674</v>
      </c>
      <c r="BF19" t="s">
        <v>674</v>
      </c>
      <c r="BG19" t="s">
        <v>674</v>
      </c>
      <c r="BH19" t="s">
        <v>674</v>
      </c>
      <c r="BI19" t="s">
        <v>674</v>
      </c>
      <c r="BJ19" t="s">
        <v>674</v>
      </c>
      <c r="BK19" t="s">
        <v>674</v>
      </c>
      <c r="BL19" t="s">
        <v>674</v>
      </c>
      <c r="BM19" t="s">
        <v>674</v>
      </c>
      <c r="BN19" t="s">
        <v>674</v>
      </c>
      <c r="BO19" t="s">
        <v>674</v>
      </c>
      <c r="BP19" t="s">
        <v>674</v>
      </c>
      <c r="BQ19" t="s">
        <v>674</v>
      </c>
      <c r="BR19" t="s">
        <v>674</v>
      </c>
      <c r="BS19" t="s">
        <v>674</v>
      </c>
      <c r="BT19" t="s">
        <v>999</v>
      </c>
      <c r="BU19" t="s">
        <v>674</v>
      </c>
      <c r="BV19" t="s">
        <v>674</v>
      </c>
      <c r="BW19" t="s">
        <v>674</v>
      </c>
      <c r="BX19" t="s">
        <v>674</v>
      </c>
      <c r="BY19" t="s">
        <v>674</v>
      </c>
      <c r="BZ19" t="s">
        <v>674</v>
      </c>
      <c r="CA19" t="s">
        <v>674</v>
      </c>
      <c r="CB19" t="s">
        <v>674</v>
      </c>
      <c r="CC19" t="s">
        <v>674</v>
      </c>
      <c r="CD19" t="s">
        <v>674</v>
      </c>
      <c r="CE19" t="s">
        <v>674</v>
      </c>
      <c r="CF19" t="s">
        <v>674</v>
      </c>
      <c r="CG19" t="s">
        <v>674</v>
      </c>
      <c r="CH19" t="s">
        <v>674</v>
      </c>
      <c r="CI19" t="s">
        <v>674</v>
      </c>
    </row>
    <row r="20" spans="1:87" x14ac:dyDescent="0.25">
      <c r="A20" t="s">
        <v>987</v>
      </c>
      <c r="B20" t="s">
        <v>88</v>
      </c>
      <c r="C20">
        <v>2025</v>
      </c>
      <c r="D20" t="s">
        <v>988</v>
      </c>
      <c r="E20" t="s">
        <v>989</v>
      </c>
      <c r="F20" t="s">
        <v>499</v>
      </c>
      <c r="G20" t="s">
        <v>674</v>
      </c>
      <c r="H20" t="s">
        <v>500</v>
      </c>
      <c r="I20" t="s">
        <v>990</v>
      </c>
      <c r="J20" t="s">
        <v>991</v>
      </c>
      <c r="K20" t="s">
        <v>992</v>
      </c>
      <c r="L20" t="s">
        <v>993</v>
      </c>
      <c r="M20" s="1">
        <v>46276.55609953704</v>
      </c>
      <c r="N20" s="1">
        <v>46276.556122685186</v>
      </c>
      <c r="O20" s="1">
        <v>46276.55609953704</v>
      </c>
      <c r="P20" t="s">
        <v>994</v>
      </c>
      <c r="Q20" t="s">
        <v>674</v>
      </c>
      <c r="R20">
        <v>8</v>
      </c>
      <c r="S20">
        <v>40</v>
      </c>
      <c r="T20" t="s">
        <v>674</v>
      </c>
      <c r="U20" t="s">
        <v>505</v>
      </c>
      <c r="V20" t="s">
        <v>674</v>
      </c>
      <c r="W20" t="s">
        <v>674</v>
      </c>
      <c r="X20" t="s">
        <v>674</v>
      </c>
      <c r="Y20" t="s">
        <v>674</v>
      </c>
      <c r="Z20" t="s">
        <v>674</v>
      </c>
      <c r="AA20" t="s">
        <v>674</v>
      </c>
      <c r="AB20" t="s">
        <v>674</v>
      </c>
      <c r="AC20" t="s">
        <v>97</v>
      </c>
      <c r="AD20" t="s">
        <v>122</v>
      </c>
      <c r="AE20" t="s">
        <v>674</v>
      </c>
      <c r="AF20" t="s">
        <v>674</v>
      </c>
      <c r="AG20" t="s">
        <v>674</v>
      </c>
      <c r="AH20" t="s">
        <v>99</v>
      </c>
      <c r="AJ20" t="s">
        <v>674</v>
      </c>
      <c r="AK20" t="s">
        <v>674</v>
      </c>
      <c r="AL20" t="s">
        <v>995</v>
      </c>
      <c r="AM20" t="s">
        <v>674</v>
      </c>
      <c r="AN20" t="s">
        <v>674</v>
      </c>
      <c r="AO20" t="s">
        <v>712</v>
      </c>
      <c r="AP20" t="s">
        <v>674</v>
      </c>
      <c r="AQ20" t="s">
        <v>674</v>
      </c>
      <c r="AR20" t="s">
        <v>674</v>
      </c>
      <c r="AS20" t="s">
        <v>674</v>
      </c>
      <c r="AT20" t="s">
        <v>674</v>
      </c>
      <c r="AU20" t="s">
        <v>674</v>
      </c>
      <c r="AV20" t="s">
        <v>674</v>
      </c>
      <c r="AW20" t="s">
        <v>674</v>
      </c>
      <c r="AX20" t="s">
        <v>674</v>
      </c>
      <c r="AY20" t="s">
        <v>674</v>
      </c>
      <c r="AZ20" t="s">
        <v>674</v>
      </c>
      <c r="BA20" t="s">
        <v>674</v>
      </c>
      <c r="BB20" t="s">
        <v>674</v>
      </c>
      <c r="BC20" t="s">
        <v>674</v>
      </c>
      <c r="BD20" t="s">
        <v>674</v>
      </c>
      <c r="BE20" t="s">
        <v>674</v>
      </c>
      <c r="BF20" t="s">
        <v>674</v>
      </c>
      <c r="BG20" t="s">
        <v>674</v>
      </c>
      <c r="BH20" t="s">
        <v>674</v>
      </c>
      <c r="BI20" t="s">
        <v>674</v>
      </c>
      <c r="BJ20" t="s">
        <v>674</v>
      </c>
      <c r="BK20" t="s">
        <v>674</v>
      </c>
      <c r="BL20" t="s">
        <v>674</v>
      </c>
      <c r="BM20" t="s">
        <v>674</v>
      </c>
      <c r="BN20" t="s">
        <v>674</v>
      </c>
      <c r="BO20" t="s">
        <v>674</v>
      </c>
      <c r="BP20" t="s">
        <v>674</v>
      </c>
      <c r="BQ20" t="s">
        <v>674</v>
      </c>
      <c r="BR20" t="s">
        <v>674</v>
      </c>
      <c r="BS20" t="s">
        <v>674</v>
      </c>
      <c r="BT20" t="s">
        <v>674</v>
      </c>
      <c r="BU20" t="s">
        <v>674</v>
      </c>
      <c r="BV20" t="s">
        <v>674</v>
      </c>
      <c r="BW20" t="s">
        <v>674</v>
      </c>
      <c r="BX20" t="s">
        <v>674</v>
      </c>
      <c r="BY20" t="s">
        <v>674</v>
      </c>
      <c r="BZ20" t="s">
        <v>674</v>
      </c>
      <c r="CA20" t="s">
        <v>674</v>
      </c>
      <c r="CB20" t="s">
        <v>674</v>
      </c>
      <c r="CC20" t="s">
        <v>674</v>
      </c>
      <c r="CD20" t="s">
        <v>674</v>
      </c>
      <c r="CE20" t="s">
        <v>674</v>
      </c>
      <c r="CF20" t="s">
        <v>674</v>
      </c>
      <c r="CG20" t="s">
        <v>674</v>
      </c>
      <c r="CH20" t="s">
        <v>674</v>
      </c>
      <c r="CI20" t="s">
        <v>674</v>
      </c>
    </row>
    <row r="21" spans="1:87" x14ac:dyDescent="0.25">
      <c r="A21" t="s">
        <v>978</v>
      </c>
      <c r="B21" t="s">
        <v>88</v>
      </c>
      <c r="C21">
        <v>2019</v>
      </c>
      <c r="D21" t="s">
        <v>979</v>
      </c>
      <c r="E21" t="s">
        <v>980</v>
      </c>
      <c r="F21" t="s">
        <v>479</v>
      </c>
      <c r="G21" t="s">
        <v>674</v>
      </c>
      <c r="H21" t="s">
        <v>480</v>
      </c>
      <c r="I21" t="s">
        <v>981</v>
      </c>
      <c r="J21" t="s">
        <v>982</v>
      </c>
      <c r="K21" t="s">
        <v>983</v>
      </c>
      <c r="L21" t="s">
        <v>984</v>
      </c>
      <c r="M21" s="1">
        <v>46276.556030092594</v>
      </c>
      <c r="N21" s="1">
        <v>46276.556041666663</v>
      </c>
      <c r="O21" s="1">
        <v>46276.556030092594</v>
      </c>
      <c r="P21" t="s">
        <v>985</v>
      </c>
      <c r="Q21" t="s">
        <v>674</v>
      </c>
      <c r="R21">
        <v>1</v>
      </c>
      <c r="S21">
        <v>10</v>
      </c>
      <c r="T21" t="s">
        <v>674</v>
      </c>
      <c r="U21" t="s">
        <v>479</v>
      </c>
      <c r="V21" t="s">
        <v>674</v>
      </c>
      <c r="W21" t="s">
        <v>674</v>
      </c>
      <c r="X21" t="s">
        <v>674</v>
      </c>
      <c r="Y21" t="s">
        <v>674</v>
      </c>
      <c r="Z21" t="s">
        <v>674</v>
      </c>
      <c r="AA21" t="s">
        <v>674</v>
      </c>
      <c r="AB21" t="s">
        <v>674</v>
      </c>
      <c r="AC21" t="s">
        <v>97</v>
      </c>
      <c r="AD21" t="s">
        <v>674</v>
      </c>
      <c r="AE21" t="s">
        <v>674</v>
      </c>
      <c r="AF21" t="s">
        <v>674</v>
      </c>
      <c r="AG21" t="s">
        <v>674</v>
      </c>
      <c r="AH21" t="s">
        <v>99</v>
      </c>
      <c r="AJ21" t="s">
        <v>674</v>
      </c>
      <c r="AK21" t="s">
        <v>674</v>
      </c>
      <c r="AL21" t="s">
        <v>986</v>
      </c>
      <c r="AM21" t="s">
        <v>674</v>
      </c>
      <c r="AN21" t="s">
        <v>674</v>
      </c>
      <c r="AO21" t="s">
        <v>712</v>
      </c>
      <c r="AP21" t="s">
        <v>674</v>
      </c>
      <c r="AQ21" t="s">
        <v>674</v>
      </c>
      <c r="AR21" t="s">
        <v>674</v>
      </c>
      <c r="AS21" t="s">
        <v>674</v>
      </c>
      <c r="AT21" t="s">
        <v>674</v>
      </c>
      <c r="AU21" t="s">
        <v>674</v>
      </c>
      <c r="AV21" t="s">
        <v>674</v>
      </c>
      <c r="AW21" t="s">
        <v>674</v>
      </c>
      <c r="AX21" t="s">
        <v>674</v>
      </c>
      <c r="AY21" t="s">
        <v>674</v>
      </c>
      <c r="AZ21" t="s">
        <v>674</v>
      </c>
      <c r="BA21" t="s">
        <v>674</v>
      </c>
      <c r="BB21" t="s">
        <v>674</v>
      </c>
      <c r="BC21" t="s">
        <v>674</v>
      </c>
      <c r="BD21" t="s">
        <v>674</v>
      </c>
      <c r="BE21" t="s">
        <v>674</v>
      </c>
      <c r="BF21" t="s">
        <v>674</v>
      </c>
      <c r="BG21" t="s">
        <v>674</v>
      </c>
      <c r="BH21" t="s">
        <v>674</v>
      </c>
      <c r="BI21" t="s">
        <v>674</v>
      </c>
      <c r="BJ21" t="s">
        <v>674</v>
      </c>
      <c r="BK21" t="s">
        <v>674</v>
      </c>
      <c r="BL21" t="s">
        <v>674</v>
      </c>
      <c r="BM21" t="s">
        <v>674</v>
      </c>
      <c r="BN21" t="s">
        <v>674</v>
      </c>
      <c r="BO21" t="s">
        <v>674</v>
      </c>
      <c r="BP21" t="s">
        <v>674</v>
      </c>
      <c r="BQ21" t="s">
        <v>674</v>
      </c>
      <c r="BR21" t="s">
        <v>674</v>
      </c>
      <c r="BS21" t="s">
        <v>674</v>
      </c>
      <c r="BT21" t="s">
        <v>674</v>
      </c>
      <c r="BU21" t="s">
        <v>674</v>
      </c>
      <c r="BV21" t="s">
        <v>674</v>
      </c>
      <c r="BW21" t="s">
        <v>674</v>
      </c>
      <c r="BX21" t="s">
        <v>674</v>
      </c>
      <c r="BY21" t="s">
        <v>674</v>
      </c>
      <c r="BZ21" t="s">
        <v>674</v>
      </c>
      <c r="CA21" t="s">
        <v>674</v>
      </c>
      <c r="CB21" t="s">
        <v>674</v>
      </c>
      <c r="CC21" t="s">
        <v>674</v>
      </c>
      <c r="CD21" t="s">
        <v>674</v>
      </c>
      <c r="CE21" t="s">
        <v>674</v>
      </c>
      <c r="CF21" t="s">
        <v>674</v>
      </c>
      <c r="CG21" t="s">
        <v>674</v>
      </c>
      <c r="CH21" t="s">
        <v>674</v>
      </c>
      <c r="CI21" t="s">
        <v>674</v>
      </c>
    </row>
    <row r="22" spans="1:87" x14ac:dyDescent="0.25">
      <c r="A22" t="s">
        <v>899</v>
      </c>
      <c r="B22" t="s">
        <v>103</v>
      </c>
      <c r="C22">
        <v>2004</v>
      </c>
      <c r="D22" t="s">
        <v>900</v>
      </c>
      <c r="E22" t="s">
        <v>901</v>
      </c>
      <c r="F22" t="s">
        <v>674</v>
      </c>
      <c r="G22" t="s">
        <v>674</v>
      </c>
      <c r="H22" t="s">
        <v>674</v>
      </c>
      <c r="I22" t="s">
        <v>902</v>
      </c>
      <c r="J22" t="s">
        <v>903</v>
      </c>
      <c r="K22" t="s">
        <v>904</v>
      </c>
      <c r="L22" t="s">
        <v>905</v>
      </c>
      <c r="M22" s="1">
        <v>46274.90053240741</v>
      </c>
      <c r="N22" s="1">
        <v>46281.520995370367</v>
      </c>
      <c r="O22" s="1">
        <v>46274.90053240741</v>
      </c>
      <c r="P22" t="s">
        <v>674</v>
      </c>
      <c r="Q22" t="s">
        <v>674</v>
      </c>
      <c r="T22" t="s">
        <v>674</v>
      </c>
      <c r="U22" t="s">
        <v>674</v>
      </c>
      <c r="V22" t="s">
        <v>674</v>
      </c>
      <c r="W22" t="s">
        <v>674</v>
      </c>
      <c r="X22" t="s">
        <v>674</v>
      </c>
      <c r="Y22" t="s">
        <v>674</v>
      </c>
      <c r="Z22" t="s">
        <v>674</v>
      </c>
      <c r="AA22" t="s">
        <v>906</v>
      </c>
      <c r="AB22" t="s">
        <v>674</v>
      </c>
      <c r="AC22" t="s">
        <v>710</v>
      </c>
      <c r="AD22" t="s">
        <v>907</v>
      </c>
      <c r="AE22" t="s">
        <v>908</v>
      </c>
      <c r="AF22" t="s">
        <v>674</v>
      </c>
      <c r="AG22" t="s">
        <v>674</v>
      </c>
      <c r="AH22" t="s">
        <v>99</v>
      </c>
      <c r="AJ22" t="s">
        <v>674</v>
      </c>
      <c r="AK22" t="s">
        <v>674</v>
      </c>
      <c r="AL22" t="s">
        <v>909</v>
      </c>
      <c r="AM22" t="s">
        <v>674</v>
      </c>
      <c r="AN22" t="s">
        <v>674</v>
      </c>
      <c r="AO22" t="s">
        <v>674</v>
      </c>
      <c r="AP22" t="s">
        <v>674</v>
      </c>
      <c r="AQ22" t="s">
        <v>674</v>
      </c>
      <c r="AR22" t="s">
        <v>674</v>
      </c>
      <c r="AS22" t="s">
        <v>674</v>
      </c>
      <c r="AT22" t="s">
        <v>674</v>
      </c>
      <c r="AU22" t="s">
        <v>674</v>
      </c>
      <c r="AV22" t="s">
        <v>674</v>
      </c>
      <c r="AW22" t="s">
        <v>674</v>
      </c>
      <c r="AX22" t="s">
        <v>674</v>
      </c>
      <c r="AY22" t="s">
        <v>674</v>
      </c>
      <c r="AZ22" t="s">
        <v>674</v>
      </c>
      <c r="BA22" t="s">
        <v>674</v>
      </c>
      <c r="BB22" t="s">
        <v>674</v>
      </c>
      <c r="BC22" t="s">
        <v>674</v>
      </c>
      <c r="BD22" t="s">
        <v>674</v>
      </c>
      <c r="BE22" t="s">
        <v>674</v>
      </c>
      <c r="BF22" t="s">
        <v>674</v>
      </c>
      <c r="BG22" t="s">
        <v>674</v>
      </c>
      <c r="BH22" t="s">
        <v>674</v>
      </c>
      <c r="BI22" t="s">
        <v>674</v>
      </c>
      <c r="BJ22" t="s">
        <v>674</v>
      </c>
      <c r="BK22" t="s">
        <v>674</v>
      </c>
      <c r="BL22" t="s">
        <v>674</v>
      </c>
      <c r="BM22" t="s">
        <v>674</v>
      </c>
      <c r="BN22" t="s">
        <v>674</v>
      </c>
      <c r="BO22" t="s">
        <v>674</v>
      </c>
      <c r="BP22" t="s">
        <v>674</v>
      </c>
      <c r="BQ22" t="s">
        <v>674</v>
      </c>
      <c r="BR22" t="s">
        <v>674</v>
      </c>
      <c r="BS22" t="s">
        <v>674</v>
      </c>
      <c r="BT22" t="s">
        <v>674</v>
      </c>
      <c r="BU22" t="s">
        <v>674</v>
      </c>
      <c r="BV22" t="s">
        <v>674</v>
      </c>
      <c r="BW22" t="s">
        <v>674</v>
      </c>
      <c r="BX22" t="s">
        <v>674</v>
      </c>
      <c r="BY22" t="s">
        <v>674</v>
      </c>
      <c r="BZ22" t="s">
        <v>674</v>
      </c>
      <c r="CA22" t="s">
        <v>674</v>
      </c>
      <c r="CB22" t="s">
        <v>674</v>
      </c>
      <c r="CC22" t="s">
        <v>674</v>
      </c>
      <c r="CD22" t="s">
        <v>674</v>
      </c>
      <c r="CE22" t="s">
        <v>674</v>
      </c>
      <c r="CF22" t="s">
        <v>674</v>
      </c>
      <c r="CG22" t="s">
        <v>674</v>
      </c>
      <c r="CH22" t="s">
        <v>674</v>
      </c>
      <c r="CI22" t="s">
        <v>674</v>
      </c>
    </row>
    <row r="23" spans="1:87" x14ac:dyDescent="0.25">
      <c r="A23" t="s">
        <v>889</v>
      </c>
      <c r="B23" t="s">
        <v>890</v>
      </c>
      <c r="C23">
        <v>2016</v>
      </c>
      <c r="D23" t="s">
        <v>891</v>
      </c>
      <c r="E23" t="s">
        <v>892</v>
      </c>
      <c r="F23" t="s">
        <v>674</v>
      </c>
      <c r="G23" t="s">
        <v>893</v>
      </c>
      <c r="H23" t="s">
        <v>674</v>
      </c>
      <c r="I23" t="s">
        <v>674</v>
      </c>
      <c r="J23" t="s">
        <v>674</v>
      </c>
      <c r="K23" t="s">
        <v>674</v>
      </c>
      <c r="L23" t="s">
        <v>894</v>
      </c>
      <c r="M23" s="1">
        <v>46274.900497685187</v>
      </c>
      <c r="N23" s="1">
        <v>46274.900497685187</v>
      </c>
      <c r="O23" s="1"/>
      <c r="P23" t="s">
        <v>674</v>
      </c>
      <c r="Q23" t="s">
        <v>674</v>
      </c>
      <c r="T23" t="s">
        <v>674</v>
      </c>
      <c r="U23" t="s">
        <v>674</v>
      </c>
      <c r="V23" t="s">
        <v>674</v>
      </c>
      <c r="W23" t="s">
        <v>895</v>
      </c>
      <c r="X23" t="s">
        <v>674</v>
      </c>
      <c r="Y23" t="s">
        <v>674</v>
      </c>
      <c r="Z23" t="s">
        <v>674</v>
      </c>
      <c r="AA23" t="s">
        <v>896</v>
      </c>
      <c r="AB23" t="s">
        <v>897</v>
      </c>
      <c r="AC23" t="s">
        <v>97</v>
      </c>
      <c r="AD23" t="s">
        <v>674</v>
      </c>
      <c r="AE23" t="s">
        <v>674</v>
      </c>
      <c r="AF23" t="s">
        <v>674</v>
      </c>
      <c r="AG23" t="s">
        <v>674</v>
      </c>
      <c r="AH23" t="s">
        <v>898</v>
      </c>
      <c r="AI23">
        <v>621312</v>
      </c>
      <c r="AJ23" t="s">
        <v>674</v>
      </c>
      <c r="AK23" t="s">
        <v>674</v>
      </c>
      <c r="AL23" t="s">
        <v>674</v>
      </c>
      <c r="AM23" t="s">
        <v>674</v>
      </c>
      <c r="AN23" t="s">
        <v>674</v>
      </c>
      <c r="AO23" t="s">
        <v>712</v>
      </c>
      <c r="AP23" t="s">
        <v>674</v>
      </c>
      <c r="AQ23" t="s">
        <v>674</v>
      </c>
      <c r="AR23" t="s">
        <v>674</v>
      </c>
      <c r="AS23" t="s">
        <v>674</v>
      </c>
      <c r="AT23" t="s">
        <v>674</v>
      </c>
      <c r="AU23" t="s">
        <v>674</v>
      </c>
      <c r="AV23" t="s">
        <v>674</v>
      </c>
      <c r="AW23" t="s">
        <v>674</v>
      </c>
      <c r="AX23" t="s">
        <v>674</v>
      </c>
      <c r="AY23" t="s">
        <v>674</v>
      </c>
      <c r="AZ23" t="s">
        <v>674</v>
      </c>
      <c r="BA23" t="s">
        <v>674</v>
      </c>
      <c r="BB23" t="s">
        <v>674</v>
      </c>
      <c r="BC23" t="s">
        <v>674</v>
      </c>
      <c r="BD23" t="s">
        <v>674</v>
      </c>
      <c r="BE23" t="s">
        <v>674</v>
      </c>
      <c r="BF23" t="s">
        <v>674</v>
      </c>
      <c r="BG23" t="s">
        <v>674</v>
      </c>
      <c r="BH23" t="s">
        <v>674</v>
      </c>
      <c r="BI23" t="s">
        <v>674</v>
      </c>
      <c r="BJ23" t="s">
        <v>674</v>
      </c>
      <c r="BK23" t="s">
        <v>674</v>
      </c>
      <c r="BL23" t="s">
        <v>674</v>
      </c>
      <c r="BM23" t="s">
        <v>674</v>
      </c>
      <c r="BN23" t="s">
        <v>674</v>
      </c>
      <c r="BO23" t="s">
        <v>674</v>
      </c>
      <c r="BP23" t="s">
        <v>674</v>
      </c>
      <c r="BQ23" t="s">
        <v>674</v>
      </c>
      <c r="BR23" t="s">
        <v>674</v>
      </c>
      <c r="BS23" t="s">
        <v>674</v>
      </c>
      <c r="BT23" t="s">
        <v>674</v>
      </c>
      <c r="BU23" t="s">
        <v>674</v>
      </c>
      <c r="BV23" t="s">
        <v>674</v>
      </c>
      <c r="BW23" t="s">
        <v>674</v>
      </c>
      <c r="BX23" t="s">
        <v>674</v>
      </c>
      <c r="BY23" t="s">
        <v>674</v>
      </c>
      <c r="BZ23" t="s">
        <v>674</v>
      </c>
      <c r="CA23" t="s">
        <v>674</v>
      </c>
      <c r="CB23" t="s">
        <v>674</v>
      </c>
      <c r="CC23" t="s">
        <v>674</v>
      </c>
      <c r="CD23" t="s">
        <v>674</v>
      </c>
      <c r="CE23" t="s">
        <v>674</v>
      </c>
      <c r="CF23" t="s">
        <v>674</v>
      </c>
      <c r="CG23" t="s">
        <v>674</v>
      </c>
      <c r="CH23" t="s">
        <v>674</v>
      </c>
      <c r="CI23" t="s">
        <v>674</v>
      </c>
    </row>
    <row r="24" spans="1:87" x14ac:dyDescent="0.25">
      <c r="A24" t="s">
        <v>880</v>
      </c>
      <c r="B24" t="s">
        <v>88</v>
      </c>
      <c r="C24">
        <v>2026</v>
      </c>
      <c r="D24" t="s">
        <v>881</v>
      </c>
      <c r="E24" t="s">
        <v>882</v>
      </c>
      <c r="F24" t="s">
        <v>499</v>
      </c>
      <c r="G24" t="s">
        <v>674</v>
      </c>
      <c r="H24" t="s">
        <v>500</v>
      </c>
      <c r="I24" t="s">
        <v>883</v>
      </c>
      <c r="J24" t="s">
        <v>884</v>
      </c>
      <c r="K24" t="s">
        <v>885</v>
      </c>
      <c r="L24" t="s">
        <v>886</v>
      </c>
      <c r="M24" s="1">
        <v>46274.900416666664</v>
      </c>
      <c r="N24" s="1">
        <v>46284.854398148149</v>
      </c>
      <c r="O24" s="1">
        <v>46274.900416666664</v>
      </c>
      <c r="P24" t="s">
        <v>887</v>
      </c>
      <c r="Q24" t="s">
        <v>674</v>
      </c>
      <c r="R24">
        <v>4</v>
      </c>
      <c r="S24">
        <v>41</v>
      </c>
      <c r="T24" t="s">
        <v>674</v>
      </c>
      <c r="U24" t="s">
        <v>505</v>
      </c>
      <c r="V24" t="s">
        <v>674</v>
      </c>
      <c r="W24" t="s">
        <v>674</v>
      </c>
      <c r="X24" t="s">
        <v>674</v>
      </c>
      <c r="Y24" t="s">
        <v>674</v>
      </c>
      <c r="Z24" t="s">
        <v>674</v>
      </c>
      <c r="AA24" t="s">
        <v>674</v>
      </c>
      <c r="AB24" t="s">
        <v>674</v>
      </c>
      <c r="AC24" t="s">
        <v>97</v>
      </c>
      <c r="AD24" t="s">
        <v>122</v>
      </c>
      <c r="AE24" t="s">
        <v>674</v>
      </c>
      <c r="AF24" t="s">
        <v>674</v>
      </c>
      <c r="AG24" t="s">
        <v>674</v>
      </c>
      <c r="AH24" t="s">
        <v>99</v>
      </c>
      <c r="AJ24" t="s">
        <v>674</v>
      </c>
      <c r="AK24" t="s">
        <v>674</v>
      </c>
      <c r="AL24" t="s">
        <v>888</v>
      </c>
      <c r="AM24" t="s">
        <v>674</v>
      </c>
      <c r="AN24" t="s">
        <v>674</v>
      </c>
      <c r="AO24" t="s">
        <v>674</v>
      </c>
      <c r="AP24" t="s">
        <v>674</v>
      </c>
      <c r="AQ24" t="s">
        <v>674</v>
      </c>
      <c r="AR24" t="s">
        <v>674</v>
      </c>
      <c r="AS24" t="s">
        <v>674</v>
      </c>
      <c r="AT24" t="s">
        <v>674</v>
      </c>
      <c r="AU24" t="s">
        <v>674</v>
      </c>
      <c r="AV24" t="s">
        <v>674</v>
      </c>
      <c r="AW24" t="s">
        <v>674</v>
      </c>
      <c r="AX24" t="s">
        <v>674</v>
      </c>
      <c r="AY24" t="s">
        <v>674</v>
      </c>
      <c r="AZ24" t="s">
        <v>674</v>
      </c>
      <c r="BA24" t="s">
        <v>674</v>
      </c>
      <c r="BB24" t="s">
        <v>674</v>
      </c>
      <c r="BC24" t="s">
        <v>674</v>
      </c>
      <c r="BD24" t="s">
        <v>674</v>
      </c>
      <c r="BE24" t="s">
        <v>674</v>
      </c>
      <c r="BF24" t="s">
        <v>674</v>
      </c>
      <c r="BG24" t="s">
        <v>674</v>
      </c>
      <c r="BH24" t="s">
        <v>674</v>
      </c>
      <c r="BI24" t="s">
        <v>674</v>
      </c>
      <c r="BJ24" t="s">
        <v>674</v>
      </c>
      <c r="BK24" t="s">
        <v>674</v>
      </c>
      <c r="BL24" t="s">
        <v>674</v>
      </c>
      <c r="BM24" t="s">
        <v>674</v>
      </c>
      <c r="BN24" t="s">
        <v>674</v>
      </c>
      <c r="BO24" t="s">
        <v>674</v>
      </c>
      <c r="BP24" t="s">
        <v>674</v>
      </c>
      <c r="BQ24" t="s">
        <v>674</v>
      </c>
      <c r="BR24" t="s">
        <v>674</v>
      </c>
      <c r="BS24" t="s">
        <v>674</v>
      </c>
      <c r="BT24" t="s">
        <v>674</v>
      </c>
      <c r="BU24" t="s">
        <v>674</v>
      </c>
      <c r="BV24" t="s">
        <v>674</v>
      </c>
      <c r="BW24" t="s">
        <v>674</v>
      </c>
      <c r="BX24" t="s">
        <v>674</v>
      </c>
      <c r="BY24" t="s">
        <v>674</v>
      </c>
      <c r="BZ24" t="s">
        <v>674</v>
      </c>
      <c r="CA24" t="s">
        <v>674</v>
      </c>
      <c r="CB24" t="s">
        <v>674</v>
      </c>
      <c r="CC24" t="s">
        <v>674</v>
      </c>
      <c r="CD24" t="s">
        <v>674</v>
      </c>
      <c r="CE24" t="s">
        <v>674</v>
      </c>
      <c r="CF24" t="s">
        <v>674</v>
      </c>
      <c r="CG24" t="s">
        <v>674</v>
      </c>
      <c r="CH24" t="s">
        <v>674</v>
      </c>
      <c r="CI24" t="s">
        <v>674</v>
      </c>
    </row>
    <row r="25" spans="1:87" x14ac:dyDescent="0.25">
      <c r="A25" t="s">
        <v>877</v>
      </c>
      <c r="B25" t="s">
        <v>88</v>
      </c>
      <c r="D25" t="s">
        <v>871</v>
      </c>
      <c r="E25" t="s">
        <v>878</v>
      </c>
      <c r="F25" t="s">
        <v>674</v>
      </c>
      <c r="G25" t="s">
        <v>674</v>
      </c>
      <c r="H25" t="s">
        <v>674</v>
      </c>
      <c r="I25" t="s">
        <v>674</v>
      </c>
      <c r="J25" t="s">
        <v>674</v>
      </c>
      <c r="K25" t="s">
        <v>674</v>
      </c>
      <c r="L25" t="s">
        <v>674</v>
      </c>
      <c r="M25" s="1">
        <v>46274.900300925925</v>
      </c>
      <c r="N25" s="1">
        <v>46274.900300925925</v>
      </c>
      <c r="O25" s="1"/>
      <c r="P25" t="s">
        <v>674</v>
      </c>
      <c r="Q25" t="s">
        <v>674</v>
      </c>
      <c r="R25">
        <v>2</v>
      </c>
      <c r="T25" t="s">
        <v>674</v>
      </c>
      <c r="U25" t="s">
        <v>674</v>
      </c>
      <c r="V25" t="s">
        <v>674</v>
      </c>
      <c r="W25" t="s">
        <v>674</v>
      </c>
      <c r="X25" t="s">
        <v>674</v>
      </c>
      <c r="Y25" t="s">
        <v>674</v>
      </c>
      <c r="Z25" t="s">
        <v>674</v>
      </c>
      <c r="AA25" t="s">
        <v>674</v>
      </c>
      <c r="AB25" t="s">
        <v>674</v>
      </c>
      <c r="AC25" t="s">
        <v>710</v>
      </c>
      <c r="AD25" t="s">
        <v>674</v>
      </c>
      <c r="AE25" t="s">
        <v>674</v>
      </c>
      <c r="AF25" t="s">
        <v>674</v>
      </c>
      <c r="AG25" t="s">
        <v>674</v>
      </c>
      <c r="AH25" t="s">
        <v>163</v>
      </c>
      <c r="AJ25" t="s">
        <v>674</v>
      </c>
      <c r="AK25" t="s">
        <v>674</v>
      </c>
      <c r="AL25" t="s">
        <v>879</v>
      </c>
      <c r="AM25" t="s">
        <v>674</v>
      </c>
      <c r="AN25" t="s">
        <v>674</v>
      </c>
      <c r="AO25" t="s">
        <v>712</v>
      </c>
      <c r="AP25" t="s">
        <v>674</v>
      </c>
      <c r="AQ25" t="s">
        <v>674</v>
      </c>
      <c r="AR25" t="s">
        <v>674</v>
      </c>
      <c r="AS25" t="s">
        <v>674</v>
      </c>
      <c r="AT25" t="s">
        <v>674</v>
      </c>
      <c r="AU25" t="s">
        <v>674</v>
      </c>
      <c r="AV25" t="s">
        <v>674</v>
      </c>
      <c r="AW25" t="s">
        <v>674</v>
      </c>
      <c r="AX25" t="s">
        <v>674</v>
      </c>
      <c r="AY25" t="s">
        <v>674</v>
      </c>
      <c r="AZ25" t="s">
        <v>674</v>
      </c>
      <c r="BA25" t="s">
        <v>674</v>
      </c>
      <c r="BB25" t="s">
        <v>674</v>
      </c>
      <c r="BC25" t="s">
        <v>674</v>
      </c>
      <c r="BD25" t="s">
        <v>674</v>
      </c>
      <c r="BE25" t="s">
        <v>674</v>
      </c>
      <c r="BF25" t="s">
        <v>674</v>
      </c>
      <c r="BG25" t="s">
        <v>674</v>
      </c>
      <c r="BH25" t="s">
        <v>674</v>
      </c>
      <c r="BI25" t="s">
        <v>674</v>
      </c>
      <c r="BJ25" t="s">
        <v>674</v>
      </c>
      <c r="BK25" t="s">
        <v>674</v>
      </c>
      <c r="BL25" t="s">
        <v>674</v>
      </c>
      <c r="BM25" t="s">
        <v>674</v>
      </c>
      <c r="BN25" t="s">
        <v>674</v>
      </c>
      <c r="BO25" t="s">
        <v>674</v>
      </c>
      <c r="BP25" t="s">
        <v>674</v>
      </c>
      <c r="BQ25" t="s">
        <v>674</v>
      </c>
      <c r="BR25" t="s">
        <v>674</v>
      </c>
      <c r="BS25" t="s">
        <v>674</v>
      </c>
      <c r="BT25" t="s">
        <v>674</v>
      </c>
      <c r="BU25" t="s">
        <v>674</v>
      </c>
      <c r="BV25" t="s">
        <v>674</v>
      </c>
      <c r="BW25" t="s">
        <v>674</v>
      </c>
      <c r="BX25" t="s">
        <v>674</v>
      </c>
      <c r="BY25" t="s">
        <v>674</v>
      </c>
      <c r="BZ25" t="s">
        <v>674</v>
      </c>
      <c r="CA25" t="s">
        <v>674</v>
      </c>
      <c r="CB25" t="s">
        <v>674</v>
      </c>
      <c r="CC25" t="s">
        <v>674</v>
      </c>
      <c r="CD25" t="s">
        <v>674</v>
      </c>
      <c r="CE25" t="s">
        <v>674</v>
      </c>
      <c r="CF25" t="s">
        <v>674</v>
      </c>
      <c r="CG25" t="s">
        <v>674</v>
      </c>
      <c r="CH25" t="s">
        <v>674</v>
      </c>
      <c r="CI25" t="s">
        <v>674</v>
      </c>
    </row>
    <row r="26" spans="1:87" x14ac:dyDescent="0.25">
      <c r="A26" t="s">
        <v>874</v>
      </c>
      <c r="B26" t="s">
        <v>88</v>
      </c>
      <c r="D26" t="s">
        <v>871</v>
      </c>
      <c r="E26" t="s">
        <v>875</v>
      </c>
      <c r="F26" t="s">
        <v>674</v>
      </c>
      <c r="G26" t="s">
        <v>674</v>
      </c>
      <c r="H26" t="s">
        <v>674</v>
      </c>
      <c r="I26" t="s">
        <v>674</v>
      </c>
      <c r="J26" t="s">
        <v>674</v>
      </c>
      <c r="K26" t="s">
        <v>674</v>
      </c>
      <c r="L26" t="s">
        <v>674</v>
      </c>
      <c r="M26" s="1">
        <v>46274.900254629632</v>
      </c>
      <c r="N26" s="1">
        <v>46274.900266203702</v>
      </c>
      <c r="O26" s="1"/>
      <c r="P26" t="s">
        <v>674</v>
      </c>
      <c r="Q26" t="s">
        <v>674</v>
      </c>
      <c r="R26">
        <v>2</v>
      </c>
      <c r="T26" t="s">
        <v>674</v>
      </c>
      <c r="U26" t="s">
        <v>674</v>
      </c>
      <c r="V26" t="s">
        <v>674</v>
      </c>
      <c r="W26" t="s">
        <v>674</v>
      </c>
      <c r="X26" t="s">
        <v>674</v>
      </c>
      <c r="Y26" t="s">
        <v>674</v>
      </c>
      <c r="Z26" t="s">
        <v>674</v>
      </c>
      <c r="AA26" t="s">
        <v>674</v>
      </c>
      <c r="AB26" t="s">
        <v>674</v>
      </c>
      <c r="AC26" t="s">
        <v>710</v>
      </c>
      <c r="AD26" t="s">
        <v>674</v>
      </c>
      <c r="AE26" t="s">
        <v>674</v>
      </c>
      <c r="AF26" t="s">
        <v>674</v>
      </c>
      <c r="AG26" t="s">
        <v>674</v>
      </c>
      <c r="AH26" t="s">
        <v>163</v>
      </c>
      <c r="AJ26" t="s">
        <v>674</v>
      </c>
      <c r="AK26" t="s">
        <v>674</v>
      </c>
      <c r="AL26" t="s">
        <v>876</v>
      </c>
      <c r="AM26" t="s">
        <v>674</v>
      </c>
      <c r="AN26" t="s">
        <v>674</v>
      </c>
      <c r="AO26" t="s">
        <v>712</v>
      </c>
      <c r="AP26" t="s">
        <v>674</v>
      </c>
      <c r="AQ26" t="s">
        <v>674</v>
      </c>
      <c r="AR26" t="s">
        <v>674</v>
      </c>
      <c r="AS26" t="s">
        <v>674</v>
      </c>
      <c r="AT26" t="s">
        <v>674</v>
      </c>
      <c r="AU26" t="s">
        <v>674</v>
      </c>
      <c r="AV26" t="s">
        <v>674</v>
      </c>
      <c r="AW26" t="s">
        <v>674</v>
      </c>
      <c r="AX26" t="s">
        <v>674</v>
      </c>
      <c r="AY26" t="s">
        <v>674</v>
      </c>
      <c r="AZ26" t="s">
        <v>674</v>
      </c>
      <c r="BA26" t="s">
        <v>674</v>
      </c>
      <c r="BB26" t="s">
        <v>674</v>
      </c>
      <c r="BC26" t="s">
        <v>674</v>
      </c>
      <c r="BD26" t="s">
        <v>674</v>
      </c>
      <c r="BE26" t="s">
        <v>674</v>
      </c>
      <c r="BF26" t="s">
        <v>674</v>
      </c>
      <c r="BG26" t="s">
        <v>674</v>
      </c>
      <c r="BH26" t="s">
        <v>674</v>
      </c>
      <c r="BI26" t="s">
        <v>674</v>
      </c>
      <c r="BJ26" t="s">
        <v>674</v>
      </c>
      <c r="BK26" t="s">
        <v>674</v>
      </c>
      <c r="BL26" t="s">
        <v>674</v>
      </c>
      <c r="BM26" t="s">
        <v>674</v>
      </c>
      <c r="BN26" t="s">
        <v>674</v>
      </c>
      <c r="BO26" t="s">
        <v>674</v>
      </c>
      <c r="BP26" t="s">
        <v>674</v>
      </c>
      <c r="BQ26" t="s">
        <v>674</v>
      </c>
      <c r="BR26" t="s">
        <v>674</v>
      </c>
      <c r="BS26" t="s">
        <v>674</v>
      </c>
      <c r="BT26" t="s">
        <v>674</v>
      </c>
      <c r="BU26" t="s">
        <v>674</v>
      </c>
      <c r="BV26" t="s">
        <v>674</v>
      </c>
      <c r="BW26" t="s">
        <v>674</v>
      </c>
      <c r="BX26" t="s">
        <v>674</v>
      </c>
      <c r="BY26" t="s">
        <v>674</v>
      </c>
      <c r="BZ26" t="s">
        <v>674</v>
      </c>
      <c r="CA26" t="s">
        <v>674</v>
      </c>
      <c r="CB26" t="s">
        <v>674</v>
      </c>
      <c r="CC26" t="s">
        <v>674</v>
      </c>
      <c r="CD26" t="s">
        <v>674</v>
      </c>
      <c r="CE26" t="s">
        <v>674</v>
      </c>
      <c r="CF26" t="s">
        <v>674</v>
      </c>
      <c r="CG26" t="s">
        <v>674</v>
      </c>
      <c r="CH26" t="s">
        <v>674</v>
      </c>
      <c r="CI26" t="s">
        <v>674</v>
      </c>
    </row>
    <row r="27" spans="1:87" x14ac:dyDescent="0.25">
      <c r="A27" t="s">
        <v>870</v>
      </c>
      <c r="B27" t="s">
        <v>88</v>
      </c>
      <c r="D27" t="s">
        <v>871</v>
      </c>
      <c r="E27" t="s">
        <v>872</v>
      </c>
      <c r="F27" t="s">
        <v>674</v>
      </c>
      <c r="G27" t="s">
        <v>674</v>
      </c>
      <c r="H27" t="s">
        <v>674</v>
      </c>
      <c r="I27" t="s">
        <v>674</v>
      </c>
      <c r="J27" t="s">
        <v>674</v>
      </c>
      <c r="K27" t="s">
        <v>674</v>
      </c>
      <c r="L27" t="s">
        <v>674</v>
      </c>
      <c r="M27" s="1">
        <v>46274.900208333333</v>
      </c>
      <c r="N27" s="1">
        <v>46274.900208333333</v>
      </c>
      <c r="O27" s="1"/>
      <c r="P27" t="s">
        <v>674</v>
      </c>
      <c r="Q27" t="s">
        <v>674</v>
      </c>
      <c r="T27" t="s">
        <v>674</v>
      </c>
      <c r="U27" t="s">
        <v>674</v>
      </c>
      <c r="V27" t="s">
        <v>674</v>
      </c>
      <c r="W27" t="s">
        <v>674</v>
      </c>
      <c r="X27" t="s">
        <v>674</v>
      </c>
      <c r="Y27" t="s">
        <v>674</v>
      </c>
      <c r="Z27" t="s">
        <v>674</v>
      </c>
      <c r="AA27" t="s">
        <v>674</v>
      </c>
      <c r="AB27" t="s">
        <v>674</v>
      </c>
      <c r="AC27" t="s">
        <v>710</v>
      </c>
      <c r="AD27" t="s">
        <v>674</v>
      </c>
      <c r="AE27" t="s">
        <v>674</v>
      </c>
      <c r="AF27" t="s">
        <v>674</v>
      </c>
      <c r="AG27" t="s">
        <v>674</v>
      </c>
      <c r="AH27" t="s">
        <v>163</v>
      </c>
      <c r="AJ27" t="s">
        <v>674</v>
      </c>
      <c r="AK27" t="s">
        <v>674</v>
      </c>
      <c r="AL27" t="s">
        <v>873</v>
      </c>
      <c r="AM27" t="s">
        <v>674</v>
      </c>
      <c r="AN27" t="s">
        <v>674</v>
      </c>
      <c r="AO27" t="s">
        <v>712</v>
      </c>
      <c r="AP27" t="s">
        <v>674</v>
      </c>
      <c r="AQ27" t="s">
        <v>674</v>
      </c>
      <c r="AR27" t="s">
        <v>674</v>
      </c>
      <c r="AS27" t="s">
        <v>674</v>
      </c>
      <c r="AT27" t="s">
        <v>674</v>
      </c>
      <c r="AU27" t="s">
        <v>674</v>
      </c>
      <c r="AV27" t="s">
        <v>674</v>
      </c>
      <c r="AW27" t="s">
        <v>674</v>
      </c>
      <c r="AX27" t="s">
        <v>674</v>
      </c>
      <c r="AY27" t="s">
        <v>674</v>
      </c>
      <c r="AZ27" t="s">
        <v>674</v>
      </c>
      <c r="BA27" t="s">
        <v>674</v>
      </c>
      <c r="BB27" t="s">
        <v>674</v>
      </c>
      <c r="BC27" t="s">
        <v>674</v>
      </c>
      <c r="BD27" t="s">
        <v>674</v>
      </c>
      <c r="BE27" t="s">
        <v>674</v>
      </c>
      <c r="BF27" t="s">
        <v>674</v>
      </c>
      <c r="BG27" t="s">
        <v>674</v>
      </c>
      <c r="BH27" t="s">
        <v>674</v>
      </c>
      <c r="BI27" t="s">
        <v>674</v>
      </c>
      <c r="BJ27" t="s">
        <v>674</v>
      </c>
      <c r="BK27" t="s">
        <v>674</v>
      </c>
      <c r="BL27" t="s">
        <v>674</v>
      </c>
      <c r="BM27" t="s">
        <v>674</v>
      </c>
      <c r="BN27" t="s">
        <v>674</v>
      </c>
      <c r="BO27" t="s">
        <v>674</v>
      </c>
      <c r="BP27" t="s">
        <v>674</v>
      </c>
      <c r="BQ27" t="s">
        <v>674</v>
      </c>
      <c r="BR27" t="s">
        <v>674</v>
      </c>
      <c r="BS27" t="s">
        <v>674</v>
      </c>
      <c r="BT27" t="s">
        <v>674</v>
      </c>
      <c r="BU27" t="s">
        <v>674</v>
      </c>
      <c r="BV27" t="s">
        <v>674</v>
      </c>
      <c r="BW27" t="s">
        <v>674</v>
      </c>
      <c r="BX27" t="s">
        <v>674</v>
      </c>
      <c r="BY27" t="s">
        <v>674</v>
      </c>
      <c r="BZ27" t="s">
        <v>674</v>
      </c>
      <c r="CA27" t="s">
        <v>674</v>
      </c>
      <c r="CB27" t="s">
        <v>674</v>
      </c>
      <c r="CC27" t="s">
        <v>674</v>
      </c>
      <c r="CD27" t="s">
        <v>674</v>
      </c>
      <c r="CE27" t="s">
        <v>674</v>
      </c>
      <c r="CF27" t="s">
        <v>674</v>
      </c>
      <c r="CG27" t="s">
        <v>674</v>
      </c>
      <c r="CH27" t="s">
        <v>674</v>
      </c>
      <c r="CI27" t="s">
        <v>674</v>
      </c>
    </row>
    <row r="28" spans="1:87" x14ac:dyDescent="0.25">
      <c r="A28" t="s">
        <v>859</v>
      </c>
      <c r="B28" t="s">
        <v>88</v>
      </c>
      <c r="C28">
        <v>2016</v>
      </c>
      <c r="D28" t="s">
        <v>860</v>
      </c>
      <c r="E28" t="s">
        <v>861</v>
      </c>
      <c r="F28" t="s">
        <v>862</v>
      </c>
      <c r="G28" t="s">
        <v>674</v>
      </c>
      <c r="H28" t="s">
        <v>863</v>
      </c>
      <c r="I28" t="s">
        <v>864</v>
      </c>
      <c r="J28" t="s">
        <v>865</v>
      </c>
      <c r="K28" t="s">
        <v>674</v>
      </c>
      <c r="L28" t="s">
        <v>866</v>
      </c>
      <c r="M28" s="1">
        <v>46274.90016203704</v>
      </c>
      <c r="N28" s="1">
        <v>46285.792546296296</v>
      </c>
      <c r="O28" s="1">
        <v>46274.90016203704</v>
      </c>
      <c r="P28" t="s">
        <v>867</v>
      </c>
      <c r="Q28" t="s">
        <v>674</v>
      </c>
      <c r="R28">
        <v>12</v>
      </c>
      <c r="S28">
        <v>1</v>
      </c>
      <c r="T28" t="s">
        <v>674</v>
      </c>
      <c r="U28" t="s">
        <v>868</v>
      </c>
      <c r="V28" t="s">
        <v>674</v>
      </c>
      <c r="W28" t="s">
        <v>674</v>
      </c>
      <c r="X28" t="s">
        <v>674</v>
      </c>
      <c r="Y28" t="s">
        <v>674</v>
      </c>
      <c r="Z28" t="s">
        <v>674</v>
      </c>
      <c r="AA28" t="s">
        <v>674</v>
      </c>
      <c r="AB28" t="s">
        <v>674</v>
      </c>
      <c r="AC28" t="s">
        <v>97</v>
      </c>
      <c r="AD28" t="s">
        <v>674</v>
      </c>
      <c r="AE28" t="s">
        <v>674</v>
      </c>
      <c r="AF28" t="s">
        <v>674</v>
      </c>
      <c r="AG28" t="s">
        <v>674</v>
      </c>
      <c r="AH28" t="s">
        <v>99</v>
      </c>
      <c r="AJ28" t="s">
        <v>674</v>
      </c>
      <c r="AK28" t="s">
        <v>674</v>
      </c>
      <c r="AL28" t="s">
        <v>869</v>
      </c>
      <c r="AM28" t="s">
        <v>674</v>
      </c>
      <c r="AN28" t="s">
        <v>674</v>
      </c>
      <c r="AO28" t="s">
        <v>674</v>
      </c>
      <c r="AP28" t="s">
        <v>674</v>
      </c>
      <c r="AQ28" t="s">
        <v>674</v>
      </c>
      <c r="AR28" t="s">
        <v>674</v>
      </c>
      <c r="AS28" t="s">
        <v>674</v>
      </c>
      <c r="AT28" t="s">
        <v>674</v>
      </c>
      <c r="AU28" t="s">
        <v>674</v>
      </c>
      <c r="AV28" t="s">
        <v>674</v>
      </c>
      <c r="AW28" t="s">
        <v>674</v>
      </c>
      <c r="AX28" t="s">
        <v>674</v>
      </c>
      <c r="AY28" t="s">
        <v>674</v>
      </c>
      <c r="AZ28" t="s">
        <v>674</v>
      </c>
      <c r="BA28" t="s">
        <v>674</v>
      </c>
      <c r="BB28" t="s">
        <v>674</v>
      </c>
      <c r="BC28" t="s">
        <v>674</v>
      </c>
      <c r="BD28" t="s">
        <v>674</v>
      </c>
      <c r="BE28" t="s">
        <v>674</v>
      </c>
      <c r="BF28" t="s">
        <v>674</v>
      </c>
      <c r="BG28" t="s">
        <v>674</v>
      </c>
      <c r="BH28" t="s">
        <v>674</v>
      </c>
      <c r="BI28" t="s">
        <v>674</v>
      </c>
      <c r="BJ28" t="s">
        <v>674</v>
      </c>
      <c r="BK28" t="s">
        <v>674</v>
      </c>
      <c r="BL28" t="s">
        <v>674</v>
      </c>
      <c r="BM28" t="s">
        <v>674</v>
      </c>
      <c r="BN28" t="s">
        <v>674</v>
      </c>
      <c r="BO28" t="s">
        <v>674</v>
      </c>
      <c r="BP28" t="s">
        <v>674</v>
      </c>
      <c r="BQ28" t="s">
        <v>674</v>
      </c>
      <c r="BR28" t="s">
        <v>674</v>
      </c>
      <c r="BS28" t="s">
        <v>674</v>
      </c>
      <c r="BT28" t="s">
        <v>674</v>
      </c>
      <c r="BU28" t="s">
        <v>674</v>
      </c>
      <c r="BV28" t="s">
        <v>674</v>
      </c>
      <c r="BW28" t="s">
        <v>674</v>
      </c>
      <c r="BX28" t="s">
        <v>674</v>
      </c>
      <c r="BY28" t="s">
        <v>674</v>
      </c>
      <c r="BZ28" t="s">
        <v>674</v>
      </c>
      <c r="CA28" t="s">
        <v>674</v>
      </c>
      <c r="CB28" t="s">
        <v>674</v>
      </c>
      <c r="CC28" t="s">
        <v>674</v>
      </c>
      <c r="CD28" t="s">
        <v>674</v>
      </c>
      <c r="CE28" t="s">
        <v>674</v>
      </c>
      <c r="CF28" t="s">
        <v>674</v>
      </c>
      <c r="CG28" t="s">
        <v>674</v>
      </c>
      <c r="CH28" t="s">
        <v>674</v>
      </c>
      <c r="CI28" t="s">
        <v>674</v>
      </c>
    </row>
    <row r="29" spans="1:87" x14ac:dyDescent="0.25">
      <c r="A29" t="s">
        <v>847</v>
      </c>
      <c r="B29" t="s">
        <v>126</v>
      </c>
      <c r="C29">
        <v>2016</v>
      </c>
      <c r="D29" t="s">
        <v>848</v>
      </c>
      <c r="E29" t="s">
        <v>849</v>
      </c>
      <c r="F29" t="s">
        <v>850</v>
      </c>
      <c r="G29" t="s">
        <v>851</v>
      </c>
      <c r="H29" t="s">
        <v>674</v>
      </c>
      <c r="I29" t="s">
        <v>852</v>
      </c>
      <c r="J29" t="s">
        <v>853</v>
      </c>
      <c r="K29" t="s">
        <v>854</v>
      </c>
      <c r="L29" t="s">
        <v>855</v>
      </c>
      <c r="M29" s="1">
        <v>46274.900092592594</v>
      </c>
      <c r="N29" s="1">
        <v>46283.839918981481</v>
      </c>
      <c r="O29" s="1">
        <v>46274.900092592594</v>
      </c>
      <c r="P29" t="s">
        <v>856</v>
      </c>
      <c r="Q29" t="s">
        <v>674</v>
      </c>
      <c r="T29" t="s">
        <v>674</v>
      </c>
      <c r="U29" t="s">
        <v>674</v>
      </c>
      <c r="V29" t="s">
        <v>674</v>
      </c>
      <c r="W29" t="s">
        <v>674</v>
      </c>
      <c r="X29" t="s">
        <v>674</v>
      </c>
      <c r="Y29" t="s">
        <v>674</v>
      </c>
      <c r="Z29" t="s">
        <v>674</v>
      </c>
      <c r="AA29" t="s">
        <v>133</v>
      </c>
      <c r="AB29" t="s">
        <v>857</v>
      </c>
      <c r="AC29" t="s">
        <v>97</v>
      </c>
      <c r="AD29" t="s">
        <v>674</v>
      </c>
      <c r="AE29" t="s">
        <v>674</v>
      </c>
      <c r="AF29" t="s">
        <v>674</v>
      </c>
      <c r="AG29" t="s">
        <v>674</v>
      </c>
      <c r="AH29" t="s">
        <v>99</v>
      </c>
      <c r="AJ29" t="s">
        <v>674</v>
      </c>
      <c r="AK29" t="s">
        <v>674</v>
      </c>
      <c r="AL29" t="s">
        <v>858</v>
      </c>
      <c r="AM29" t="s">
        <v>674</v>
      </c>
      <c r="AN29" t="s">
        <v>674</v>
      </c>
      <c r="AO29" t="s">
        <v>674</v>
      </c>
      <c r="AP29" t="s">
        <v>674</v>
      </c>
      <c r="AQ29" t="s">
        <v>674</v>
      </c>
      <c r="AR29" t="s">
        <v>674</v>
      </c>
      <c r="AS29" t="s">
        <v>674</v>
      </c>
      <c r="AT29" t="s">
        <v>674</v>
      </c>
      <c r="AU29" t="s">
        <v>674</v>
      </c>
      <c r="AV29" t="s">
        <v>674</v>
      </c>
      <c r="AW29" t="s">
        <v>674</v>
      </c>
      <c r="AX29" t="s">
        <v>674</v>
      </c>
      <c r="AY29" t="s">
        <v>674</v>
      </c>
      <c r="AZ29" t="s">
        <v>674</v>
      </c>
      <c r="BA29" t="s">
        <v>674</v>
      </c>
      <c r="BB29" t="s">
        <v>674</v>
      </c>
      <c r="BC29" t="s">
        <v>674</v>
      </c>
      <c r="BD29" t="s">
        <v>674</v>
      </c>
      <c r="BE29" t="s">
        <v>674</v>
      </c>
      <c r="BF29" t="s">
        <v>674</v>
      </c>
      <c r="BG29" t="s">
        <v>674</v>
      </c>
      <c r="BH29" t="s">
        <v>674</v>
      </c>
      <c r="BI29" t="s">
        <v>674</v>
      </c>
      <c r="BJ29" t="s">
        <v>674</v>
      </c>
      <c r="BK29" t="s">
        <v>674</v>
      </c>
      <c r="BL29" t="s">
        <v>674</v>
      </c>
      <c r="BM29" t="s">
        <v>674</v>
      </c>
      <c r="BN29" t="s">
        <v>674</v>
      </c>
      <c r="BO29" t="s">
        <v>674</v>
      </c>
      <c r="BP29" t="s">
        <v>674</v>
      </c>
      <c r="BQ29" t="s">
        <v>674</v>
      </c>
      <c r="BR29" t="s">
        <v>674</v>
      </c>
      <c r="BS29" t="s">
        <v>674</v>
      </c>
      <c r="BT29" t="s">
        <v>850</v>
      </c>
      <c r="BU29" t="s">
        <v>674</v>
      </c>
      <c r="BV29" t="s">
        <v>674</v>
      </c>
      <c r="BW29" t="s">
        <v>674</v>
      </c>
      <c r="BX29" t="s">
        <v>674</v>
      </c>
      <c r="BY29" t="s">
        <v>674</v>
      </c>
      <c r="BZ29" t="s">
        <v>674</v>
      </c>
      <c r="CA29" t="s">
        <v>674</v>
      </c>
      <c r="CB29" t="s">
        <v>674</v>
      </c>
      <c r="CC29" t="s">
        <v>674</v>
      </c>
      <c r="CD29" t="s">
        <v>674</v>
      </c>
      <c r="CE29" t="s">
        <v>674</v>
      </c>
      <c r="CF29" t="s">
        <v>674</v>
      </c>
      <c r="CG29" t="s">
        <v>674</v>
      </c>
      <c r="CH29" t="s">
        <v>674</v>
      </c>
      <c r="CI29" t="s">
        <v>674</v>
      </c>
    </row>
    <row r="30" spans="1:87" x14ac:dyDescent="0.25">
      <c r="A30" t="s">
        <v>838</v>
      </c>
      <c r="B30" t="s">
        <v>88</v>
      </c>
      <c r="C30">
        <v>2013</v>
      </c>
      <c r="D30" t="s">
        <v>839</v>
      </c>
      <c r="E30" t="s">
        <v>840</v>
      </c>
      <c r="F30" t="s">
        <v>115</v>
      </c>
      <c r="G30" t="s">
        <v>674</v>
      </c>
      <c r="H30" t="s">
        <v>116</v>
      </c>
      <c r="I30" t="s">
        <v>841</v>
      </c>
      <c r="J30" t="s">
        <v>842</v>
      </c>
      <c r="K30" t="s">
        <v>843</v>
      </c>
      <c r="L30" t="s">
        <v>844</v>
      </c>
      <c r="M30" s="1">
        <v>46274.900034722225</v>
      </c>
      <c r="N30" s="1">
        <v>46283.837731481479</v>
      </c>
      <c r="O30" s="1">
        <v>46274.900034722225</v>
      </c>
      <c r="P30" t="s">
        <v>845</v>
      </c>
      <c r="Q30" t="s">
        <v>674</v>
      </c>
      <c r="R30">
        <v>8</v>
      </c>
      <c r="S30">
        <v>60</v>
      </c>
      <c r="T30" t="s">
        <v>674</v>
      </c>
      <c r="U30" t="s">
        <v>121</v>
      </c>
      <c r="V30" t="s">
        <v>674</v>
      </c>
      <c r="W30" t="s">
        <v>674</v>
      </c>
      <c r="X30" t="s">
        <v>674</v>
      </c>
      <c r="Y30" t="s">
        <v>674</v>
      </c>
      <c r="Z30" t="s">
        <v>674</v>
      </c>
      <c r="AA30" t="s">
        <v>674</v>
      </c>
      <c r="AB30" t="s">
        <v>674</v>
      </c>
      <c r="AC30" t="s">
        <v>97</v>
      </c>
      <c r="AD30" t="s">
        <v>122</v>
      </c>
      <c r="AE30" t="s">
        <v>674</v>
      </c>
      <c r="AF30" t="s">
        <v>674</v>
      </c>
      <c r="AG30" t="s">
        <v>674</v>
      </c>
      <c r="AH30" t="s">
        <v>99</v>
      </c>
      <c r="AJ30" t="s">
        <v>674</v>
      </c>
      <c r="AK30" t="s">
        <v>674</v>
      </c>
      <c r="AL30" t="s">
        <v>846</v>
      </c>
      <c r="AM30" t="s">
        <v>674</v>
      </c>
      <c r="AN30" t="s">
        <v>674</v>
      </c>
      <c r="AO30" t="s">
        <v>674</v>
      </c>
      <c r="AP30" t="s">
        <v>674</v>
      </c>
      <c r="AQ30" t="s">
        <v>674</v>
      </c>
      <c r="AR30" t="s">
        <v>674</v>
      </c>
      <c r="AS30" t="s">
        <v>674</v>
      </c>
      <c r="AT30" t="s">
        <v>674</v>
      </c>
      <c r="AU30" t="s">
        <v>674</v>
      </c>
      <c r="AV30" t="s">
        <v>674</v>
      </c>
      <c r="AW30" t="s">
        <v>674</v>
      </c>
      <c r="AX30" t="s">
        <v>674</v>
      </c>
      <c r="AY30" t="s">
        <v>674</v>
      </c>
      <c r="AZ30" t="s">
        <v>674</v>
      </c>
      <c r="BA30" t="s">
        <v>674</v>
      </c>
      <c r="BB30" t="s">
        <v>674</v>
      </c>
      <c r="BC30" t="s">
        <v>674</v>
      </c>
      <c r="BD30" t="s">
        <v>674</v>
      </c>
      <c r="BE30" t="s">
        <v>674</v>
      </c>
      <c r="BF30" t="s">
        <v>674</v>
      </c>
      <c r="BG30" t="s">
        <v>674</v>
      </c>
      <c r="BH30" t="s">
        <v>674</v>
      </c>
      <c r="BI30" t="s">
        <v>674</v>
      </c>
      <c r="BJ30" t="s">
        <v>674</v>
      </c>
      <c r="BK30" t="s">
        <v>674</v>
      </c>
      <c r="BL30" t="s">
        <v>674</v>
      </c>
      <c r="BM30" t="s">
        <v>674</v>
      </c>
      <c r="BN30" t="s">
        <v>674</v>
      </c>
      <c r="BO30" t="s">
        <v>674</v>
      </c>
      <c r="BP30" t="s">
        <v>674</v>
      </c>
      <c r="BQ30" t="s">
        <v>674</v>
      </c>
      <c r="BR30" t="s">
        <v>674</v>
      </c>
      <c r="BS30" t="s">
        <v>674</v>
      </c>
      <c r="BT30" t="s">
        <v>674</v>
      </c>
      <c r="BU30" t="s">
        <v>674</v>
      </c>
      <c r="BV30" t="s">
        <v>674</v>
      </c>
      <c r="BW30" t="s">
        <v>674</v>
      </c>
      <c r="BX30" t="s">
        <v>674</v>
      </c>
      <c r="BY30" t="s">
        <v>674</v>
      </c>
      <c r="BZ30" t="s">
        <v>674</v>
      </c>
      <c r="CA30" t="s">
        <v>674</v>
      </c>
      <c r="CB30" t="s">
        <v>674</v>
      </c>
      <c r="CC30" t="s">
        <v>674</v>
      </c>
      <c r="CD30" t="s">
        <v>674</v>
      </c>
      <c r="CE30" t="s">
        <v>674</v>
      </c>
      <c r="CF30" t="s">
        <v>674</v>
      </c>
      <c r="CG30" t="s">
        <v>674</v>
      </c>
      <c r="CH30" t="s">
        <v>674</v>
      </c>
      <c r="CI30" t="s">
        <v>674</v>
      </c>
    </row>
    <row r="31" spans="1:87" x14ac:dyDescent="0.25">
      <c r="A31" t="s">
        <v>825</v>
      </c>
      <c r="B31" t="s">
        <v>126</v>
      </c>
      <c r="C31">
        <v>2008</v>
      </c>
      <c r="D31" t="s">
        <v>826</v>
      </c>
      <c r="E31" t="s">
        <v>827</v>
      </c>
      <c r="F31" t="s">
        <v>828</v>
      </c>
      <c r="G31" t="s">
        <v>829</v>
      </c>
      <c r="H31" t="s">
        <v>674</v>
      </c>
      <c r="I31" t="s">
        <v>830</v>
      </c>
      <c r="J31" t="s">
        <v>831</v>
      </c>
      <c r="K31" t="s">
        <v>832</v>
      </c>
      <c r="L31" t="s">
        <v>833</v>
      </c>
      <c r="M31" s="1">
        <v>46274.899965277778</v>
      </c>
      <c r="N31" s="1">
        <v>46274.899976851855</v>
      </c>
      <c r="O31" s="1">
        <v>46274.899965277778</v>
      </c>
      <c r="P31" t="s">
        <v>834</v>
      </c>
      <c r="Q31" t="s">
        <v>674</v>
      </c>
      <c r="T31" t="s">
        <v>674</v>
      </c>
      <c r="U31" t="s">
        <v>674</v>
      </c>
      <c r="V31" t="s">
        <v>674</v>
      </c>
      <c r="W31" t="s">
        <v>674</v>
      </c>
      <c r="X31" t="s">
        <v>674</v>
      </c>
      <c r="Y31" t="s">
        <v>674</v>
      </c>
      <c r="Z31" t="s">
        <v>674</v>
      </c>
      <c r="AA31" t="s">
        <v>133</v>
      </c>
      <c r="AB31" t="s">
        <v>835</v>
      </c>
      <c r="AC31" t="s">
        <v>97</v>
      </c>
      <c r="AD31" t="s">
        <v>674</v>
      </c>
      <c r="AE31" t="s">
        <v>674</v>
      </c>
      <c r="AF31" t="s">
        <v>674</v>
      </c>
      <c r="AG31" t="s">
        <v>674</v>
      </c>
      <c r="AH31" t="s">
        <v>99</v>
      </c>
      <c r="AJ31" t="s">
        <v>674</v>
      </c>
      <c r="AK31" t="s">
        <v>674</v>
      </c>
      <c r="AL31" t="s">
        <v>836</v>
      </c>
      <c r="AM31" t="s">
        <v>674</v>
      </c>
      <c r="AN31" t="s">
        <v>674</v>
      </c>
      <c r="AO31" t="s">
        <v>712</v>
      </c>
      <c r="AP31" t="s">
        <v>674</v>
      </c>
      <c r="AQ31" t="s">
        <v>674</v>
      </c>
      <c r="AR31" t="s">
        <v>674</v>
      </c>
      <c r="AS31" t="s">
        <v>674</v>
      </c>
      <c r="AT31" t="s">
        <v>674</v>
      </c>
      <c r="AU31" t="s">
        <v>674</v>
      </c>
      <c r="AV31" t="s">
        <v>674</v>
      </c>
      <c r="AW31" t="s">
        <v>674</v>
      </c>
      <c r="AX31" t="s">
        <v>674</v>
      </c>
      <c r="AY31" t="s">
        <v>674</v>
      </c>
      <c r="AZ31" t="s">
        <v>674</v>
      </c>
      <c r="BA31" t="s">
        <v>674</v>
      </c>
      <c r="BB31" t="s">
        <v>674</v>
      </c>
      <c r="BC31" t="s">
        <v>674</v>
      </c>
      <c r="BD31" t="s">
        <v>674</v>
      </c>
      <c r="BE31" t="s">
        <v>674</v>
      </c>
      <c r="BF31" t="s">
        <v>674</v>
      </c>
      <c r="BG31" t="s">
        <v>674</v>
      </c>
      <c r="BH31" t="s">
        <v>674</v>
      </c>
      <c r="BI31" t="s">
        <v>674</v>
      </c>
      <c r="BJ31" t="s">
        <v>674</v>
      </c>
      <c r="BK31" t="s">
        <v>674</v>
      </c>
      <c r="BL31" t="s">
        <v>674</v>
      </c>
      <c r="BM31" t="s">
        <v>674</v>
      </c>
      <c r="BN31" t="s">
        <v>674</v>
      </c>
      <c r="BO31" t="s">
        <v>674</v>
      </c>
      <c r="BP31" t="s">
        <v>674</v>
      </c>
      <c r="BQ31" t="s">
        <v>674</v>
      </c>
      <c r="BR31" t="s">
        <v>674</v>
      </c>
      <c r="BS31" t="s">
        <v>674</v>
      </c>
      <c r="BT31" t="s">
        <v>837</v>
      </c>
      <c r="BU31" t="s">
        <v>674</v>
      </c>
      <c r="BV31" t="s">
        <v>674</v>
      </c>
      <c r="BW31" t="s">
        <v>674</v>
      </c>
      <c r="BX31" t="s">
        <v>674</v>
      </c>
      <c r="BY31" t="s">
        <v>674</v>
      </c>
      <c r="BZ31" t="s">
        <v>674</v>
      </c>
      <c r="CA31" t="s">
        <v>674</v>
      </c>
      <c r="CB31" t="s">
        <v>674</v>
      </c>
      <c r="CC31" t="s">
        <v>674</v>
      </c>
      <c r="CD31" t="s">
        <v>674</v>
      </c>
      <c r="CE31" t="s">
        <v>674</v>
      </c>
      <c r="CF31" t="s">
        <v>674</v>
      </c>
      <c r="CG31" t="s">
        <v>674</v>
      </c>
      <c r="CH31" t="s">
        <v>674</v>
      </c>
      <c r="CI31" t="s">
        <v>674</v>
      </c>
    </row>
    <row r="32" spans="1:87" x14ac:dyDescent="0.25">
      <c r="A32" t="s">
        <v>812</v>
      </c>
      <c r="B32" t="s">
        <v>126</v>
      </c>
      <c r="C32">
        <v>2009</v>
      </c>
      <c r="D32" t="s">
        <v>813</v>
      </c>
      <c r="E32" t="s">
        <v>814</v>
      </c>
      <c r="F32" t="s">
        <v>815</v>
      </c>
      <c r="G32" t="s">
        <v>816</v>
      </c>
      <c r="H32" t="s">
        <v>674</v>
      </c>
      <c r="I32" t="s">
        <v>817</v>
      </c>
      <c r="J32" t="s">
        <v>818</v>
      </c>
      <c r="K32" t="s">
        <v>819</v>
      </c>
      <c r="L32" t="s">
        <v>820</v>
      </c>
      <c r="M32" s="1">
        <v>46274.899895833332</v>
      </c>
      <c r="N32" s="1">
        <v>46274.899918981479</v>
      </c>
      <c r="O32" s="1">
        <v>46274.899895833332</v>
      </c>
      <c r="P32" t="s">
        <v>821</v>
      </c>
      <c r="Q32" t="s">
        <v>674</v>
      </c>
      <c r="T32" t="s">
        <v>674</v>
      </c>
      <c r="U32" t="s">
        <v>674</v>
      </c>
      <c r="V32" t="s">
        <v>674</v>
      </c>
      <c r="W32" t="s">
        <v>674</v>
      </c>
      <c r="X32" t="s">
        <v>674</v>
      </c>
      <c r="Y32" t="s">
        <v>674</v>
      </c>
      <c r="Z32" t="s">
        <v>674</v>
      </c>
      <c r="AA32" t="s">
        <v>133</v>
      </c>
      <c r="AB32" t="s">
        <v>822</v>
      </c>
      <c r="AC32" t="s">
        <v>97</v>
      </c>
      <c r="AD32" t="s">
        <v>674</v>
      </c>
      <c r="AE32" t="s">
        <v>674</v>
      </c>
      <c r="AF32" t="s">
        <v>674</v>
      </c>
      <c r="AG32" t="s">
        <v>674</v>
      </c>
      <c r="AH32" t="s">
        <v>99</v>
      </c>
      <c r="AJ32" t="s">
        <v>674</v>
      </c>
      <c r="AK32" t="s">
        <v>674</v>
      </c>
      <c r="AL32" t="s">
        <v>823</v>
      </c>
      <c r="AM32" t="s">
        <v>674</v>
      </c>
      <c r="AN32" t="s">
        <v>674</v>
      </c>
      <c r="AO32" t="s">
        <v>712</v>
      </c>
      <c r="AP32" t="s">
        <v>674</v>
      </c>
      <c r="AQ32" t="s">
        <v>674</v>
      </c>
      <c r="AR32" t="s">
        <v>674</v>
      </c>
      <c r="AS32" t="s">
        <v>674</v>
      </c>
      <c r="AT32" t="s">
        <v>674</v>
      </c>
      <c r="AU32" t="s">
        <v>674</v>
      </c>
      <c r="AV32" t="s">
        <v>674</v>
      </c>
      <c r="AW32" t="s">
        <v>674</v>
      </c>
      <c r="AX32" t="s">
        <v>674</v>
      </c>
      <c r="AY32" t="s">
        <v>674</v>
      </c>
      <c r="AZ32" t="s">
        <v>674</v>
      </c>
      <c r="BA32" t="s">
        <v>674</v>
      </c>
      <c r="BB32" t="s">
        <v>674</v>
      </c>
      <c r="BC32" t="s">
        <v>674</v>
      </c>
      <c r="BD32" t="s">
        <v>674</v>
      </c>
      <c r="BE32" t="s">
        <v>674</v>
      </c>
      <c r="BF32" t="s">
        <v>674</v>
      </c>
      <c r="BG32" t="s">
        <v>674</v>
      </c>
      <c r="BH32" t="s">
        <v>674</v>
      </c>
      <c r="BI32" t="s">
        <v>674</v>
      </c>
      <c r="BJ32" t="s">
        <v>674</v>
      </c>
      <c r="BK32" t="s">
        <v>674</v>
      </c>
      <c r="BL32" t="s">
        <v>674</v>
      </c>
      <c r="BM32" t="s">
        <v>674</v>
      </c>
      <c r="BN32" t="s">
        <v>674</v>
      </c>
      <c r="BO32" t="s">
        <v>674</v>
      </c>
      <c r="BP32" t="s">
        <v>674</v>
      </c>
      <c r="BQ32" t="s">
        <v>674</v>
      </c>
      <c r="BR32" t="s">
        <v>674</v>
      </c>
      <c r="BS32" t="s">
        <v>674</v>
      </c>
      <c r="BT32" t="s">
        <v>824</v>
      </c>
      <c r="BU32" t="s">
        <v>674</v>
      </c>
      <c r="BV32" t="s">
        <v>674</v>
      </c>
      <c r="BW32" t="s">
        <v>674</v>
      </c>
      <c r="BX32" t="s">
        <v>674</v>
      </c>
      <c r="BY32" t="s">
        <v>674</v>
      </c>
      <c r="BZ32" t="s">
        <v>674</v>
      </c>
      <c r="CA32" t="s">
        <v>674</v>
      </c>
      <c r="CB32" t="s">
        <v>674</v>
      </c>
      <c r="CC32" t="s">
        <v>674</v>
      </c>
      <c r="CD32" t="s">
        <v>674</v>
      </c>
      <c r="CE32" t="s">
        <v>674</v>
      </c>
      <c r="CF32" t="s">
        <v>674</v>
      </c>
      <c r="CG32" t="s">
        <v>674</v>
      </c>
      <c r="CH32" t="s">
        <v>674</v>
      </c>
      <c r="CI32" t="s">
        <v>674</v>
      </c>
    </row>
    <row r="33" spans="1:87" x14ac:dyDescent="0.25">
      <c r="A33" t="s">
        <v>801</v>
      </c>
      <c r="B33" t="s">
        <v>126</v>
      </c>
      <c r="C33">
        <v>2012</v>
      </c>
      <c r="D33" t="s">
        <v>802</v>
      </c>
      <c r="E33" t="s">
        <v>803</v>
      </c>
      <c r="F33" t="s">
        <v>804</v>
      </c>
      <c r="G33" t="s">
        <v>805</v>
      </c>
      <c r="H33" t="s">
        <v>674</v>
      </c>
      <c r="I33" t="s">
        <v>806</v>
      </c>
      <c r="J33" t="s">
        <v>807</v>
      </c>
      <c r="K33" t="s">
        <v>808</v>
      </c>
      <c r="L33" t="s">
        <v>809</v>
      </c>
      <c r="M33" s="1">
        <v>46274.899837962963</v>
      </c>
      <c r="N33" s="1">
        <v>46274.89984953704</v>
      </c>
      <c r="O33" s="1">
        <v>46274.899837962963</v>
      </c>
      <c r="P33" t="s">
        <v>756</v>
      </c>
      <c r="Q33" t="s">
        <v>674</v>
      </c>
      <c r="T33" t="s">
        <v>674</v>
      </c>
      <c r="U33" t="s">
        <v>674</v>
      </c>
      <c r="V33" t="s">
        <v>674</v>
      </c>
      <c r="W33" t="s">
        <v>674</v>
      </c>
      <c r="X33" t="s">
        <v>674</v>
      </c>
      <c r="Y33" t="s">
        <v>674</v>
      </c>
      <c r="Z33" t="s">
        <v>674</v>
      </c>
      <c r="AA33" t="s">
        <v>133</v>
      </c>
      <c r="AB33" t="s">
        <v>810</v>
      </c>
      <c r="AC33" t="s">
        <v>97</v>
      </c>
      <c r="AD33" t="s">
        <v>135</v>
      </c>
      <c r="AE33" t="s">
        <v>674</v>
      </c>
      <c r="AF33" t="s">
        <v>674</v>
      </c>
      <c r="AG33" t="s">
        <v>674</v>
      </c>
      <c r="AH33" t="s">
        <v>99</v>
      </c>
      <c r="AJ33" t="s">
        <v>674</v>
      </c>
      <c r="AK33" t="s">
        <v>674</v>
      </c>
      <c r="AL33" t="s">
        <v>811</v>
      </c>
      <c r="AM33" t="s">
        <v>674</v>
      </c>
      <c r="AN33" t="s">
        <v>674</v>
      </c>
      <c r="AO33" t="s">
        <v>712</v>
      </c>
      <c r="AP33" t="s">
        <v>674</v>
      </c>
      <c r="AQ33" t="s">
        <v>674</v>
      </c>
      <c r="AR33" t="s">
        <v>674</v>
      </c>
      <c r="AS33" t="s">
        <v>674</v>
      </c>
      <c r="AT33" t="s">
        <v>674</v>
      </c>
      <c r="AU33" t="s">
        <v>674</v>
      </c>
      <c r="AV33" t="s">
        <v>674</v>
      </c>
      <c r="AW33" t="s">
        <v>674</v>
      </c>
      <c r="AX33" t="s">
        <v>674</v>
      </c>
      <c r="AY33" t="s">
        <v>674</v>
      </c>
      <c r="AZ33" t="s">
        <v>674</v>
      </c>
      <c r="BA33" t="s">
        <v>674</v>
      </c>
      <c r="BB33" t="s">
        <v>674</v>
      </c>
      <c r="BC33" t="s">
        <v>674</v>
      </c>
      <c r="BD33" t="s">
        <v>674</v>
      </c>
      <c r="BE33" t="s">
        <v>674</v>
      </c>
      <c r="BF33" t="s">
        <v>674</v>
      </c>
      <c r="BG33" t="s">
        <v>674</v>
      </c>
      <c r="BH33" t="s">
        <v>674</v>
      </c>
      <c r="BI33" t="s">
        <v>674</v>
      </c>
      <c r="BJ33" t="s">
        <v>674</v>
      </c>
      <c r="BK33" t="s">
        <v>674</v>
      </c>
      <c r="BL33" t="s">
        <v>674</v>
      </c>
      <c r="BM33" t="s">
        <v>674</v>
      </c>
      <c r="BN33" t="s">
        <v>674</v>
      </c>
      <c r="BO33" t="s">
        <v>674</v>
      </c>
      <c r="BP33" t="s">
        <v>674</v>
      </c>
      <c r="BQ33" t="s">
        <v>674</v>
      </c>
      <c r="BR33" t="s">
        <v>674</v>
      </c>
      <c r="BS33" t="s">
        <v>674</v>
      </c>
      <c r="BT33" t="s">
        <v>804</v>
      </c>
      <c r="BU33" t="s">
        <v>674</v>
      </c>
      <c r="BV33" t="s">
        <v>674</v>
      </c>
      <c r="BW33" t="s">
        <v>674</v>
      </c>
      <c r="BX33" t="s">
        <v>674</v>
      </c>
      <c r="BY33" t="s">
        <v>674</v>
      </c>
      <c r="BZ33" t="s">
        <v>674</v>
      </c>
      <c r="CA33" t="s">
        <v>674</v>
      </c>
      <c r="CB33" t="s">
        <v>674</v>
      </c>
      <c r="CC33" t="s">
        <v>674</v>
      </c>
      <c r="CD33" t="s">
        <v>674</v>
      </c>
      <c r="CE33" t="s">
        <v>674</v>
      </c>
      <c r="CF33" t="s">
        <v>674</v>
      </c>
      <c r="CG33" t="s">
        <v>674</v>
      </c>
      <c r="CH33" t="s">
        <v>674</v>
      </c>
      <c r="CI33" t="s">
        <v>674</v>
      </c>
    </row>
    <row r="34" spans="1:87" x14ac:dyDescent="0.25">
      <c r="A34" t="s">
        <v>793</v>
      </c>
      <c r="B34" t="s">
        <v>88</v>
      </c>
      <c r="C34">
        <v>2020</v>
      </c>
      <c r="D34" t="s">
        <v>794</v>
      </c>
      <c r="E34" t="s">
        <v>795</v>
      </c>
      <c r="F34" t="s">
        <v>115</v>
      </c>
      <c r="G34" t="s">
        <v>674</v>
      </c>
      <c r="H34" t="s">
        <v>116</v>
      </c>
      <c r="I34" t="s">
        <v>796</v>
      </c>
      <c r="J34" t="s">
        <v>797</v>
      </c>
      <c r="K34" t="s">
        <v>798</v>
      </c>
      <c r="L34" t="s">
        <v>194</v>
      </c>
      <c r="M34" s="1">
        <v>46274.899768518517</v>
      </c>
      <c r="N34" s="1">
        <v>46284.749814814815</v>
      </c>
      <c r="O34" s="1">
        <v>46274.899768518517</v>
      </c>
      <c r="P34" t="s">
        <v>799</v>
      </c>
      <c r="Q34" t="s">
        <v>674</v>
      </c>
      <c r="R34">
        <v>7</v>
      </c>
      <c r="S34">
        <v>67</v>
      </c>
      <c r="T34" t="s">
        <v>674</v>
      </c>
      <c r="U34" t="s">
        <v>121</v>
      </c>
      <c r="V34" t="s">
        <v>674</v>
      </c>
      <c r="W34" t="s">
        <v>674</v>
      </c>
      <c r="X34" t="s">
        <v>674</v>
      </c>
      <c r="Y34" t="s">
        <v>674</v>
      </c>
      <c r="Z34" t="s">
        <v>674</v>
      </c>
      <c r="AA34" t="s">
        <v>674</v>
      </c>
      <c r="AB34" t="s">
        <v>674</v>
      </c>
      <c r="AC34" t="s">
        <v>97</v>
      </c>
      <c r="AD34" t="s">
        <v>122</v>
      </c>
      <c r="AE34" t="s">
        <v>674</v>
      </c>
      <c r="AF34" t="s">
        <v>674</v>
      </c>
      <c r="AG34" t="s">
        <v>674</v>
      </c>
      <c r="AH34" t="s">
        <v>99</v>
      </c>
      <c r="AJ34" t="s">
        <v>674</v>
      </c>
      <c r="AK34" t="s">
        <v>674</v>
      </c>
      <c r="AL34" t="s">
        <v>800</v>
      </c>
      <c r="AM34" t="s">
        <v>674</v>
      </c>
      <c r="AN34" t="s">
        <v>674</v>
      </c>
      <c r="AO34" t="s">
        <v>674</v>
      </c>
      <c r="AP34" t="s">
        <v>674</v>
      </c>
      <c r="AQ34" t="s">
        <v>674</v>
      </c>
      <c r="AR34" t="s">
        <v>674</v>
      </c>
      <c r="AS34" t="s">
        <v>674</v>
      </c>
      <c r="AT34" t="s">
        <v>674</v>
      </c>
      <c r="AU34" t="s">
        <v>674</v>
      </c>
      <c r="AV34" t="s">
        <v>674</v>
      </c>
      <c r="AW34" t="s">
        <v>674</v>
      </c>
      <c r="AX34" t="s">
        <v>674</v>
      </c>
      <c r="AY34" t="s">
        <v>674</v>
      </c>
      <c r="AZ34" t="s">
        <v>674</v>
      </c>
      <c r="BA34" t="s">
        <v>674</v>
      </c>
      <c r="BB34" t="s">
        <v>674</v>
      </c>
      <c r="BC34" t="s">
        <v>674</v>
      </c>
      <c r="BD34" t="s">
        <v>674</v>
      </c>
      <c r="BE34" t="s">
        <v>674</v>
      </c>
      <c r="BF34" t="s">
        <v>674</v>
      </c>
      <c r="BG34" t="s">
        <v>674</v>
      </c>
      <c r="BH34" t="s">
        <v>674</v>
      </c>
      <c r="BI34" t="s">
        <v>674</v>
      </c>
      <c r="BJ34" t="s">
        <v>674</v>
      </c>
      <c r="BK34" t="s">
        <v>674</v>
      </c>
      <c r="BL34" t="s">
        <v>674</v>
      </c>
      <c r="BM34" t="s">
        <v>674</v>
      </c>
      <c r="BN34" t="s">
        <v>674</v>
      </c>
      <c r="BO34" t="s">
        <v>674</v>
      </c>
      <c r="BP34" t="s">
        <v>674</v>
      </c>
      <c r="BQ34" t="s">
        <v>674</v>
      </c>
      <c r="BR34" t="s">
        <v>674</v>
      </c>
      <c r="BS34" t="s">
        <v>674</v>
      </c>
      <c r="BT34" t="s">
        <v>674</v>
      </c>
      <c r="BU34" t="s">
        <v>674</v>
      </c>
      <c r="BV34" t="s">
        <v>674</v>
      </c>
      <c r="BW34" t="s">
        <v>674</v>
      </c>
      <c r="BX34" t="s">
        <v>674</v>
      </c>
      <c r="BY34" t="s">
        <v>674</v>
      </c>
      <c r="BZ34" t="s">
        <v>674</v>
      </c>
      <c r="CA34" t="s">
        <v>674</v>
      </c>
      <c r="CB34" t="s">
        <v>674</v>
      </c>
      <c r="CC34" t="s">
        <v>674</v>
      </c>
      <c r="CD34" t="s">
        <v>674</v>
      </c>
      <c r="CE34" t="s">
        <v>674</v>
      </c>
      <c r="CF34" t="s">
        <v>674</v>
      </c>
      <c r="CG34" t="s">
        <v>674</v>
      </c>
      <c r="CH34" t="s">
        <v>674</v>
      </c>
      <c r="CI34" t="s">
        <v>674</v>
      </c>
    </row>
    <row r="35" spans="1:87" x14ac:dyDescent="0.25">
      <c r="A35" t="s">
        <v>782</v>
      </c>
      <c r="B35" t="s">
        <v>126</v>
      </c>
      <c r="C35">
        <v>2015</v>
      </c>
      <c r="D35" t="s">
        <v>729</v>
      </c>
      <c r="E35" t="s">
        <v>783</v>
      </c>
      <c r="F35" t="s">
        <v>784</v>
      </c>
      <c r="G35" t="s">
        <v>674</v>
      </c>
      <c r="H35" t="s">
        <v>674</v>
      </c>
      <c r="I35" t="s">
        <v>785</v>
      </c>
      <c r="J35" t="s">
        <v>786</v>
      </c>
      <c r="K35" t="s">
        <v>787</v>
      </c>
      <c r="L35" t="s">
        <v>788</v>
      </c>
      <c r="M35" s="1">
        <v>46274.899699074071</v>
      </c>
      <c r="N35" s="1">
        <v>46283.838773148149</v>
      </c>
      <c r="O35" s="1">
        <v>46274.899699074071</v>
      </c>
      <c r="P35" t="s">
        <v>756</v>
      </c>
      <c r="Q35" t="s">
        <v>674</v>
      </c>
      <c r="T35" t="s">
        <v>674</v>
      </c>
      <c r="U35" t="s">
        <v>674</v>
      </c>
      <c r="V35" t="s">
        <v>674</v>
      </c>
      <c r="W35" t="s">
        <v>674</v>
      </c>
      <c r="X35" t="s">
        <v>674</v>
      </c>
      <c r="Y35" t="s">
        <v>674</v>
      </c>
      <c r="Z35" t="s">
        <v>674</v>
      </c>
      <c r="AA35" t="s">
        <v>674</v>
      </c>
      <c r="AB35" t="s">
        <v>674</v>
      </c>
      <c r="AC35" t="s">
        <v>674</v>
      </c>
      <c r="AD35" t="s">
        <v>674</v>
      </c>
      <c r="AE35" t="s">
        <v>674</v>
      </c>
      <c r="AF35" t="s">
        <v>674</v>
      </c>
      <c r="AG35" t="s">
        <v>674</v>
      </c>
      <c r="AH35" t="s">
        <v>789</v>
      </c>
      <c r="AJ35" t="s">
        <v>790</v>
      </c>
      <c r="AK35" t="s">
        <v>674</v>
      </c>
      <c r="AL35" t="s">
        <v>791</v>
      </c>
      <c r="AM35" t="s">
        <v>674</v>
      </c>
      <c r="AN35" t="s">
        <v>674</v>
      </c>
      <c r="AO35" t="s">
        <v>1082</v>
      </c>
      <c r="AP35" t="s">
        <v>674</v>
      </c>
      <c r="AQ35" t="s">
        <v>674</v>
      </c>
      <c r="AR35" t="s">
        <v>674</v>
      </c>
      <c r="AS35" t="s">
        <v>674</v>
      </c>
      <c r="AT35" t="s">
        <v>674</v>
      </c>
      <c r="AU35" t="s">
        <v>674</v>
      </c>
      <c r="AV35" t="s">
        <v>674</v>
      </c>
      <c r="AW35" t="s">
        <v>674</v>
      </c>
      <c r="AX35" t="s">
        <v>674</v>
      </c>
      <c r="AY35" t="s">
        <v>674</v>
      </c>
      <c r="AZ35" t="s">
        <v>674</v>
      </c>
      <c r="BA35" t="s">
        <v>674</v>
      </c>
      <c r="BB35" t="s">
        <v>674</v>
      </c>
      <c r="BC35" t="s">
        <v>674</v>
      </c>
      <c r="BD35" t="s">
        <v>674</v>
      </c>
      <c r="BE35" t="s">
        <v>674</v>
      </c>
      <c r="BF35" t="s">
        <v>674</v>
      </c>
      <c r="BG35" t="s">
        <v>674</v>
      </c>
      <c r="BH35" t="s">
        <v>674</v>
      </c>
      <c r="BI35" t="s">
        <v>674</v>
      </c>
      <c r="BJ35" t="s">
        <v>674</v>
      </c>
      <c r="BK35" t="s">
        <v>674</v>
      </c>
      <c r="BL35" t="s">
        <v>674</v>
      </c>
      <c r="BM35" t="s">
        <v>674</v>
      </c>
      <c r="BN35" t="s">
        <v>674</v>
      </c>
      <c r="BO35" t="s">
        <v>674</v>
      </c>
      <c r="BP35" t="s">
        <v>674</v>
      </c>
      <c r="BQ35" t="s">
        <v>674</v>
      </c>
      <c r="BR35" t="s">
        <v>674</v>
      </c>
      <c r="BS35" t="s">
        <v>674</v>
      </c>
      <c r="BT35" t="s">
        <v>674</v>
      </c>
      <c r="BU35" t="s">
        <v>674</v>
      </c>
      <c r="BV35" t="s">
        <v>674</v>
      </c>
      <c r="BW35" t="s">
        <v>674</v>
      </c>
      <c r="BX35" t="s">
        <v>674</v>
      </c>
      <c r="BY35" t="s">
        <v>674</v>
      </c>
      <c r="BZ35" t="s">
        <v>674</v>
      </c>
      <c r="CA35" t="s">
        <v>674</v>
      </c>
      <c r="CB35" t="s">
        <v>674</v>
      </c>
      <c r="CC35" t="s">
        <v>674</v>
      </c>
      <c r="CD35" t="s">
        <v>674</v>
      </c>
      <c r="CE35" t="s">
        <v>674</v>
      </c>
      <c r="CF35" t="s">
        <v>674</v>
      </c>
      <c r="CG35" t="s">
        <v>674</v>
      </c>
      <c r="CH35" t="s">
        <v>674</v>
      </c>
      <c r="CI35" t="s">
        <v>674</v>
      </c>
    </row>
    <row r="36" spans="1:87" x14ac:dyDescent="0.25">
      <c r="A36" t="s">
        <v>770</v>
      </c>
      <c r="B36" t="s">
        <v>126</v>
      </c>
      <c r="C36">
        <v>2009</v>
      </c>
      <c r="D36" t="s">
        <v>771</v>
      </c>
      <c r="E36" t="s">
        <v>772</v>
      </c>
      <c r="F36" t="s">
        <v>773</v>
      </c>
      <c r="G36" t="s">
        <v>774</v>
      </c>
      <c r="H36" t="s">
        <v>674</v>
      </c>
      <c r="I36" t="s">
        <v>775</v>
      </c>
      <c r="J36" t="s">
        <v>776</v>
      </c>
      <c r="K36" t="s">
        <v>777</v>
      </c>
      <c r="L36" t="s">
        <v>778</v>
      </c>
      <c r="M36" s="1">
        <v>46274.899421296293</v>
      </c>
      <c r="N36" s="1">
        <v>46284.910011574073</v>
      </c>
      <c r="O36" s="1">
        <v>46274.899421296293</v>
      </c>
      <c r="P36" t="s">
        <v>677</v>
      </c>
      <c r="Q36" t="s">
        <v>674</v>
      </c>
      <c r="T36" t="s">
        <v>674</v>
      </c>
      <c r="U36" t="s">
        <v>674</v>
      </c>
      <c r="V36" t="s">
        <v>674</v>
      </c>
      <c r="W36" t="s">
        <v>674</v>
      </c>
      <c r="X36" t="s">
        <v>674</v>
      </c>
      <c r="Y36" t="s">
        <v>674</v>
      </c>
      <c r="Z36" t="s">
        <v>674</v>
      </c>
      <c r="AA36" t="s">
        <v>133</v>
      </c>
      <c r="AB36" t="s">
        <v>779</v>
      </c>
      <c r="AC36" t="s">
        <v>97</v>
      </c>
      <c r="AD36" t="s">
        <v>674</v>
      </c>
      <c r="AE36" t="s">
        <v>674</v>
      </c>
      <c r="AF36" t="s">
        <v>674</v>
      </c>
      <c r="AG36" t="s">
        <v>674</v>
      </c>
      <c r="AH36" t="s">
        <v>99</v>
      </c>
      <c r="AJ36" t="s">
        <v>674</v>
      </c>
      <c r="AK36" t="s">
        <v>674</v>
      </c>
      <c r="AL36" t="s">
        <v>780</v>
      </c>
      <c r="AM36" t="s">
        <v>674</v>
      </c>
      <c r="AN36" t="s">
        <v>674</v>
      </c>
      <c r="AO36" t="s">
        <v>674</v>
      </c>
      <c r="AP36" t="s">
        <v>674</v>
      </c>
      <c r="AQ36" t="s">
        <v>674</v>
      </c>
      <c r="AR36" t="s">
        <v>674</v>
      </c>
      <c r="AS36" t="s">
        <v>674</v>
      </c>
      <c r="AT36" t="s">
        <v>674</v>
      </c>
      <c r="AU36" t="s">
        <v>674</v>
      </c>
      <c r="AV36" t="s">
        <v>674</v>
      </c>
      <c r="AW36" t="s">
        <v>674</v>
      </c>
      <c r="AX36" t="s">
        <v>674</v>
      </c>
      <c r="AY36" t="s">
        <v>674</v>
      </c>
      <c r="AZ36" t="s">
        <v>674</v>
      </c>
      <c r="BA36" t="s">
        <v>674</v>
      </c>
      <c r="BB36" t="s">
        <v>674</v>
      </c>
      <c r="BC36" t="s">
        <v>674</v>
      </c>
      <c r="BD36" t="s">
        <v>674</v>
      </c>
      <c r="BE36" t="s">
        <v>674</v>
      </c>
      <c r="BF36" t="s">
        <v>674</v>
      </c>
      <c r="BG36" t="s">
        <v>674</v>
      </c>
      <c r="BH36" t="s">
        <v>674</v>
      </c>
      <c r="BI36" t="s">
        <v>674</v>
      </c>
      <c r="BJ36" t="s">
        <v>674</v>
      </c>
      <c r="BK36" t="s">
        <v>674</v>
      </c>
      <c r="BL36" t="s">
        <v>674</v>
      </c>
      <c r="BM36" t="s">
        <v>674</v>
      </c>
      <c r="BN36" t="s">
        <v>674</v>
      </c>
      <c r="BO36" t="s">
        <v>674</v>
      </c>
      <c r="BP36" t="s">
        <v>674</v>
      </c>
      <c r="BQ36" t="s">
        <v>674</v>
      </c>
      <c r="BR36" t="s">
        <v>674</v>
      </c>
      <c r="BS36" t="s">
        <v>674</v>
      </c>
      <c r="BT36" t="s">
        <v>781</v>
      </c>
      <c r="BU36" t="s">
        <v>674</v>
      </c>
      <c r="BV36" t="s">
        <v>674</v>
      </c>
      <c r="BW36" t="s">
        <v>674</v>
      </c>
      <c r="BX36" t="s">
        <v>674</v>
      </c>
      <c r="BY36" t="s">
        <v>674</v>
      </c>
      <c r="BZ36" t="s">
        <v>674</v>
      </c>
      <c r="CA36" t="s">
        <v>674</v>
      </c>
      <c r="CB36" t="s">
        <v>674</v>
      </c>
      <c r="CC36" t="s">
        <v>674</v>
      </c>
      <c r="CD36" t="s">
        <v>674</v>
      </c>
      <c r="CE36" t="s">
        <v>674</v>
      </c>
      <c r="CF36" t="s">
        <v>674</v>
      </c>
      <c r="CG36" t="s">
        <v>674</v>
      </c>
      <c r="CH36" t="s">
        <v>674</v>
      </c>
      <c r="CI36" t="s">
        <v>674</v>
      </c>
    </row>
    <row r="37" spans="1:87" x14ac:dyDescent="0.25">
      <c r="A37" t="s">
        <v>759</v>
      </c>
      <c r="B37" t="s">
        <v>126</v>
      </c>
      <c r="C37">
        <v>2015</v>
      </c>
      <c r="D37" t="s">
        <v>729</v>
      </c>
      <c r="E37" t="s">
        <v>760</v>
      </c>
      <c r="F37" t="s">
        <v>761</v>
      </c>
      <c r="G37" t="s">
        <v>762</v>
      </c>
      <c r="H37" t="s">
        <v>674</v>
      </c>
      <c r="I37" t="s">
        <v>763</v>
      </c>
      <c r="J37" t="s">
        <v>764</v>
      </c>
      <c r="K37" t="s">
        <v>765</v>
      </c>
      <c r="L37" t="s">
        <v>766</v>
      </c>
      <c r="M37" s="1">
        <v>46274.899305555555</v>
      </c>
      <c r="N37" s="1">
        <v>46283.843634259261</v>
      </c>
      <c r="O37" s="1">
        <v>46274.899305555555</v>
      </c>
      <c r="P37" t="s">
        <v>767</v>
      </c>
      <c r="Q37" t="s">
        <v>674</v>
      </c>
      <c r="T37" t="s">
        <v>674</v>
      </c>
      <c r="U37" t="s">
        <v>674</v>
      </c>
      <c r="V37" t="s">
        <v>674</v>
      </c>
      <c r="W37" t="s">
        <v>674</v>
      </c>
      <c r="X37" t="s">
        <v>674</v>
      </c>
      <c r="Y37" t="s">
        <v>674</v>
      </c>
      <c r="Z37" t="s">
        <v>674</v>
      </c>
      <c r="AA37" t="s">
        <v>133</v>
      </c>
      <c r="AB37" t="s">
        <v>768</v>
      </c>
      <c r="AC37" t="s">
        <v>97</v>
      </c>
      <c r="AD37" t="s">
        <v>674</v>
      </c>
      <c r="AE37" t="s">
        <v>674</v>
      </c>
      <c r="AF37" t="s">
        <v>674</v>
      </c>
      <c r="AG37" t="s">
        <v>674</v>
      </c>
      <c r="AH37" t="s">
        <v>99</v>
      </c>
      <c r="AJ37" t="s">
        <v>674</v>
      </c>
      <c r="AK37" t="s">
        <v>674</v>
      </c>
      <c r="AL37" t="s">
        <v>769</v>
      </c>
      <c r="AM37" t="s">
        <v>674</v>
      </c>
      <c r="AN37" t="s">
        <v>674</v>
      </c>
      <c r="AO37" t="s">
        <v>674</v>
      </c>
      <c r="AP37" t="s">
        <v>674</v>
      </c>
      <c r="AQ37" t="s">
        <v>674</v>
      </c>
      <c r="AR37" t="s">
        <v>674</v>
      </c>
      <c r="AS37" t="s">
        <v>674</v>
      </c>
      <c r="AT37" t="s">
        <v>674</v>
      </c>
      <c r="AU37" t="s">
        <v>674</v>
      </c>
      <c r="AV37" t="s">
        <v>674</v>
      </c>
      <c r="AW37" t="s">
        <v>674</v>
      </c>
      <c r="AX37" t="s">
        <v>674</v>
      </c>
      <c r="AY37" t="s">
        <v>674</v>
      </c>
      <c r="AZ37" t="s">
        <v>674</v>
      </c>
      <c r="BA37" t="s">
        <v>674</v>
      </c>
      <c r="BB37" t="s">
        <v>674</v>
      </c>
      <c r="BC37" t="s">
        <v>674</v>
      </c>
      <c r="BD37" t="s">
        <v>674</v>
      </c>
      <c r="BE37" t="s">
        <v>674</v>
      </c>
      <c r="BF37" t="s">
        <v>674</v>
      </c>
      <c r="BG37" t="s">
        <v>674</v>
      </c>
      <c r="BH37" t="s">
        <v>674</v>
      </c>
      <c r="BI37" t="s">
        <v>674</v>
      </c>
      <c r="BJ37" t="s">
        <v>674</v>
      </c>
      <c r="BK37" t="s">
        <v>674</v>
      </c>
      <c r="BL37" t="s">
        <v>674</v>
      </c>
      <c r="BM37" t="s">
        <v>674</v>
      </c>
      <c r="BN37" t="s">
        <v>674</v>
      </c>
      <c r="BO37" t="s">
        <v>674</v>
      </c>
      <c r="BP37" t="s">
        <v>674</v>
      </c>
      <c r="BQ37" t="s">
        <v>674</v>
      </c>
      <c r="BR37" t="s">
        <v>674</v>
      </c>
      <c r="BS37" t="s">
        <v>674</v>
      </c>
      <c r="BT37" t="s">
        <v>761</v>
      </c>
      <c r="BU37" t="s">
        <v>674</v>
      </c>
      <c r="BV37" t="s">
        <v>674</v>
      </c>
      <c r="BW37" t="s">
        <v>674</v>
      </c>
      <c r="BX37" t="s">
        <v>674</v>
      </c>
      <c r="BY37" t="s">
        <v>674</v>
      </c>
      <c r="BZ37" t="s">
        <v>674</v>
      </c>
      <c r="CA37" t="s">
        <v>674</v>
      </c>
      <c r="CB37" t="s">
        <v>674</v>
      </c>
      <c r="CC37" t="s">
        <v>674</v>
      </c>
      <c r="CD37" t="s">
        <v>674</v>
      </c>
      <c r="CE37" t="s">
        <v>674</v>
      </c>
      <c r="CF37" t="s">
        <v>674</v>
      </c>
      <c r="CG37" t="s">
        <v>674</v>
      </c>
      <c r="CH37" t="s">
        <v>674</v>
      </c>
      <c r="CI37" t="s">
        <v>674</v>
      </c>
    </row>
    <row r="38" spans="1:87" x14ac:dyDescent="0.25">
      <c r="A38" t="s">
        <v>747</v>
      </c>
      <c r="B38" t="s">
        <v>126</v>
      </c>
      <c r="C38">
        <v>2023</v>
      </c>
      <c r="D38" t="s">
        <v>748</v>
      </c>
      <c r="E38" t="s">
        <v>749</v>
      </c>
      <c r="F38" t="s">
        <v>750</v>
      </c>
      <c r="G38" t="s">
        <v>751</v>
      </c>
      <c r="H38" t="s">
        <v>674</v>
      </c>
      <c r="I38" t="s">
        <v>752</v>
      </c>
      <c r="J38" t="s">
        <v>753</v>
      </c>
      <c r="K38" t="s">
        <v>754</v>
      </c>
      <c r="L38" t="s">
        <v>755</v>
      </c>
      <c r="M38" s="1">
        <v>46274.899201388886</v>
      </c>
      <c r="N38" s="1">
        <v>46281.522916666669</v>
      </c>
      <c r="O38" s="1">
        <v>46274.899201388886</v>
      </c>
      <c r="P38" t="s">
        <v>756</v>
      </c>
      <c r="Q38" t="s">
        <v>674</v>
      </c>
      <c r="T38" t="s">
        <v>674</v>
      </c>
      <c r="U38" t="s">
        <v>674</v>
      </c>
      <c r="V38" t="s">
        <v>674</v>
      </c>
      <c r="W38" t="s">
        <v>674</v>
      </c>
      <c r="X38" t="s">
        <v>674</v>
      </c>
      <c r="Y38" t="s">
        <v>674</v>
      </c>
      <c r="Z38" t="s">
        <v>674</v>
      </c>
      <c r="AA38" t="s">
        <v>133</v>
      </c>
      <c r="AB38" t="s">
        <v>757</v>
      </c>
      <c r="AC38" t="s">
        <v>97</v>
      </c>
      <c r="AD38" t="s">
        <v>135</v>
      </c>
      <c r="AE38" t="s">
        <v>674</v>
      </c>
      <c r="AF38" t="s">
        <v>674</v>
      </c>
      <c r="AG38" t="s">
        <v>674</v>
      </c>
      <c r="AH38" t="s">
        <v>99</v>
      </c>
      <c r="AJ38" t="s">
        <v>674</v>
      </c>
      <c r="AK38" t="s">
        <v>674</v>
      </c>
      <c r="AL38" t="s">
        <v>758</v>
      </c>
      <c r="AM38" t="s">
        <v>674</v>
      </c>
      <c r="AN38" t="s">
        <v>674</v>
      </c>
      <c r="AO38" t="s">
        <v>674</v>
      </c>
      <c r="AP38" t="s">
        <v>674</v>
      </c>
      <c r="AQ38" t="s">
        <v>674</v>
      </c>
      <c r="AR38" t="s">
        <v>674</v>
      </c>
      <c r="AS38" t="s">
        <v>674</v>
      </c>
      <c r="AT38" t="s">
        <v>674</v>
      </c>
      <c r="AU38" t="s">
        <v>674</v>
      </c>
      <c r="AV38" t="s">
        <v>674</v>
      </c>
      <c r="AW38" t="s">
        <v>674</v>
      </c>
      <c r="AX38" t="s">
        <v>674</v>
      </c>
      <c r="AY38" t="s">
        <v>674</v>
      </c>
      <c r="AZ38" t="s">
        <v>674</v>
      </c>
      <c r="BA38" t="s">
        <v>674</v>
      </c>
      <c r="BB38" t="s">
        <v>674</v>
      </c>
      <c r="BC38" t="s">
        <v>674</v>
      </c>
      <c r="BD38" t="s">
        <v>674</v>
      </c>
      <c r="BE38" t="s">
        <v>674</v>
      </c>
      <c r="BF38" t="s">
        <v>674</v>
      </c>
      <c r="BG38" t="s">
        <v>674</v>
      </c>
      <c r="BH38" t="s">
        <v>674</v>
      </c>
      <c r="BI38" t="s">
        <v>674</v>
      </c>
      <c r="BJ38" t="s">
        <v>674</v>
      </c>
      <c r="BK38" t="s">
        <v>674</v>
      </c>
      <c r="BL38" t="s">
        <v>674</v>
      </c>
      <c r="BM38" t="s">
        <v>674</v>
      </c>
      <c r="BN38" t="s">
        <v>674</v>
      </c>
      <c r="BO38" t="s">
        <v>674</v>
      </c>
      <c r="BP38" t="s">
        <v>674</v>
      </c>
      <c r="BQ38" t="s">
        <v>674</v>
      </c>
      <c r="BR38" t="s">
        <v>674</v>
      </c>
      <c r="BS38" t="s">
        <v>674</v>
      </c>
      <c r="BT38" t="s">
        <v>750</v>
      </c>
      <c r="BU38" t="s">
        <v>674</v>
      </c>
      <c r="BV38" t="s">
        <v>674</v>
      </c>
      <c r="BW38" t="s">
        <v>674</v>
      </c>
      <c r="BX38" t="s">
        <v>674</v>
      </c>
      <c r="BY38" t="s">
        <v>674</v>
      </c>
      <c r="BZ38" t="s">
        <v>674</v>
      </c>
      <c r="CA38" t="s">
        <v>674</v>
      </c>
      <c r="CB38" t="s">
        <v>674</v>
      </c>
      <c r="CC38" t="s">
        <v>674</v>
      </c>
      <c r="CD38" t="s">
        <v>674</v>
      </c>
      <c r="CE38" t="s">
        <v>674</v>
      </c>
      <c r="CF38" t="s">
        <v>674</v>
      </c>
      <c r="CG38" t="s">
        <v>674</v>
      </c>
      <c r="CH38" t="s">
        <v>674</v>
      </c>
      <c r="CI38" t="s">
        <v>674</v>
      </c>
    </row>
    <row r="39" spans="1:87" x14ac:dyDescent="0.25">
      <c r="A39" t="s">
        <v>737</v>
      </c>
      <c r="B39" t="s">
        <v>88</v>
      </c>
      <c r="C39">
        <v>2025</v>
      </c>
      <c r="D39" t="s">
        <v>738</v>
      </c>
      <c r="E39" t="s">
        <v>739</v>
      </c>
      <c r="F39" t="s">
        <v>499</v>
      </c>
      <c r="G39" t="s">
        <v>674</v>
      </c>
      <c r="H39" t="s">
        <v>500</v>
      </c>
      <c r="I39" t="s">
        <v>740</v>
      </c>
      <c r="J39" t="s">
        <v>741</v>
      </c>
      <c r="K39" t="s">
        <v>742</v>
      </c>
      <c r="L39" t="s">
        <v>743</v>
      </c>
      <c r="M39" s="1">
        <v>46274.899074074077</v>
      </c>
      <c r="N39" s="1">
        <v>46281.523460648146</v>
      </c>
      <c r="O39" s="1">
        <v>46274.899074074077</v>
      </c>
      <c r="P39" t="s">
        <v>744</v>
      </c>
      <c r="Q39" t="s">
        <v>674</v>
      </c>
      <c r="R39">
        <v>12</v>
      </c>
      <c r="S39">
        <v>40</v>
      </c>
      <c r="T39" t="s">
        <v>674</v>
      </c>
      <c r="U39" t="s">
        <v>505</v>
      </c>
      <c r="V39" t="s">
        <v>745</v>
      </c>
      <c r="W39" t="s">
        <v>674</v>
      </c>
      <c r="X39" t="s">
        <v>674</v>
      </c>
      <c r="Y39" t="s">
        <v>674</v>
      </c>
      <c r="Z39" t="s">
        <v>674</v>
      </c>
      <c r="AA39" t="s">
        <v>674</v>
      </c>
      <c r="AB39" t="s">
        <v>674</v>
      </c>
      <c r="AC39" t="s">
        <v>97</v>
      </c>
      <c r="AD39" t="s">
        <v>122</v>
      </c>
      <c r="AE39" t="s">
        <v>674</v>
      </c>
      <c r="AF39" t="s">
        <v>674</v>
      </c>
      <c r="AG39" t="s">
        <v>674</v>
      </c>
      <c r="AH39" t="s">
        <v>99</v>
      </c>
      <c r="AJ39" t="s">
        <v>674</v>
      </c>
      <c r="AK39" t="s">
        <v>674</v>
      </c>
      <c r="AL39" t="s">
        <v>746</v>
      </c>
      <c r="AM39" t="s">
        <v>674</v>
      </c>
      <c r="AN39" t="s">
        <v>674</v>
      </c>
      <c r="AO39" t="s">
        <v>674</v>
      </c>
      <c r="AP39" t="s">
        <v>674</v>
      </c>
      <c r="AQ39" t="s">
        <v>674</v>
      </c>
      <c r="AR39" t="s">
        <v>674</v>
      </c>
      <c r="AS39" t="s">
        <v>674</v>
      </c>
      <c r="AT39" t="s">
        <v>674</v>
      </c>
      <c r="AU39" t="s">
        <v>674</v>
      </c>
      <c r="AV39" t="s">
        <v>674</v>
      </c>
      <c r="AW39" t="s">
        <v>674</v>
      </c>
      <c r="AX39" t="s">
        <v>674</v>
      </c>
      <c r="AY39" t="s">
        <v>674</v>
      </c>
      <c r="AZ39" t="s">
        <v>674</v>
      </c>
      <c r="BA39" t="s">
        <v>674</v>
      </c>
      <c r="BB39" t="s">
        <v>674</v>
      </c>
      <c r="BC39" t="s">
        <v>674</v>
      </c>
      <c r="BD39" t="s">
        <v>674</v>
      </c>
      <c r="BE39" t="s">
        <v>674</v>
      </c>
      <c r="BF39" t="s">
        <v>674</v>
      </c>
      <c r="BG39" t="s">
        <v>674</v>
      </c>
      <c r="BH39" t="s">
        <v>674</v>
      </c>
      <c r="BI39" t="s">
        <v>674</v>
      </c>
      <c r="BJ39" t="s">
        <v>674</v>
      </c>
      <c r="BK39" t="s">
        <v>674</v>
      </c>
      <c r="BL39" t="s">
        <v>674</v>
      </c>
      <c r="BM39" t="s">
        <v>674</v>
      </c>
      <c r="BN39" t="s">
        <v>674</v>
      </c>
      <c r="BO39" t="s">
        <v>674</v>
      </c>
      <c r="BP39" t="s">
        <v>674</v>
      </c>
      <c r="BQ39" t="s">
        <v>674</v>
      </c>
      <c r="BR39" t="s">
        <v>674</v>
      </c>
      <c r="BS39" t="s">
        <v>674</v>
      </c>
      <c r="BT39" t="s">
        <v>674</v>
      </c>
      <c r="BU39" t="s">
        <v>674</v>
      </c>
      <c r="BV39" t="s">
        <v>674</v>
      </c>
      <c r="BW39" t="s">
        <v>674</v>
      </c>
      <c r="BX39" t="s">
        <v>674</v>
      </c>
      <c r="BY39" t="s">
        <v>674</v>
      </c>
      <c r="BZ39" t="s">
        <v>674</v>
      </c>
      <c r="CA39" t="s">
        <v>674</v>
      </c>
      <c r="CB39" t="s">
        <v>674</v>
      </c>
      <c r="CC39" t="s">
        <v>674</v>
      </c>
      <c r="CD39" t="s">
        <v>674</v>
      </c>
      <c r="CE39" t="s">
        <v>674</v>
      </c>
      <c r="CF39" t="s">
        <v>674</v>
      </c>
      <c r="CG39" t="s">
        <v>674</v>
      </c>
      <c r="CH39" t="s">
        <v>674</v>
      </c>
      <c r="CI39" t="s">
        <v>674</v>
      </c>
    </row>
    <row r="40" spans="1:87" x14ac:dyDescent="0.25">
      <c r="A40" t="s">
        <v>728</v>
      </c>
      <c r="B40" t="s">
        <v>88</v>
      </c>
      <c r="C40">
        <v>2015</v>
      </c>
      <c r="D40" t="s">
        <v>729</v>
      </c>
      <c r="E40" t="s">
        <v>730</v>
      </c>
      <c r="F40" t="s">
        <v>115</v>
      </c>
      <c r="G40" t="s">
        <v>674</v>
      </c>
      <c r="H40" t="s">
        <v>116</v>
      </c>
      <c r="I40" t="s">
        <v>731</v>
      </c>
      <c r="J40" t="s">
        <v>732</v>
      </c>
      <c r="K40" t="s">
        <v>733</v>
      </c>
      <c r="L40" t="s">
        <v>734</v>
      </c>
      <c r="M40" s="1">
        <v>46274.898888888885</v>
      </c>
      <c r="N40" s="1">
        <v>46283.837534722225</v>
      </c>
      <c r="O40" s="1">
        <v>46274.898888888885</v>
      </c>
      <c r="P40" t="s">
        <v>735</v>
      </c>
      <c r="Q40" t="s">
        <v>674</v>
      </c>
      <c r="R40">
        <v>11</v>
      </c>
      <c r="S40">
        <v>62</v>
      </c>
      <c r="T40" t="s">
        <v>674</v>
      </c>
      <c r="U40" t="s">
        <v>121</v>
      </c>
      <c r="V40" t="s">
        <v>674</v>
      </c>
      <c r="W40" t="s">
        <v>674</v>
      </c>
      <c r="X40" t="s">
        <v>674</v>
      </c>
      <c r="Y40" t="s">
        <v>674</v>
      </c>
      <c r="Z40" t="s">
        <v>674</v>
      </c>
      <c r="AA40" t="s">
        <v>674</v>
      </c>
      <c r="AB40" t="s">
        <v>674</v>
      </c>
      <c r="AC40" t="s">
        <v>97</v>
      </c>
      <c r="AD40" t="s">
        <v>122</v>
      </c>
      <c r="AE40" t="s">
        <v>674</v>
      </c>
      <c r="AF40" t="s">
        <v>674</v>
      </c>
      <c r="AG40" t="s">
        <v>674</v>
      </c>
      <c r="AH40" t="s">
        <v>99</v>
      </c>
      <c r="AJ40" t="s">
        <v>674</v>
      </c>
      <c r="AK40" t="s">
        <v>674</v>
      </c>
      <c r="AL40" t="s">
        <v>736</v>
      </c>
      <c r="AM40" t="s">
        <v>674</v>
      </c>
      <c r="AN40" t="s">
        <v>674</v>
      </c>
      <c r="AO40" t="s">
        <v>674</v>
      </c>
      <c r="AP40" t="s">
        <v>674</v>
      </c>
      <c r="AQ40" t="s">
        <v>674</v>
      </c>
      <c r="AR40" t="s">
        <v>674</v>
      </c>
      <c r="AS40" t="s">
        <v>674</v>
      </c>
      <c r="AT40" t="s">
        <v>674</v>
      </c>
      <c r="AU40" t="s">
        <v>674</v>
      </c>
      <c r="AV40" t="s">
        <v>674</v>
      </c>
      <c r="AW40" t="s">
        <v>674</v>
      </c>
      <c r="AX40" t="s">
        <v>674</v>
      </c>
      <c r="AY40" t="s">
        <v>674</v>
      </c>
      <c r="AZ40" t="s">
        <v>674</v>
      </c>
      <c r="BA40" t="s">
        <v>674</v>
      </c>
      <c r="BB40" t="s">
        <v>674</v>
      </c>
      <c r="BC40" t="s">
        <v>674</v>
      </c>
      <c r="BD40" t="s">
        <v>674</v>
      </c>
      <c r="BE40" t="s">
        <v>674</v>
      </c>
      <c r="BF40" t="s">
        <v>674</v>
      </c>
      <c r="BG40" t="s">
        <v>674</v>
      </c>
      <c r="BH40" t="s">
        <v>674</v>
      </c>
      <c r="BI40" t="s">
        <v>674</v>
      </c>
      <c r="BJ40" t="s">
        <v>674</v>
      </c>
      <c r="BK40" t="s">
        <v>674</v>
      </c>
      <c r="BL40" t="s">
        <v>674</v>
      </c>
      <c r="BM40" t="s">
        <v>674</v>
      </c>
      <c r="BN40" t="s">
        <v>674</v>
      </c>
      <c r="BO40" t="s">
        <v>674</v>
      </c>
      <c r="BP40" t="s">
        <v>674</v>
      </c>
      <c r="BQ40" t="s">
        <v>674</v>
      </c>
      <c r="BR40" t="s">
        <v>674</v>
      </c>
      <c r="BS40" t="s">
        <v>674</v>
      </c>
      <c r="BT40" t="s">
        <v>674</v>
      </c>
      <c r="BU40" t="s">
        <v>674</v>
      </c>
      <c r="BV40" t="s">
        <v>674</v>
      </c>
      <c r="BW40" t="s">
        <v>674</v>
      </c>
      <c r="BX40" t="s">
        <v>674</v>
      </c>
      <c r="BY40" t="s">
        <v>674</v>
      </c>
      <c r="BZ40" t="s">
        <v>674</v>
      </c>
      <c r="CA40" t="s">
        <v>674</v>
      </c>
      <c r="CB40" t="s">
        <v>674</v>
      </c>
      <c r="CC40" t="s">
        <v>674</v>
      </c>
      <c r="CD40" t="s">
        <v>674</v>
      </c>
      <c r="CE40" t="s">
        <v>674</v>
      </c>
      <c r="CF40" t="s">
        <v>674</v>
      </c>
      <c r="CG40" t="s">
        <v>674</v>
      </c>
      <c r="CH40" t="s">
        <v>674</v>
      </c>
      <c r="CI40" t="s">
        <v>674</v>
      </c>
    </row>
    <row r="41" spans="1:87" x14ac:dyDescent="0.25">
      <c r="A41" t="s">
        <v>715</v>
      </c>
      <c r="B41" t="s">
        <v>88</v>
      </c>
      <c r="C41">
        <v>2025</v>
      </c>
      <c r="D41" t="s">
        <v>716</v>
      </c>
      <c r="E41" t="s">
        <v>717</v>
      </c>
      <c r="F41" t="s">
        <v>674</v>
      </c>
      <c r="G41" t="s">
        <v>674</v>
      </c>
      <c r="H41" t="s">
        <v>718</v>
      </c>
      <c r="I41" t="s">
        <v>719</v>
      </c>
      <c r="J41" t="s">
        <v>720</v>
      </c>
      <c r="K41" t="s">
        <v>721</v>
      </c>
      <c r="L41" t="s">
        <v>722</v>
      </c>
      <c r="M41" s="1">
        <v>46274.898217592592</v>
      </c>
      <c r="N41" s="1">
        <v>46283.840312499997</v>
      </c>
      <c r="O41" s="1">
        <v>46274.898217592592</v>
      </c>
      <c r="P41" t="s">
        <v>674</v>
      </c>
      <c r="Q41" t="s">
        <v>674</v>
      </c>
      <c r="T41" t="s">
        <v>674</v>
      </c>
      <c r="U41" t="s">
        <v>674</v>
      </c>
      <c r="V41" t="s">
        <v>674</v>
      </c>
      <c r="W41" t="s">
        <v>674</v>
      </c>
      <c r="X41" t="s">
        <v>674</v>
      </c>
      <c r="Y41" t="s">
        <v>674</v>
      </c>
      <c r="Z41" t="s">
        <v>674</v>
      </c>
      <c r="AA41" t="s">
        <v>723</v>
      </c>
      <c r="AB41" t="s">
        <v>674</v>
      </c>
      <c r="AC41" t="s">
        <v>97</v>
      </c>
      <c r="AD41" t="s">
        <v>724</v>
      </c>
      <c r="AE41" t="s">
        <v>674</v>
      </c>
      <c r="AF41" t="s">
        <v>674</v>
      </c>
      <c r="AG41" t="s">
        <v>674</v>
      </c>
      <c r="AH41" t="s">
        <v>725</v>
      </c>
      <c r="AJ41" t="s">
        <v>674</v>
      </c>
      <c r="AK41" t="s">
        <v>674</v>
      </c>
      <c r="AL41" t="s">
        <v>726</v>
      </c>
      <c r="AM41" t="s">
        <v>674</v>
      </c>
      <c r="AN41" t="s">
        <v>674</v>
      </c>
      <c r="AO41" t="s">
        <v>1081</v>
      </c>
      <c r="AP41" t="s">
        <v>674</v>
      </c>
      <c r="AQ41" t="s">
        <v>674</v>
      </c>
      <c r="AR41" t="s">
        <v>674</v>
      </c>
      <c r="AS41" t="s">
        <v>674</v>
      </c>
      <c r="AT41" t="s">
        <v>674</v>
      </c>
      <c r="AU41" t="s">
        <v>674</v>
      </c>
      <c r="AV41" t="s">
        <v>674</v>
      </c>
      <c r="AW41" t="s">
        <v>674</v>
      </c>
      <c r="AX41" t="s">
        <v>674</v>
      </c>
      <c r="AY41" t="s">
        <v>674</v>
      </c>
      <c r="AZ41" t="s">
        <v>674</v>
      </c>
      <c r="BA41" t="s">
        <v>674</v>
      </c>
      <c r="BB41" t="s">
        <v>674</v>
      </c>
      <c r="BC41" t="s">
        <v>674</v>
      </c>
      <c r="BD41" t="s">
        <v>674</v>
      </c>
      <c r="BE41" t="s">
        <v>674</v>
      </c>
      <c r="BF41" t="s">
        <v>674</v>
      </c>
      <c r="BG41" t="s">
        <v>674</v>
      </c>
      <c r="BH41" t="s">
        <v>674</v>
      </c>
      <c r="BI41" t="s">
        <v>674</v>
      </c>
      <c r="BJ41" t="s">
        <v>674</v>
      </c>
      <c r="BK41" t="s">
        <v>674</v>
      </c>
      <c r="BL41" t="s">
        <v>674</v>
      </c>
      <c r="BM41" t="s">
        <v>674</v>
      </c>
      <c r="BN41" t="s">
        <v>674</v>
      </c>
      <c r="BO41" t="s">
        <v>674</v>
      </c>
      <c r="BP41" t="s">
        <v>674</v>
      </c>
      <c r="BQ41" t="s">
        <v>674</v>
      </c>
      <c r="BR41" t="s">
        <v>674</v>
      </c>
      <c r="BS41" t="s">
        <v>674</v>
      </c>
      <c r="BT41" t="s">
        <v>674</v>
      </c>
      <c r="BU41" t="s">
        <v>674</v>
      </c>
      <c r="BV41" t="s">
        <v>674</v>
      </c>
      <c r="BW41" t="s">
        <v>674</v>
      </c>
      <c r="BX41" t="s">
        <v>674</v>
      </c>
      <c r="BY41" t="s">
        <v>674</v>
      </c>
      <c r="BZ41" t="s">
        <v>674</v>
      </c>
      <c r="CA41" t="s">
        <v>674</v>
      </c>
      <c r="CB41" t="s">
        <v>674</v>
      </c>
      <c r="CC41" t="s">
        <v>674</v>
      </c>
      <c r="CD41" t="s">
        <v>674</v>
      </c>
      <c r="CE41" t="s">
        <v>674</v>
      </c>
      <c r="CF41" t="s">
        <v>674</v>
      </c>
      <c r="CG41" t="s">
        <v>674</v>
      </c>
      <c r="CH41" t="s">
        <v>674</v>
      </c>
      <c r="CI41" t="s">
        <v>674</v>
      </c>
    </row>
    <row r="42" spans="1:87" x14ac:dyDescent="0.25">
      <c r="A42" t="s">
        <v>713</v>
      </c>
      <c r="B42" t="s">
        <v>88</v>
      </c>
      <c r="D42" t="s">
        <v>406</v>
      </c>
      <c r="E42" t="s">
        <v>407</v>
      </c>
      <c r="F42" t="s">
        <v>674</v>
      </c>
      <c r="G42" t="s">
        <v>674</v>
      </c>
      <c r="H42" t="s">
        <v>674</v>
      </c>
      <c r="I42" t="s">
        <v>674</v>
      </c>
      <c r="J42" t="s">
        <v>674</v>
      </c>
      <c r="K42" t="s">
        <v>408</v>
      </c>
      <c r="L42" t="s">
        <v>674</v>
      </c>
      <c r="M42" s="1">
        <v>46274.897893518515</v>
      </c>
      <c r="N42" s="1">
        <v>46285.721597222226</v>
      </c>
      <c r="O42" s="1"/>
      <c r="P42" t="s">
        <v>674</v>
      </c>
      <c r="Q42" t="s">
        <v>674</v>
      </c>
      <c r="T42" t="s">
        <v>674</v>
      </c>
      <c r="U42" t="s">
        <v>674</v>
      </c>
      <c r="V42" t="s">
        <v>674</v>
      </c>
      <c r="W42" t="s">
        <v>674</v>
      </c>
      <c r="X42" t="s">
        <v>674</v>
      </c>
      <c r="Y42" t="s">
        <v>674</v>
      </c>
      <c r="Z42" t="s">
        <v>674</v>
      </c>
      <c r="AA42" t="s">
        <v>674</v>
      </c>
      <c r="AB42" t="s">
        <v>674</v>
      </c>
      <c r="AC42" t="s">
        <v>97</v>
      </c>
      <c r="AD42" t="s">
        <v>674</v>
      </c>
      <c r="AE42" t="s">
        <v>674</v>
      </c>
      <c r="AF42" t="s">
        <v>674</v>
      </c>
      <c r="AG42" t="s">
        <v>674</v>
      </c>
      <c r="AH42" t="s">
        <v>163</v>
      </c>
      <c r="AJ42" t="s">
        <v>674</v>
      </c>
      <c r="AK42" t="s">
        <v>674</v>
      </c>
      <c r="AL42" t="s">
        <v>714</v>
      </c>
      <c r="AM42" t="s">
        <v>674</v>
      </c>
      <c r="AN42" t="s">
        <v>674</v>
      </c>
      <c r="AO42" t="s">
        <v>674</v>
      </c>
      <c r="AP42" t="s">
        <v>674</v>
      </c>
      <c r="AQ42" t="s">
        <v>674</v>
      </c>
      <c r="AR42" t="s">
        <v>674</v>
      </c>
      <c r="AS42" t="s">
        <v>674</v>
      </c>
      <c r="AT42" t="s">
        <v>674</v>
      </c>
      <c r="AU42" t="s">
        <v>674</v>
      </c>
      <c r="AV42" t="s">
        <v>674</v>
      </c>
      <c r="AW42" t="s">
        <v>674</v>
      </c>
      <c r="AX42" t="s">
        <v>674</v>
      </c>
      <c r="AY42" t="s">
        <v>674</v>
      </c>
      <c r="AZ42" t="s">
        <v>674</v>
      </c>
      <c r="BA42" t="s">
        <v>674</v>
      </c>
      <c r="BB42" t="s">
        <v>674</v>
      </c>
      <c r="BC42" t="s">
        <v>674</v>
      </c>
      <c r="BD42" t="s">
        <v>674</v>
      </c>
      <c r="BE42" t="s">
        <v>674</v>
      </c>
      <c r="BF42" t="s">
        <v>674</v>
      </c>
      <c r="BG42" t="s">
        <v>674</v>
      </c>
      <c r="BH42" t="s">
        <v>674</v>
      </c>
      <c r="BI42" t="s">
        <v>674</v>
      </c>
      <c r="BJ42" t="s">
        <v>674</v>
      </c>
      <c r="BK42" t="s">
        <v>674</v>
      </c>
      <c r="BL42" t="s">
        <v>674</v>
      </c>
      <c r="BM42" t="s">
        <v>674</v>
      </c>
      <c r="BN42" t="s">
        <v>674</v>
      </c>
      <c r="BO42" t="s">
        <v>674</v>
      </c>
      <c r="BP42" t="s">
        <v>674</v>
      </c>
      <c r="BQ42" t="s">
        <v>674</v>
      </c>
      <c r="BR42" t="s">
        <v>674</v>
      </c>
      <c r="BS42" t="s">
        <v>674</v>
      </c>
      <c r="BT42" t="s">
        <v>674</v>
      </c>
      <c r="BU42" t="s">
        <v>674</v>
      </c>
      <c r="BV42" t="s">
        <v>674</v>
      </c>
      <c r="BW42" t="s">
        <v>674</v>
      </c>
      <c r="BX42" t="s">
        <v>674</v>
      </c>
      <c r="BY42" t="s">
        <v>674</v>
      </c>
      <c r="BZ42" t="s">
        <v>674</v>
      </c>
      <c r="CA42" t="s">
        <v>674</v>
      </c>
      <c r="CB42" t="s">
        <v>674</v>
      </c>
      <c r="CC42" t="s">
        <v>674</v>
      </c>
      <c r="CD42" t="s">
        <v>674</v>
      </c>
      <c r="CE42" t="s">
        <v>674</v>
      </c>
      <c r="CF42" t="s">
        <v>674</v>
      </c>
      <c r="CG42" t="s">
        <v>674</v>
      </c>
      <c r="CH42" t="s">
        <v>674</v>
      </c>
      <c r="CI42" t="s">
        <v>674</v>
      </c>
    </row>
    <row r="43" spans="1:87" x14ac:dyDescent="0.25">
      <c r="A43" t="s">
        <v>699</v>
      </c>
      <c r="B43" t="s">
        <v>88</v>
      </c>
      <c r="C43">
        <v>2016</v>
      </c>
      <c r="D43" t="s">
        <v>700</v>
      </c>
      <c r="E43" t="s">
        <v>701</v>
      </c>
      <c r="F43" t="s">
        <v>702</v>
      </c>
      <c r="G43" t="s">
        <v>674</v>
      </c>
      <c r="H43" t="s">
        <v>703</v>
      </c>
      <c r="I43" t="s">
        <v>704</v>
      </c>
      <c r="J43" t="s">
        <v>705</v>
      </c>
      <c r="K43" t="s">
        <v>706</v>
      </c>
      <c r="L43" t="s">
        <v>707</v>
      </c>
      <c r="M43" s="1">
        <v>46274.897604166668</v>
      </c>
      <c r="N43" s="1">
        <v>46274.897650462961</v>
      </c>
      <c r="O43" s="1">
        <v>46274.897604166668</v>
      </c>
      <c r="P43" t="s">
        <v>708</v>
      </c>
      <c r="Q43" t="s">
        <v>674</v>
      </c>
      <c r="R43">
        <v>1</v>
      </c>
      <c r="S43">
        <v>12</v>
      </c>
      <c r="T43" t="s">
        <v>674</v>
      </c>
      <c r="U43" t="s">
        <v>702</v>
      </c>
      <c r="V43" t="s">
        <v>709</v>
      </c>
      <c r="W43" t="s">
        <v>674</v>
      </c>
      <c r="X43" t="s">
        <v>674</v>
      </c>
      <c r="Y43" t="s">
        <v>674</v>
      </c>
      <c r="Z43" t="s">
        <v>674</v>
      </c>
      <c r="AA43" t="s">
        <v>674</v>
      </c>
      <c r="AB43" t="s">
        <v>674</v>
      </c>
      <c r="AC43" t="s">
        <v>710</v>
      </c>
      <c r="AD43" t="s">
        <v>674</v>
      </c>
      <c r="AE43" t="s">
        <v>674</v>
      </c>
      <c r="AF43" t="s">
        <v>674</v>
      </c>
      <c r="AG43" t="s">
        <v>674</v>
      </c>
      <c r="AH43" t="s">
        <v>99</v>
      </c>
      <c r="AJ43" t="s">
        <v>674</v>
      </c>
      <c r="AK43" t="s">
        <v>674</v>
      </c>
      <c r="AL43" t="s">
        <v>711</v>
      </c>
      <c r="AM43" t="s">
        <v>674</v>
      </c>
      <c r="AN43" t="s">
        <v>674</v>
      </c>
      <c r="AO43" t="s">
        <v>712</v>
      </c>
      <c r="AP43" t="s">
        <v>674</v>
      </c>
      <c r="AQ43" t="s">
        <v>674</v>
      </c>
      <c r="AR43" t="s">
        <v>674</v>
      </c>
      <c r="AS43" t="s">
        <v>674</v>
      </c>
      <c r="AT43" t="s">
        <v>674</v>
      </c>
      <c r="AU43" t="s">
        <v>674</v>
      </c>
      <c r="AV43" t="s">
        <v>674</v>
      </c>
      <c r="AW43" t="s">
        <v>674</v>
      </c>
      <c r="AX43" t="s">
        <v>674</v>
      </c>
      <c r="AY43" t="s">
        <v>674</v>
      </c>
      <c r="AZ43" t="s">
        <v>674</v>
      </c>
      <c r="BA43" t="s">
        <v>674</v>
      </c>
      <c r="BB43" t="s">
        <v>674</v>
      </c>
      <c r="BC43" t="s">
        <v>674</v>
      </c>
      <c r="BD43" t="s">
        <v>674</v>
      </c>
      <c r="BE43" t="s">
        <v>674</v>
      </c>
      <c r="BF43" t="s">
        <v>674</v>
      </c>
      <c r="BG43" t="s">
        <v>674</v>
      </c>
      <c r="BH43" t="s">
        <v>674</v>
      </c>
      <c r="BI43" t="s">
        <v>674</v>
      </c>
      <c r="BJ43" t="s">
        <v>674</v>
      </c>
      <c r="BK43" t="s">
        <v>674</v>
      </c>
      <c r="BL43" t="s">
        <v>674</v>
      </c>
      <c r="BM43" t="s">
        <v>674</v>
      </c>
      <c r="BN43" t="s">
        <v>674</v>
      </c>
      <c r="BO43" t="s">
        <v>674</v>
      </c>
      <c r="BP43" t="s">
        <v>674</v>
      </c>
      <c r="BQ43" t="s">
        <v>674</v>
      </c>
      <c r="BR43" t="s">
        <v>674</v>
      </c>
      <c r="BS43" t="s">
        <v>674</v>
      </c>
      <c r="BT43" t="s">
        <v>674</v>
      </c>
      <c r="BU43" t="s">
        <v>674</v>
      </c>
      <c r="BV43" t="s">
        <v>674</v>
      </c>
      <c r="BW43" t="s">
        <v>674</v>
      </c>
      <c r="BX43" t="s">
        <v>674</v>
      </c>
      <c r="BY43" t="s">
        <v>674</v>
      </c>
      <c r="BZ43" t="s">
        <v>674</v>
      </c>
      <c r="CA43" t="s">
        <v>674</v>
      </c>
      <c r="CB43" t="s">
        <v>674</v>
      </c>
      <c r="CC43" t="s">
        <v>674</v>
      </c>
      <c r="CD43" t="s">
        <v>674</v>
      </c>
      <c r="CE43" t="s">
        <v>674</v>
      </c>
      <c r="CF43" t="s">
        <v>674</v>
      </c>
      <c r="CG43" t="s">
        <v>674</v>
      </c>
      <c r="CH43" t="s">
        <v>674</v>
      </c>
      <c r="CI43" t="s">
        <v>674</v>
      </c>
    </row>
    <row r="44" spans="1:87" x14ac:dyDescent="0.25">
      <c r="A44" t="s">
        <v>496</v>
      </c>
      <c r="B44" t="s">
        <v>88</v>
      </c>
      <c r="C44">
        <v>2015</v>
      </c>
      <c r="D44" t="s">
        <v>497</v>
      </c>
      <c r="E44" t="s">
        <v>498</v>
      </c>
      <c r="F44" t="s">
        <v>499</v>
      </c>
      <c r="G44" t="s">
        <v>674</v>
      </c>
      <c r="H44" t="s">
        <v>500</v>
      </c>
      <c r="I44" t="s">
        <v>501</v>
      </c>
      <c r="J44" t="s">
        <v>502</v>
      </c>
      <c r="K44" t="s">
        <v>674</v>
      </c>
      <c r="L44" t="s">
        <v>503</v>
      </c>
      <c r="M44" s="1">
        <v>46258.850173611114</v>
      </c>
      <c r="N44" s="1">
        <v>46258.853460648148</v>
      </c>
      <c r="O44" s="1">
        <v>46258.850162037037</v>
      </c>
      <c r="P44" t="s">
        <v>504</v>
      </c>
      <c r="Q44" t="s">
        <v>674</v>
      </c>
      <c r="R44">
        <v>8</v>
      </c>
      <c r="S44">
        <v>30</v>
      </c>
      <c r="T44" t="s">
        <v>674</v>
      </c>
      <c r="U44" t="s">
        <v>505</v>
      </c>
      <c r="V44" t="s">
        <v>674</v>
      </c>
      <c r="W44" t="s">
        <v>674</v>
      </c>
      <c r="X44" t="s">
        <v>674</v>
      </c>
      <c r="Y44" t="s">
        <v>674</v>
      </c>
      <c r="Z44" t="s">
        <v>674</v>
      </c>
      <c r="AA44" t="s">
        <v>674</v>
      </c>
      <c r="AB44" t="s">
        <v>674</v>
      </c>
      <c r="AC44" t="s">
        <v>674</v>
      </c>
      <c r="AD44" t="s">
        <v>122</v>
      </c>
      <c r="AE44" t="s">
        <v>674</v>
      </c>
      <c r="AF44" t="s">
        <v>674</v>
      </c>
      <c r="AG44" t="s">
        <v>674</v>
      </c>
      <c r="AH44" t="s">
        <v>99</v>
      </c>
      <c r="AJ44" t="s">
        <v>674</v>
      </c>
      <c r="AK44" t="s">
        <v>674</v>
      </c>
      <c r="AL44" t="s">
        <v>506</v>
      </c>
      <c r="AM44" t="s">
        <v>674</v>
      </c>
      <c r="AN44" t="s">
        <v>507</v>
      </c>
      <c r="AO44" t="s">
        <v>674</v>
      </c>
      <c r="AP44" t="s">
        <v>674</v>
      </c>
      <c r="AQ44" t="s">
        <v>674</v>
      </c>
      <c r="AR44" t="s">
        <v>674</v>
      </c>
      <c r="AS44" t="s">
        <v>674</v>
      </c>
      <c r="AT44" t="s">
        <v>674</v>
      </c>
      <c r="AU44" t="s">
        <v>674</v>
      </c>
      <c r="AV44" t="s">
        <v>674</v>
      </c>
      <c r="AW44" t="s">
        <v>674</v>
      </c>
      <c r="AX44" t="s">
        <v>674</v>
      </c>
      <c r="AY44" t="s">
        <v>674</v>
      </c>
      <c r="AZ44" t="s">
        <v>674</v>
      </c>
      <c r="BA44" t="s">
        <v>674</v>
      </c>
      <c r="BB44" t="s">
        <v>674</v>
      </c>
      <c r="BC44" t="s">
        <v>674</v>
      </c>
      <c r="BD44" t="s">
        <v>674</v>
      </c>
      <c r="BE44" t="s">
        <v>674</v>
      </c>
      <c r="BF44" t="s">
        <v>674</v>
      </c>
      <c r="BG44" t="s">
        <v>674</v>
      </c>
      <c r="BH44" t="s">
        <v>674</v>
      </c>
      <c r="BI44" t="s">
        <v>674</v>
      </c>
      <c r="BJ44" t="s">
        <v>674</v>
      </c>
      <c r="BK44" t="s">
        <v>674</v>
      </c>
      <c r="BL44" t="s">
        <v>674</v>
      </c>
      <c r="BM44" t="s">
        <v>674</v>
      </c>
      <c r="BN44" t="s">
        <v>674</v>
      </c>
      <c r="BO44" t="s">
        <v>674</v>
      </c>
      <c r="BP44" t="s">
        <v>674</v>
      </c>
      <c r="BQ44" t="s">
        <v>674</v>
      </c>
      <c r="BR44" t="s">
        <v>674</v>
      </c>
      <c r="BS44" t="s">
        <v>674</v>
      </c>
      <c r="BT44" t="s">
        <v>674</v>
      </c>
      <c r="BU44" t="s">
        <v>674</v>
      </c>
      <c r="BV44" t="s">
        <v>674</v>
      </c>
      <c r="BW44" t="s">
        <v>674</v>
      </c>
      <c r="BX44" t="s">
        <v>674</v>
      </c>
      <c r="BY44" t="s">
        <v>674</v>
      </c>
      <c r="BZ44" t="s">
        <v>674</v>
      </c>
      <c r="CA44" t="s">
        <v>674</v>
      </c>
      <c r="CB44" t="s">
        <v>674</v>
      </c>
      <c r="CC44" t="s">
        <v>674</v>
      </c>
      <c r="CD44" t="s">
        <v>674</v>
      </c>
      <c r="CE44" t="s">
        <v>674</v>
      </c>
      <c r="CF44" t="s">
        <v>674</v>
      </c>
      <c r="CG44" t="s">
        <v>674</v>
      </c>
      <c r="CH44" t="s">
        <v>674</v>
      </c>
      <c r="CI44" t="s">
        <v>674</v>
      </c>
    </row>
    <row r="45" spans="1:87" x14ac:dyDescent="0.25">
      <c r="A45" t="s">
        <v>485</v>
      </c>
      <c r="B45" t="s">
        <v>126</v>
      </c>
      <c r="C45">
        <v>2016</v>
      </c>
      <c r="D45" t="s">
        <v>486</v>
      </c>
      <c r="E45" t="s">
        <v>487</v>
      </c>
      <c r="F45" t="s">
        <v>488</v>
      </c>
      <c r="G45" t="s">
        <v>489</v>
      </c>
      <c r="H45" t="s">
        <v>674</v>
      </c>
      <c r="I45" t="s">
        <v>490</v>
      </c>
      <c r="J45" t="s">
        <v>491</v>
      </c>
      <c r="K45" t="s">
        <v>674</v>
      </c>
      <c r="L45" t="s">
        <v>492</v>
      </c>
      <c r="M45" s="1">
        <v>46258.850057870368</v>
      </c>
      <c r="N45" s="1">
        <v>46258.856874999998</v>
      </c>
      <c r="O45" s="1">
        <v>46258.850057870368</v>
      </c>
      <c r="P45" t="s">
        <v>493</v>
      </c>
      <c r="Q45" t="s">
        <v>674</v>
      </c>
      <c r="T45" t="s">
        <v>674</v>
      </c>
      <c r="U45" t="s">
        <v>674</v>
      </c>
      <c r="V45" t="s">
        <v>674</v>
      </c>
      <c r="W45" t="s">
        <v>674</v>
      </c>
      <c r="X45" t="s">
        <v>674</v>
      </c>
      <c r="Y45" t="s">
        <v>674</v>
      </c>
      <c r="Z45" t="s">
        <v>674</v>
      </c>
      <c r="AA45" t="s">
        <v>133</v>
      </c>
      <c r="AB45" t="s">
        <v>494</v>
      </c>
      <c r="AC45" t="s">
        <v>674</v>
      </c>
      <c r="AD45" t="s">
        <v>674</v>
      </c>
      <c r="AE45" t="s">
        <v>674</v>
      </c>
      <c r="AF45" t="s">
        <v>674</v>
      </c>
      <c r="AG45" t="s">
        <v>674</v>
      </c>
      <c r="AH45" t="s">
        <v>99</v>
      </c>
      <c r="AJ45" t="s">
        <v>674</v>
      </c>
      <c r="AK45" t="s">
        <v>674</v>
      </c>
      <c r="AL45" t="s">
        <v>495</v>
      </c>
      <c r="AM45" t="s">
        <v>674</v>
      </c>
      <c r="AN45" t="s">
        <v>444</v>
      </c>
      <c r="AO45" t="s">
        <v>674</v>
      </c>
      <c r="AP45" t="s">
        <v>674</v>
      </c>
      <c r="AQ45" t="s">
        <v>674</v>
      </c>
      <c r="AR45" t="s">
        <v>674</v>
      </c>
      <c r="AS45" t="s">
        <v>674</v>
      </c>
      <c r="AT45" t="s">
        <v>674</v>
      </c>
      <c r="AU45" t="s">
        <v>674</v>
      </c>
      <c r="AV45" t="s">
        <v>674</v>
      </c>
      <c r="AW45" t="s">
        <v>674</v>
      </c>
      <c r="AX45" t="s">
        <v>674</v>
      </c>
      <c r="AY45" t="s">
        <v>674</v>
      </c>
      <c r="AZ45" t="s">
        <v>674</v>
      </c>
      <c r="BA45" t="s">
        <v>674</v>
      </c>
      <c r="BB45" t="s">
        <v>674</v>
      </c>
      <c r="BC45" t="s">
        <v>674</v>
      </c>
      <c r="BD45" t="s">
        <v>674</v>
      </c>
      <c r="BE45" t="s">
        <v>674</v>
      </c>
      <c r="BF45" t="s">
        <v>674</v>
      </c>
      <c r="BG45" t="s">
        <v>674</v>
      </c>
      <c r="BH45" t="s">
        <v>674</v>
      </c>
      <c r="BI45" t="s">
        <v>674</v>
      </c>
      <c r="BJ45" t="s">
        <v>674</v>
      </c>
      <c r="BK45" t="s">
        <v>674</v>
      </c>
      <c r="BL45" t="s">
        <v>674</v>
      </c>
      <c r="BM45" t="s">
        <v>674</v>
      </c>
      <c r="BN45" t="s">
        <v>674</v>
      </c>
      <c r="BO45" t="s">
        <v>674</v>
      </c>
      <c r="BP45" t="s">
        <v>674</v>
      </c>
      <c r="BQ45" t="s">
        <v>674</v>
      </c>
      <c r="BR45" t="s">
        <v>674</v>
      </c>
      <c r="BS45" t="s">
        <v>674</v>
      </c>
      <c r="BT45" t="s">
        <v>488</v>
      </c>
      <c r="BU45" t="s">
        <v>674</v>
      </c>
      <c r="BV45" t="s">
        <v>674</v>
      </c>
      <c r="BW45" t="s">
        <v>674</v>
      </c>
      <c r="BX45" t="s">
        <v>674</v>
      </c>
      <c r="BY45" t="s">
        <v>674</v>
      </c>
      <c r="BZ45" t="s">
        <v>674</v>
      </c>
      <c r="CA45" t="s">
        <v>674</v>
      </c>
      <c r="CB45" t="s">
        <v>674</v>
      </c>
      <c r="CC45" t="s">
        <v>674</v>
      </c>
      <c r="CD45" t="s">
        <v>674</v>
      </c>
      <c r="CE45" t="s">
        <v>674</v>
      </c>
      <c r="CF45" t="s">
        <v>674</v>
      </c>
      <c r="CG45" t="s">
        <v>674</v>
      </c>
      <c r="CH45" t="s">
        <v>674</v>
      </c>
      <c r="CI45" t="s">
        <v>674</v>
      </c>
    </row>
    <row r="46" spans="1:87" x14ac:dyDescent="0.25">
      <c r="A46" t="s">
        <v>476</v>
      </c>
      <c r="B46" t="s">
        <v>88</v>
      </c>
      <c r="C46">
        <v>2022</v>
      </c>
      <c r="D46" t="s">
        <v>477</v>
      </c>
      <c r="E46" t="s">
        <v>478</v>
      </c>
      <c r="F46" t="s">
        <v>479</v>
      </c>
      <c r="G46" t="s">
        <v>674</v>
      </c>
      <c r="H46" t="s">
        <v>480</v>
      </c>
      <c r="I46" t="s">
        <v>481</v>
      </c>
      <c r="J46" t="s">
        <v>482</v>
      </c>
      <c r="K46" t="s">
        <v>483</v>
      </c>
      <c r="L46" t="s">
        <v>697</v>
      </c>
      <c r="M46" s="1">
        <v>46258.849988425929</v>
      </c>
      <c r="N46" s="1">
        <v>46258.858275462961</v>
      </c>
      <c r="O46" s="1">
        <v>46258.849988425929</v>
      </c>
      <c r="P46" t="s">
        <v>698</v>
      </c>
      <c r="Q46" t="s">
        <v>674</v>
      </c>
      <c r="R46">
        <v>10</v>
      </c>
      <c r="S46">
        <v>12</v>
      </c>
      <c r="T46" t="s">
        <v>674</v>
      </c>
      <c r="U46" t="s">
        <v>479</v>
      </c>
      <c r="V46" t="s">
        <v>674</v>
      </c>
      <c r="W46" t="s">
        <v>674</v>
      </c>
      <c r="X46" t="s">
        <v>674</v>
      </c>
      <c r="Y46" t="s">
        <v>674</v>
      </c>
      <c r="Z46" t="s">
        <v>674</v>
      </c>
      <c r="AA46" t="s">
        <v>674</v>
      </c>
      <c r="AB46" t="s">
        <v>674</v>
      </c>
      <c r="AC46" t="s">
        <v>97</v>
      </c>
      <c r="AD46" t="s">
        <v>674</v>
      </c>
      <c r="AE46" t="s">
        <v>674</v>
      </c>
      <c r="AF46" t="s">
        <v>674</v>
      </c>
      <c r="AG46" t="s">
        <v>674</v>
      </c>
      <c r="AH46" t="s">
        <v>99</v>
      </c>
      <c r="AJ46" t="s">
        <v>674</v>
      </c>
      <c r="AK46" t="s">
        <v>674</v>
      </c>
      <c r="AL46" t="s">
        <v>484</v>
      </c>
      <c r="AM46" t="s">
        <v>674</v>
      </c>
      <c r="AN46" t="s">
        <v>444</v>
      </c>
      <c r="AO46" t="s">
        <v>674</v>
      </c>
      <c r="AP46" t="s">
        <v>674</v>
      </c>
      <c r="AQ46" t="s">
        <v>674</v>
      </c>
      <c r="AR46" t="s">
        <v>674</v>
      </c>
      <c r="AS46" t="s">
        <v>674</v>
      </c>
      <c r="AT46" t="s">
        <v>674</v>
      </c>
      <c r="AU46" t="s">
        <v>674</v>
      </c>
      <c r="AV46" t="s">
        <v>674</v>
      </c>
      <c r="AW46" t="s">
        <v>674</v>
      </c>
      <c r="AX46" t="s">
        <v>674</v>
      </c>
      <c r="AY46" t="s">
        <v>674</v>
      </c>
      <c r="AZ46" t="s">
        <v>674</v>
      </c>
      <c r="BA46" t="s">
        <v>674</v>
      </c>
      <c r="BB46" t="s">
        <v>674</v>
      </c>
      <c r="BC46" t="s">
        <v>674</v>
      </c>
      <c r="BD46" t="s">
        <v>674</v>
      </c>
      <c r="BE46" t="s">
        <v>674</v>
      </c>
      <c r="BF46" t="s">
        <v>674</v>
      </c>
      <c r="BG46" t="s">
        <v>674</v>
      </c>
      <c r="BH46" t="s">
        <v>674</v>
      </c>
      <c r="BI46" t="s">
        <v>674</v>
      </c>
      <c r="BJ46" t="s">
        <v>674</v>
      </c>
      <c r="BK46" t="s">
        <v>674</v>
      </c>
      <c r="BL46" t="s">
        <v>674</v>
      </c>
      <c r="BM46" t="s">
        <v>674</v>
      </c>
      <c r="BN46" t="s">
        <v>674</v>
      </c>
      <c r="BO46" t="s">
        <v>674</v>
      </c>
      <c r="BP46" t="s">
        <v>674</v>
      </c>
      <c r="BQ46" t="s">
        <v>674</v>
      </c>
      <c r="BR46" t="s">
        <v>674</v>
      </c>
      <c r="BS46" t="s">
        <v>674</v>
      </c>
      <c r="BT46" t="s">
        <v>674</v>
      </c>
      <c r="BU46" t="s">
        <v>674</v>
      </c>
      <c r="BV46" t="s">
        <v>674</v>
      </c>
      <c r="BW46" t="s">
        <v>674</v>
      </c>
      <c r="BX46" t="s">
        <v>674</v>
      </c>
      <c r="BY46" t="s">
        <v>674</v>
      </c>
      <c r="BZ46" t="s">
        <v>674</v>
      </c>
      <c r="CA46" t="s">
        <v>674</v>
      </c>
      <c r="CB46" t="s">
        <v>674</v>
      </c>
      <c r="CC46" t="s">
        <v>674</v>
      </c>
      <c r="CD46" t="s">
        <v>674</v>
      </c>
      <c r="CE46" t="s">
        <v>674</v>
      </c>
      <c r="CF46" t="s">
        <v>674</v>
      </c>
      <c r="CG46" t="s">
        <v>674</v>
      </c>
      <c r="CH46" t="s">
        <v>674</v>
      </c>
      <c r="CI46" t="s">
        <v>674</v>
      </c>
    </row>
    <row r="47" spans="1:87" x14ac:dyDescent="0.25">
      <c r="A47" t="s">
        <v>465</v>
      </c>
      <c r="B47" t="s">
        <v>126</v>
      </c>
      <c r="C47">
        <v>2025</v>
      </c>
      <c r="D47" t="s">
        <v>466</v>
      </c>
      <c r="E47" t="s">
        <v>467</v>
      </c>
      <c r="F47" t="s">
        <v>468</v>
      </c>
      <c r="G47" t="s">
        <v>469</v>
      </c>
      <c r="H47" t="s">
        <v>674</v>
      </c>
      <c r="I47" t="s">
        <v>470</v>
      </c>
      <c r="J47" t="s">
        <v>471</v>
      </c>
      <c r="K47" t="s">
        <v>674</v>
      </c>
      <c r="L47" t="s">
        <v>696</v>
      </c>
      <c r="M47" s="1">
        <v>46258.849942129629</v>
      </c>
      <c r="N47" s="1">
        <v>46258.856307870374</v>
      </c>
      <c r="O47" s="1">
        <v>46258.849942129629</v>
      </c>
      <c r="P47" t="s">
        <v>472</v>
      </c>
      <c r="Q47" t="s">
        <v>674</v>
      </c>
      <c r="T47" t="s">
        <v>674</v>
      </c>
      <c r="U47" t="s">
        <v>674</v>
      </c>
      <c r="V47" t="s">
        <v>674</v>
      </c>
      <c r="W47" t="s">
        <v>674</v>
      </c>
      <c r="X47" t="s">
        <v>674</v>
      </c>
      <c r="Y47" t="s">
        <v>674</v>
      </c>
      <c r="Z47" t="s">
        <v>674</v>
      </c>
      <c r="AA47" t="s">
        <v>133</v>
      </c>
      <c r="AB47" t="s">
        <v>473</v>
      </c>
      <c r="AC47" t="s">
        <v>674</v>
      </c>
      <c r="AD47" t="s">
        <v>135</v>
      </c>
      <c r="AE47" t="s">
        <v>674</v>
      </c>
      <c r="AF47" t="s">
        <v>674</v>
      </c>
      <c r="AG47" t="s">
        <v>674</v>
      </c>
      <c r="AH47" t="s">
        <v>99</v>
      </c>
      <c r="AJ47" t="s">
        <v>674</v>
      </c>
      <c r="AK47" t="s">
        <v>674</v>
      </c>
      <c r="AL47" t="s">
        <v>474</v>
      </c>
      <c r="AM47" t="s">
        <v>674</v>
      </c>
      <c r="AN47" t="s">
        <v>475</v>
      </c>
      <c r="AO47" t="s">
        <v>674</v>
      </c>
      <c r="AP47" t="s">
        <v>674</v>
      </c>
      <c r="AQ47" t="s">
        <v>674</v>
      </c>
      <c r="AR47" t="s">
        <v>674</v>
      </c>
      <c r="AS47" t="s">
        <v>674</v>
      </c>
      <c r="AT47" t="s">
        <v>674</v>
      </c>
      <c r="AU47" t="s">
        <v>674</v>
      </c>
      <c r="AV47" t="s">
        <v>674</v>
      </c>
      <c r="AW47" t="s">
        <v>674</v>
      </c>
      <c r="AX47" t="s">
        <v>674</v>
      </c>
      <c r="AY47" t="s">
        <v>674</v>
      </c>
      <c r="AZ47" t="s">
        <v>674</v>
      </c>
      <c r="BA47" t="s">
        <v>674</v>
      </c>
      <c r="BB47" t="s">
        <v>674</v>
      </c>
      <c r="BC47" t="s">
        <v>674</v>
      </c>
      <c r="BD47" t="s">
        <v>674</v>
      </c>
      <c r="BE47" t="s">
        <v>674</v>
      </c>
      <c r="BF47" t="s">
        <v>674</v>
      </c>
      <c r="BG47" t="s">
        <v>674</v>
      </c>
      <c r="BH47" t="s">
        <v>674</v>
      </c>
      <c r="BI47" t="s">
        <v>674</v>
      </c>
      <c r="BJ47" t="s">
        <v>674</v>
      </c>
      <c r="BK47" t="s">
        <v>674</v>
      </c>
      <c r="BL47" t="s">
        <v>674</v>
      </c>
      <c r="BM47" t="s">
        <v>674</v>
      </c>
      <c r="BN47" t="s">
        <v>674</v>
      </c>
      <c r="BO47" t="s">
        <v>674</v>
      </c>
      <c r="BP47" t="s">
        <v>674</v>
      </c>
      <c r="BQ47" t="s">
        <v>674</v>
      </c>
      <c r="BR47" t="s">
        <v>674</v>
      </c>
      <c r="BS47" t="s">
        <v>674</v>
      </c>
      <c r="BT47" t="s">
        <v>468</v>
      </c>
      <c r="BU47" t="s">
        <v>674</v>
      </c>
      <c r="BV47" t="s">
        <v>674</v>
      </c>
      <c r="BW47" t="s">
        <v>674</v>
      </c>
      <c r="BX47" t="s">
        <v>674</v>
      </c>
      <c r="BY47" t="s">
        <v>674</v>
      </c>
      <c r="BZ47" t="s">
        <v>674</v>
      </c>
      <c r="CA47" t="s">
        <v>674</v>
      </c>
      <c r="CB47" t="s">
        <v>674</v>
      </c>
      <c r="CC47" t="s">
        <v>674</v>
      </c>
      <c r="CD47" t="s">
        <v>674</v>
      </c>
      <c r="CE47" t="s">
        <v>674</v>
      </c>
      <c r="CF47" t="s">
        <v>674</v>
      </c>
      <c r="CG47" t="s">
        <v>674</v>
      </c>
      <c r="CH47" t="s">
        <v>674</v>
      </c>
      <c r="CI47" t="s">
        <v>674</v>
      </c>
    </row>
    <row r="48" spans="1:87" x14ac:dyDescent="0.25">
      <c r="A48" t="s">
        <v>457</v>
      </c>
      <c r="B48" t="s">
        <v>88</v>
      </c>
      <c r="C48">
        <v>2026</v>
      </c>
      <c r="D48" t="s">
        <v>458</v>
      </c>
      <c r="E48" t="s">
        <v>459</v>
      </c>
      <c r="F48" t="s">
        <v>115</v>
      </c>
      <c r="G48" t="s">
        <v>674</v>
      </c>
      <c r="H48" t="s">
        <v>116</v>
      </c>
      <c r="I48" t="s">
        <v>460</v>
      </c>
      <c r="J48" t="s">
        <v>461</v>
      </c>
      <c r="K48" t="s">
        <v>674</v>
      </c>
      <c r="L48" t="s">
        <v>462</v>
      </c>
      <c r="M48" s="1">
        <v>46258.849803240744</v>
      </c>
      <c r="N48" s="1">
        <v>46258.859895833331</v>
      </c>
      <c r="O48" s="1">
        <v>46258.849803240744</v>
      </c>
      <c r="P48" t="s">
        <v>463</v>
      </c>
      <c r="Q48" t="s">
        <v>674</v>
      </c>
      <c r="R48">
        <v>5</v>
      </c>
      <c r="S48">
        <v>73</v>
      </c>
      <c r="T48" t="s">
        <v>674</v>
      </c>
      <c r="U48" t="s">
        <v>121</v>
      </c>
      <c r="V48" t="s">
        <v>674</v>
      </c>
      <c r="W48" t="s">
        <v>674</v>
      </c>
      <c r="X48" t="s">
        <v>674</v>
      </c>
      <c r="Y48" t="s">
        <v>674</v>
      </c>
      <c r="Z48" t="s">
        <v>674</v>
      </c>
      <c r="AA48" t="s">
        <v>674</v>
      </c>
      <c r="AB48" t="s">
        <v>674</v>
      </c>
      <c r="AC48" t="s">
        <v>674</v>
      </c>
      <c r="AD48" t="s">
        <v>122</v>
      </c>
      <c r="AE48" t="s">
        <v>674</v>
      </c>
      <c r="AF48" t="s">
        <v>674</v>
      </c>
      <c r="AG48" t="s">
        <v>674</v>
      </c>
      <c r="AH48" t="s">
        <v>99</v>
      </c>
      <c r="AJ48" t="s">
        <v>674</v>
      </c>
      <c r="AK48" t="s">
        <v>674</v>
      </c>
      <c r="AL48" t="s">
        <v>464</v>
      </c>
      <c r="AM48" t="s">
        <v>674</v>
      </c>
      <c r="AN48" t="s">
        <v>293</v>
      </c>
      <c r="AO48" t="s">
        <v>674</v>
      </c>
      <c r="AP48" t="s">
        <v>674</v>
      </c>
      <c r="AQ48" t="s">
        <v>674</v>
      </c>
      <c r="AR48" t="s">
        <v>674</v>
      </c>
      <c r="AS48" t="s">
        <v>674</v>
      </c>
      <c r="AT48" t="s">
        <v>674</v>
      </c>
      <c r="AU48" t="s">
        <v>674</v>
      </c>
      <c r="AV48" t="s">
        <v>674</v>
      </c>
      <c r="AW48" t="s">
        <v>674</v>
      </c>
      <c r="AX48" t="s">
        <v>674</v>
      </c>
      <c r="AY48" t="s">
        <v>674</v>
      </c>
      <c r="AZ48" t="s">
        <v>674</v>
      </c>
      <c r="BA48" t="s">
        <v>674</v>
      </c>
      <c r="BB48" t="s">
        <v>674</v>
      </c>
      <c r="BC48" t="s">
        <v>674</v>
      </c>
      <c r="BD48" t="s">
        <v>674</v>
      </c>
      <c r="BE48" t="s">
        <v>674</v>
      </c>
      <c r="BF48" t="s">
        <v>674</v>
      </c>
      <c r="BG48" t="s">
        <v>674</v>
      </c>
      <c r="BH48" t="s">
        <v>674</v>
      </c>
      <c r="BI48" t="s">
        <v>674</v>
      </c>
      <c r="BJ48" t="s">
        <v>674</v>
      </c>
      <c r="BK48" t="s">
        <v>674</v>
      </c>
      <c r="BL48" t="s">
        <v>674</v>
      </c>
      <c r="BM48" t="s">
        <v>674</v>
      </c>
      <c r="BN48" t="s">
        <v>674</v>
      </c>
      <c r="BO48" t="s">
        <v>674</v>
      </c>
      <c r="BP48" t="s">
        <v>674</v>
      </c>
      <c r="BQ48" t="s">
        <v>674</v>
      </c>
      <c r="BR48" t="s">
        <v>674</v>
      </c>
      <c r="BS48" t="s">
        <v>674</v>
      </c>
      <c r="BT48" t="s">
        <v>674</v>
      </c>
      <c r="BU48" t="s">
        <v>674</v>
      </c>
      <c r="BV48" t="s">
        <v>674</v>
      </c>
      <c r="BW48" t="s">
        <v>674</v>
      </c>
      <c r="BX48" t="s">
        <v>674</v>
      </c>
      <c r="BY48" t="s">
        <v>674</v>
      </c>
      <c r="BZ48" t="s">
        <v>674</v>
      </c>
      <c r="CA48" t="s">
        <v>674</v>
      </c>
      <c r="CB48" t="s">
        <v>674</v>
      </c>
      <c r="CC48" t="s">
        <v>674</v>
      </c>
      <c r="CD48" t="s">
        <v>674</v>
      </c>
      <c r="CE48" t="s">
        <v>674</v>
      </c>
      <c r="CF48" t="s">
        <v>674</v>
      </c>
      <c r="CG48" t="s">
        <v>674</v>
      </c>
      <c r="CH48" t="s">
        <v>674</v>
      </c>
      <c r="CI48" t="s">
        <v>674</v>
      </c>
    </row>
    <row r="49" spans="1:87" x14ac:dyDescent="0.25">
      <c r="A49" t="s">
        <v>445</v>
      </c>
      <c r="B49" t="s">
        <v>126</v>
      </c>
      <c r="C49">
        <v>2013</v>
      </c>
      <c r="D49" t="s">
        <v>446</v>
      </c>
      <c r="E49" t="s">
        <v>447</v>
      </c>
      <c r="F49" t="s">
        <v>448</v>
      </c>
      <c r="G49" t="s">
        <v>449</v>
      </c>
      <c r="H49" t="s">
        <v>674</v>
      </c>
      <c r="I49" t="s">
        <v>450</v>
      </c>
      <c r="J49" t="s">
        <v>451</v>
      </c>
      <c r="K49" t="s">
        <v>674</v>
      </c>
      <c r="L49" t="s">
        <v>452</v>
      </c>
      <c r="M49" s="1">
        <v>46258.849606481483</v>
      </c>
      <c r="N49" s="1">
        <v>46258.854386574072</v>
      </c>
      <c r="O49" s="1">
        <v>46258.849606481483</v>
      </c>
      <c r="P49" t="s">
        <v>453</v>
      </c>
      <c r="Q49" t="s">
        <v>674</v>
      </c>
      <c r="T49" t="s">
        <v>674</v>
      </c>
      <c r="U49" t="s">
        <v>674</v>
      </c>
      <c r="V49" t="s">
        <v>674</v>
      </c>
      <c r="W49" t="s">
        <v>674</v>
      </c>
      <c r="X49" t="s">
        <v>674</v>
      </c>
      <c r="Y49" t="s">
        <v>674</v>
      </c>
      <c r="Z49" t="s">
        <v>674</v>
      </c>
      <c r="AA49" t="s">
        <v>133</v>
      </c>
      <c r="AB49" t="s">
        <v>454</v>
      </c>
      <c r="AC49" t="s">
        <v>674</v>
      </c>
      <c r="AD49" t="s">
        <v>674</v>
      </c>
      <c r="AE49" t="s">
        <v>674</v>
      </c>
      <c r="AF49" t="s">
        <v>674</v>
      </c>
      <c r="AG49" t="s">
        <v>674</v>
      </c>
      <c r="AH49" t="s">
        <v>99</v>
      </c>
      <c r="AJ49" t="s">
        <v>674</v>
      </c>
      <c r="AK49" t="s">
        <v>674</v>
      </c>
      <c r="AL49" t="s">
        <v>455</v>
      </c>
      <c r="AM49" t="s">
        <v>674</v>
      </c>
      <c r="AN49" t="s">
        <v>293</v>
      </c>
      <c r="AO49" t="s">
        <v>674</v>
      </c>
      <c r="AP49" t="s">
        <v>674</v>
      </c>
      <c r="AQ49" t="s">
        <v>674</v>
      </c>
      <c r="AR49" t="s">
        <v>674</v>
      </c>
      <c r="AS49" t="s">
        <v>674</v>
      </c>
      <c r="AT49" t="s">
        <v>674</v>
      </c>
      <c r="AU49" t="s">
        <v>674</v>
      </c>
      <c r="AV49" t="s">
        <v>674</v>
      </c>
      <c r="AW49" t="s">
        <v>674</v>
      </c>
      <c r="AX49" t="s">
        <v>674</v>
      </c>
      <c r="AY49" t="s">
        <v>674</v>
      </c>
      <c r="AZ49" t="s">
        <v>674</v>
      </c>
      <c r="BA49" t="s">
        <v>674</v>
      </c>
      <c r="BB49" t="s">
        <v>674</v>
      </c>
      <c r="BC49" t="s">
        <v>674</v>
      </c>
      <c r="BD49" t="s">
        <v>674</v>
      </c>
      <c r="BE49" t="s">
        <v>674</v>
      </c>
      <c r="BF49" t="s">
        <v>674</v>
      </c>
      <c r="BG49" t="s">
        <v>674</v>
      </c>
      <c r="BH49" t="s">
        <v>674</v>
      </c>
      <c r="BI49" t="s">
        <v>674</v>
      </c>
      <c r="BJ49" t="s">
        <v>674</v>
      </c>
      <c r="BK49" t="s">
        <v>674</v>
      </c>
      <c r="BL49" t="s">
        <v>674</v>
      </c>
      <c r="BM49" t="s">
        <v>674</v>
      </c>
      <c r="BN49" t="s">
        <v>674</v>
      </c>
      <c r="BO49" t="s">
        <v>674</v>
      </c>
      <c r="BP49" t="s">
        <v>674</v>
      </c>
      <c r="BQ49" t="s">
        <v>674</v>
      </c>
      <c r="BR49" t="s">
        <v>674</v>
      </c>
      <c r="BS49" t="s">
        <v>674</v>
      </c>
      <c r="BT49" t="s">
        <v>456</v>
      </c>
      <c r="BU49" t="s">
        <v>674</v>
      </c>
      <c r="BV49" t="s">
        <v>674</v>
      </c>
      <c r="BW49" t="s">
        <v>674</v>
      </c>
      <c r="BX49" t="s">
        <v>674</v>
      </c>
      <c r="BY49" t="s">
        <v>674</v>
      </c>
      <c r="BZ49" t="s">
        <v>674</v>
      </c>
      <c r="CA49" t="s">
        <v>674</v>
      </c>
      <c r="CB49" t="s">
        <v>674</v>
      </c>
      <c r="CC49" t="s">
        <v>674</v>
      </c>
      <c r="CD49" t="s">
        <v>674</v>
      </c>
      <c r="CE49" t="s">
        <v>674</v>
      </c>
      <c r="CF49" t="s">
        <v>674</v>
      </c>
      <c r="CG49" t="s">
        <v>674</v>
      </c>
      <c r="CH49" t="s">
        <v>674</v>
      </c>
      <c r="CI49" t="s">
        <v>674</v>
      </c>
    </row>
    <row r="50" spans="1:87" x14ac:dyDescent="0.25">
      <c r="A50" t="s">
        <v>434</v>
      </c>
      <c r="B50" t="s">
        <v>126</v>
      </c>
      <c r="C50">
        <v>2022</v>
      </c>
      <c r="D50" t="s">
        <v>435</v>
      </c>
      <c r="E50" t="s">
        <v>436</v>
      </c>
      <c r="F50" t="s">
        <v>437</v>
      </c>
      <c r="G50" t="s">
        <v>438</v>
      </c>
      <c r="H50" t="s">
        <v>674</v>
      </c>
      <c r="I50" t="s">
        <v>439</v>
      </c>
      <c r="J50" t="s">
        <v>440</v>
      </c>
      <c r="K50" t="s">
        <v>674</v>
      </c>
      <c r="L50" t="s">
        <v>695</v>
      </c>
      <c r="M50" s="1">
        <v>46258.84957175926</v>
      </c>
      <c r="N50" s="1">
        <v>46258.858599537038</v>
      </c>
      <c r="O50" s="1">
        <v>46258.84957175926</v>
      </c>
      <c r="P50" t="s">
        <v>441</v>
      </c>
      <c r="Q50" t="s">
        <v>674</v>
      </c>
      <c r="T50" t="s">
        <v>674</v>
      </c>
      <c r="U50" t="s">
        <v>674</v>
      </c>
      <c r="V50" t="s">
        <v>674</v>
      </c>
      <c r="W50" t="s">
        <v>674</v>
      </c>
      <c r="X50" t="s">
        <v>674</v>
      </c>
      <c r="Y50" t="s">
        <v>674</v>
      </c>
      <c r="Z50" t="s">
        <v>674</v>
      </c>
      <c r="AA50" t="s">
        <v>133</v>
      </c>
      <c r="AB50" t="s">
        <v>442</v>
      </c>
      <c r="AC50" t="s">
        <v>674</v>
      </c>
      <c r="AD50" t="s">
        <v>135</v>
      </c>
      <c r="AE50" t="s">
        <v>674</v>
      </c>
      <c r="AF50" t="s">
        <v>674</v>
      </c>
      <c r="AG50" t="s">
        <v>674</v>
      </c>
      <c r="AH50" t="s">
        <v>99</v>
      </c>
      <c r="AJ50" t="s">
        <v>674</v>
      </c>
      <c r="AK50" t="s">
        <v>674</v>
      </c>
      <c r="AL50" t="s">
        <v>443</v>
      </c>
      <c r="AM50" t="s">
        <v>674</v>
      </c>
      <c r="AN50" t="s">
        <v>444</v>
      </c>
      <c r="AO50" t="s">
        <v>674</v>
      </c>
      <c r="AP50" t="s">
        <v>674</v>
      </c>
      <c r="AQ50" t="s">
        <v>674</v>
      </c>
      <c r="AR50" t="s">
        <v>674</v>
      </c>
      <c r="AS50" t="s">
        <v>674</v>
      </c>
      <c r="AT50" t="s">
        <v>674</v>
      </c>
      <c r="AU50" t="s">
        <v>674</v>
      </c>
      <c r="AV50" t="s">
        <v>674</v>
      </c>
      <c r="AW50" t="s">
        <v>674</v>
      </c>
      <c r="AX50" t="s">
        <v>674</v>
      </c>
      <c r="AY50" t="s">
        <v>674</v>
      </c>
      <c r="AZ50" t="s">
        <v>674</v>
      </c>
      <c r="BA50" t="s">
        <v>674</v>
      </c>
      <c r="BB50" t="s">
        <v>674</v>
      </c>
      <c r="BC50" t="s">
        <v>674</v>
      </c>
      <c r="BD50" t="s">
        <v>674</v>
      </c>
      <c r="BE50" t="s">
        <v>674</v>
      </c>
      <c r="BF50" t="s">
        <v>674</v>
      </c>
      <c r="BG50" t="s">
        <v>674</v>
      </c>
      <c r="BH50" t="s">
        <v>674</v>
      </c>
      <c r="BI50" t="s">
        <v>674</v>
      </c>
      <c r="BJ50" t="s">
        <v>674</v>
      </c>
      <c r="BK50" t="s">
        <v>674</v>
      </c>
      <c r="BL50" t="s">
        <v>674</v>
      </c>
      <c r="BM50" t="s">
        <v>674</v>
      </c>
      <c r="BN50" t="s">
        <v>674</v>
      </c>
      <c r="BO50" t="s">
        <v>674</v>
      </c>
      <c r="BP50" t="s">
        <v>674</v>
      </c>
      <c r="BQ50" t="s">
        <v>674</v>
      </c>
      <c r="BR50" t="s">
        <v>674</v>
      </c>
      <c r="BS50" t="s">
        <v>674</v>
      </c>
      <c r="BT50" t="s">
        <v>437</v>
      </c>
      <c r="BU50" t="s">
        <v>674</v>
      </c>
      <c r="BV50" t="s">
        <v>674</v>
      </c>
      <c r="BW50" t="s">
        <v>674</v>
      </c>
      <c r="BX50" t="s">
        <v>674</v>
      </c>
      <c r="BY50" t="s">
        <v>674</v>
      </c>
      <c r="BZ50" t="s">
        <v>674</v>
      </c>
      <c r="CA50" t="s">
        <v>674</v>
      </c>
      <c r="CB50" t="s">
        <v>674</v>
      </c>
      <c r="CC50" t="s">
        <v>674</v>
      </c>
      <c r="CD50" t="s">
        <v>674</v>
      </c>
      <c r="CE50" t="s">
        <v>674</v>
      </c>
      <c r="CF50" t="s">
        <v>674</v>
      </c>
      <c r="CG50" t="s">
        <v>674</v>
      </c>
      <c r="CH50" t="s">
        <v>674</v>
      </c>
      <c r="CI50" t="s">
        <v>674</v>
      </c>
    </row>
    <row r="51" spans="1:87" x14ac:dyDescent="0.25">
      <c r="A51" t="s">
        <v>423</v>
      </c>
      <c r="B51" t="s">
        <v>126</v>
      </c>
      <c r="C51">
        <v>2017</v>
      </c>
      <c r="D51" t="s">
        <v>424</v>
      </c>
      <c r="E51" t="s">
        <v>425</v>
      </c>
      <c r="F51" t="s">
        <v>426</v>
      </c>
      <c r="G51" t="s">
        <v>427</v>
      </c>
      <c r="H51" t="s">
        <v>674</v>
      </c>
      <c r="I51" t="s">
        <v>428</v>
      </c>
      <c r="J51" t="s">
        <v>429</v>
      </c>
      <c r="K51" t="s">
        <v>674</v>
      </c>
      <c r="L51" t="s">
        <v>430</v>
      </c>
      <c r="M51" s="1">
        <v>46258.849502314813</v>
      </c>
      <c r="N51" s="1">
        <v>46258.855324074073</v>
      </c>
      <c r="O51" s="1">
        <v>46258.849502314813</v>
      </c>
      <c r="P51" t="s">
        <v>431</v>
      </c>
      <c r="Q51" t="s">
        <v>674</v>
      </c>
      <c r="T51" t="s">
        <v>674</v>
      </c>
      <c r="U51" t="s">
        <v>674</v>
      </c>
      <c r="V51" t="s">
        <v>674</v>
      </c>
      <c r="W51" t="s">
        <v>674</v>
      </c>
      <c r="X51" t="s">
        <v>674</v>
      </c>
      <c r="Y51" t="s">
        <v>674</v>
      </c>
      <c r="Z51" t="s">
        <v>674</v>
      </c>
      <c r="AA51" t="s">
        <v>133</v>
      </c>
      <c r="AB51" t="s">
        <v>432</v>
      </c>
      <c r="AC51" t="s">
        <v>674</v>
      </c>
      <c r="AD51" t="s">
        <v>674</v>
      </c>
      <c r="AE51" t="s">
        <v>674</v>
      </c>
      <c r="AF51" t="s">
        <v>674</v>
      </c>
      <c r="AG51" t="s">
        <v>674</v>
      </c>
      <c r="AH51" t="s">
        <v>99</v>
      </c>
      <c r="AJ51" t="s">
        <v>674</v>
      </c>
      <c r="AK51" t="s">
        <v>674</v>
      </c>
      <c r="AL51" t="s">
        <v>433</v>
      </c>
      <c r="AM51" t="s">
        <v>674</v>
      </c>
      <c r="AN51" t="s">
        <v>404</v>
      </c>
      <c r="AO51" t="s">
        <v>674</v>
      </c>
      <c r="AP51" t="s">
        <v>674</v>
      </c>
      <c r="AQ51" t="s">
        <v>674</v>
      </c>
      <c r="AR51" t="s">
        <v>674</v>
      </c>
      <c r="AS51" t="s">
        <v>674</v>
      </c>
      <c r="AT51" t="s">
        <v>674</v>
      </c>
      <c r="AU51" t="s">
        <v>674</v>
      </c>
      <c r="AV51" t="s">
        <v>674</v>
      </c>
      <c r="AW51" t="s">
        <v>674</v>
      </c>
      <c r="AX51" t="s">
        <v>674</v>
      </c>
      <c r="AY51" t="s">
        <v>674</v>
      </c>
      <c r="AZ51" t="s">
        <v>674</v>
      </c>
      <c r="BA51" t="s">
        <v>674</v>
      </c>
      <c r="BB51" t="s">
        <v>674</v>
      </c>
      <c r="BC51" t="s">
        <v>674</v>
      </c>
      <c r="BD51" t="s">
        <v>674</v>
      </c>
      <c r="BE51" t="s">
        <v>674</v>
      </c>
      <c r="BF51" t="s">
        <v>674</v>
      </c>
      <c r="BG51" t="s">
        <v>674</v>
      </c>
      <c r="BH51" t="s">
        <v>674</v>
      </c>
      <c r="BI51" t="s">
        <v>674</v>
      </c>
      <c r="BJ51" t="s">
        <v>674</v>
      </c>
      <c r="BK51" t="s">
        <v>674</v>
      </c>
      <c r="BL51" t="s">
        <v>674</v>
      </c>
      <c r="BM51" t="s">
        <v>674</v>
      </c>
      <c r="BN51" t="s">
        <v>674</v>
      </c>
      <c r="BO51" t="s">
        <v>674</v>
      </c>
      <c r="BP51" t="s">
        <v>674</v>
      </c>
      <c r="BQ51" t="s">
        <v>674</v>
      </c>
      <c r="BR51" t="s">
        <v>674</v>
      </c>
      <c r="BS51" t="s">
        <v>674</v>
      </c>
      <c r="BT51" t="s">
        <v>426</v>
      </c>
      <c r="BU51" t="s">
        <v>674</v>
      </c>
      <c r="BV51" t="s">
        <v>674</v>
      </c>
      <c r="BW51" t="s">
        <v>674</v>
      </c>
      <c r="BX51" t="s">
        <v>674</v>
      </c>
      <c r="BY51" t="s">
        <v>674</v>
      </c>
      <c r="BZ51" t="s">
        <v>674</v>
      </c>
      <c r="CA51" t="s">
        <v>674</v>
      </c>
      <c r="CB51" t="s">
        <v>674</v>
      </c>
      <c r="CC51" t="s">
        <v>674</v>
      </c>
      <c r="CD51" t="s">
        <v>674</v>
      </c>
      <c r="CE51" t="s">
        <v>674</v>
      </c>
      <c r="CF51" t="s">
        <v>674</v>
      </c>
      <c r="CG51" t="s">
        <v>674</v>
      </c>
      <c r="CH51" t="s">
        <v>674</v>
      </c>
      <c r="CI51" t="s">
        <v>674</v>
      </c>
    </row>
    <row r="52" spans="1:87" x14ac:dyDescent="0.25">
      <c r="A52" t="s">
        <v>411</v>
      </c>
      <c r="B52" t="s">
        <v>88</v>
      </c>
      <c r="C52">
        <v>2015</v>
      </c>
      <c r="D52" t="s">
        <v>412</v>
      </c>
      <c r="E52" t="s">
        <v>413</v>
      </c>
      <c r="F52" t="s">
        <v>414</v>
      </c>
      <c r="G52" t="s">
        <v>674</v>
      </c>
      <c r="H52" t="s">
        <v>415</v>
      </c>
      <c r="I52" t="s">
        <v>416</v>
      </c>
      <c r="J52" t="s">
        <v>417</v>
      </c>
      <c r="K52" t="s">
        <v>674</v>
      </c>
      <c r="L52" t="s">
        <v>418</v>
      </c>
      <c r="M52" s="1">
        <v>46258.849305555559</v>
      </c>
      <c r="N52" s="1">
        <v>46258.857442129629</v>
      </c>
      <c r="O52" s="1">
        <v>46258.849305555559</v>
      </c>
      <c r="P52" t="s">
        <v>419</v>
      </c>
      <c r="Q52" t="s">
        <v>674</v>
      </c>
      <c r="R52">
        <v>3</v>
      </c>
      <c r="S52">
        <v>51</v>
      </c>
      <c r="T52" t="s">
        <v>674</v>
      </c>
      <c r="U52" t="s">
        <v>420</v>
      </c>
      <c r="V52" t="s">
        <v>674</v>
      </c>
      <c r="W52" t="s">
        <v>674</v>
      </c>
      <c r="X52" t="s">
        <v>674</v>
      </c>
      <c r="Y52" t="s">
        <v>674</v>
      </c>
      <c r="Z52" t="s">
        <v>674</v>
      </c>
      <c r="AA52" t="s">
        <v>674</v>
      </c>
      <c r="AB52" t="s">
        <v>674</v>
      </c>
      <c r="AC52" t="s">
        <v>674</v>
      </c>
      <c r="AD52" t="s">
        <v>122</v>
      </c>
      <c r="AE52" t="s">
        <v>674</v>
      </c>
      <c r="AF52" t="s">
        <v>674</v>
      </c>
      <c r="AG52" t="s">
        <v>674</v>
      </c>
      <c r="AH52" t="s">
        <v>99</v>
      </c>
      <c r="AJ52" t="s">
        <v>674</v>
      </c>
      <c r="AK52" t="s">
        <v>674</v>
      </c>
      <c r="AL52" t="s">
        <v>421</v>
      </c>
      <c r="AM52" t="s">
        <v>674</v>
      </c>
      <c r="AN52" t="s">
        <v>422</v>
      </c>
      <c r="AO52" t="s">
        <v>674</v>
      </c>
      <c r="AP52" t="s">
        <v>674</v>
      </c>
      <c r="AQ52" t="s">
        <v>674</v>
      </c>
      <c r="AR52" t="s">
        <v>674</v>
      </c>
      <c r="AS52" t="s">
        <v>674</v>
      </c>
      <c r="AT52" t="s">
        <v>674</v>
      </c>
      <c r="AU52" t="s">
        <v>674</v>
      </c>
      <c r="AV52" t="s">
        <v>674</v>
      </c>
      <c r="AW52" t="s">
        <v>674</v>
      </c>
      <c r="AX52" t="s">
        <v>674</v>
      </c>
      <c r="AY52" t="s">
        <v>674</v>
      </c>
      <c r="AZ52" t="s">
        <v>674</v>
      </c>
      <c r="BA52" t="s">
        <v>674</v>
      </c>
      <c r="BB52" t="s">
        <v>674</v>
      </c>
      <c r="BC52" t="s">
        <v>674</v>
      </c>
      <c r="BD52" t="s">
        <v>674</v>
      </c>
      <c r="BE52" t="s">
        <v>674</v>
      </c>
      <c r="BF52" t="s">
        <v>674</v>
      </c>
      <c r="BG52" t="s">
        <v>674</v>
      </c>
      <c r="BH52" t="s">
        <v>674</v>
      </c>
      <c r="BI52" t="s">
        <v>674</v>
      </c>
      <c r="BJ52" t="s">
        <v>674</v>
      </c>
      <c r="BK52" t="s">
        <v>674</v>
      </c>
      <c r="BL52" t="s">
        <v>674</v>
      </c>
      <c r="BM52" t="s">
        <v>674</v>
      </c>
      <c r="BN52" t="s">
        <v>674</v>
      </c>
      <c r="BO52" t="s">
        <v>674</v>
      </c>
      <c r="BP52" t="s">
        <v>674</v>
      </c>
      <c r="BQ52" t="s">
        <v>674</v>
      </c>
      <c r="BR52" t="s">
        <v>674</v>
      </c>
      <c r="BS52" t="s">
        <v>674</v>
      </c>
      <c r="BT52" t="s">
        <v>674</v>
      </c>
      <c r="BU52" t="s">
        <v>674</v>
      </c>
      <c r="BV52" t="s">
        <v>674</v>
      </c>
      <c r="BW52" t="s">
        <v>674</v>
      </c>
      <c r="BX52" t="s">
        <v>674</v>
      </c>
      <c r="BY52" t="s">
        <v>674</v>
      </c>
      <c r="BZ52" t="s">
        <v>674</v>
      </c>
      <c r="CA52" t="s">
        <v>674</v>
      </c>
      <c r="CB52" t="s">
        <v>674</v>
      </c>
      <c r="CC52" t="s">
        <v>674</v>
      </c>
      <c r="CD52" t="s">
        <v>674</v>
      </c>
      <c r="CE52" t="s">
        <v>674</v>
      </c>
      <c r="CF52" t="s">
        <v>674</v>
      </c>
      <c r="CG52" t="s">
        <v>674</v>
      </c>
      <c r="CH52" t="s">
        <v>674</v>
      </c>
      <c r="CI52" t="s">
        <v>674</v>
      </c>
    </row>
    <row r="53" spans="1:87" x14ac:dyDescent="0.25">
      <c r="A53" t="s">
        <v>405</v>
      </c>
      <c r="B53" t="s">
        <v>88</v>
      </c>
      <c r="D53" t="s">
        <v>406</v>
      </c>
      <c r="E53" t="s">
        <v>407</v>
      </c>
      <c r="F53" t="s">
        <v>674</v>
      </c>
      <c r="G53" t="s">
        <v>674</v>
      </c>
      <c r="H53" t="s">
        <v>674</v>
      </c>
      <c r="I53" t="s">
        <v>674</v>
      </c>
      <c r="J53" t="s">
        <v>674</v>
      </c>
      <c r="K53" t="s">
        <v>408</v>
      </c>
      <c r="L53" t="s">
        <v>674</v>
      </c>
      <c r="M53" s="1">
        <v>46258.849247685182</v>
      </c>
      <c r="N53" s="1">
        <v>46258.858877314815</v>
      </c>
      <c r="O53" s="1"/>
      <c r="P53" t="s">
        <v>674</v>
      </c>
      <c r="Q53" t="s">
        <v>674</v>
      </c>
      <c r="T53" t="s">
        <v>674</v>
      </c>
      <c r="U53" t="s">
        <v>674</v>
      </c>
      <c r="V53" t="s">
        <v>674</v>
      </c>
      <c r="W53" t="s">
        <v>674</v>
      </c>
      <c r="X53" t="s">
        <v>674</v>
      </c>
      <c r="Y53" t="s">
        <v>674</v>
      </c>
      <c r="Z53" t="s">
        <v>674</v>
      </c>
      <c r="AA53" t="s">
        <v>674</v>
      </c>
      <c r="AB53" t="s">
        <v>674</v>
      </c>
      <c r="AC53" t="s">
        <v>97</v>
      </c>
      <c r="AD53" t="s">
        <v>674</v>
      </c>
      <c r="AE53" t="s">
        <v>674</v>
      </c>
      <c r="AF53" t="s">
        <v>674</v>
      </c>
      <c r="AG53" t="s">
        <v>674</v>
      </c>
      <c r="AH53" t="s">
        <v>163</v>
      </c>
      <c r="AJ53" t="s">
        <v>674</v>
      </c>
      <c r="AK53" t="s">
        <v>674</v>
      </c>
      <c r="AL53" t="s">
        <v>409</v>
      </c>
      <c r="AM53" t="s">
        <v>674</v>
      </c>
      <c r="AN53" t="s">
        <v>410</v>
      </c>
      <c r="AO53" t="s">
        <v>674</v>
      </c>
      <c r="AP53" t="s">
        <v>674</v>
      </c>
      <c r="AQ53" t="s">
        <v>674</v>
      </c>
      <c r="AR53" t="s">
        <v>674</v>
      </c>
      <c r="AS53" t="s">
        <v>674</v>
      </c>
      <c r="AT53" t="s">
        <v>674</v>
      </c>
      <c r="AU53" t="s">
        <v>674</v>
      </c>
      <c r="AV53" t="s">
        <v>674</v>
      </c>
      <c r="AW53" t="s">
        <v>674</v>
      </c>
      <c r="AX53" t="s">
        <v>674</v>
      </c>
      <c r="AY53" t="s">
        <v>674</v>
      </c>
      <c r="AZ53" t="s">
        <v>674</v>
      </c>
      <c r="BA53" t="s">
        <v>674</v>
      </c>
      <c r="BB53" t="s">
        <v>674</v>
      </c>
      <c r="BC53" t="s">
        <v>674</v>
      </c>
      <c r="BD53" t="s">
        <v>674</v>
      </c>
      <c r="BE53" t="s">
        <v>674</v>
      </c>
      <c r="BF53" t="s">
        <v>674</v>
      </c>
      <c r="BG53" t="s">
        <v>674</v>
      </c>
      <c r="BH53" t="s">
        <v>674</v>
      </c>
      <c r="BI53" t="s">
        <v>674</v>
      </c>
      <c r="BJ53" t="s">
        <v>674</v>
      </c>
      <c r="BK53" t="s">
        <v>674</v>
      </c>
      <c r="BL53" t="s">
        <v>674</v>
      </c>
      <c r="BM53" t="s">
        <v>674</v>
      </c>
      <c r="BN53" t="s">
        <v>674</v>
      </c>
      <c r="BO53" t="s">
        <v>674</v>
      </c>
      <c r="BP53" t="s">
        <v>674</v>
      </c>
      <c r="BQ53" t="s">
        <v>674</v>
      </c>
      <c r="BR53" t="s">
        <v>674</v>
      </c>
      <c r="BS53" t="s">
        <v>674</v>
      </c>
      <c r="BT53" t="s">
        <v>674</v>
      </c>
      <c r="BU53" t="s">
        <v>674</v>
      </c>
      <c r="BV53" t="s">
        <v>674</v>
      </c>
      <c r="BW53" t="s">
        <v>674</v>
      </c>
      <c r="BX53" t="s">
        <v>674</v>
      </c>
      <c r="BY53" t="s">
        <v>674</v>
      </c>
      <c r="BZ53" t="s">
        <v>674</v>
      </c>
      <c r="CA53" t="s">
        <v>674</v>
      </c>
      <c r="CB53" t="s">
        <v>674</v>
      </c>
      <c r="CC53" t="s">
        <v>674</v>
      </c>
      <c r="CD53" t="s">
        <v>674</v>
      </c>
      <c r="CE53" t="s">
        <v>674</v>
      </c>
      <c r="CF53" t="s">
        <v>674</v>
      </c>
      <c r="CG53" t="s">
        <v>674</v>
      </c>
      <c r="CH53" t="s">
        <v>674</v>
      </c>
      <c r="CI53" t="s">
        <v>674</v>
      </c>
    </row>
    <row r="54" spans="1:87" x14ac:dyDescent="0.25">
      <c r="A54" t="s">
        <v>400</v>
      </c>
      <c r="B54" t="s">
        <v>88</v>
      </c>
      <c r="D54" t="s">
        <v>401</v>
      </c>
      <c r="E54" t="s">
        <v>402</v>
      </c>
      <c r="F54" t="s">
        <v>674</v>
      </c>
      <c r="G54" t="s">
        <v>674</v>
      </c>
      <c r="H54" t="s">
        <v>674</v>
      </c>
      <c r="I54" t="s">
        <v>674</v>
      </c>
      <c r="J54" t="s">
        <v>674</v>
      </c>
      <c r="K54" t="s">
        <v>674</v>
      </c>
      <c r="L54" t="s">
        <v>674</v>
      </c>
      <c r="M54" s="1">
        <v>46258.849178240744</v>
      </c>
      <c r="N54" s="1">
        <v>46258.861354166664</v>
      </c>
      <c r="O54" s="1"/>
      <c r="P54" t="s">
        <v>674</v>
      </c>
      <c r="Q54" t="s">
        <v>674</v>
      </c>
      <c r="T54" t="s">
        <v>674</v>
      </c>
      <c r="U54" t="s">
        <v>674</v>
      </c>
      <c r="V54" t="s">
        <v>674</v>
      </c>
      <c r="W54" t="s">
        <v>674</v>
      </c>
      <c r="X54" t="s">
        <v>674</v>
      </c>
      <c r="Y54" t="s">
        <v>674</v>
      </c>
      <c r="Z54" t="s">
        <v>674</v>
      </c>
      <c r="AA54" t="s">
        <v>674</v>
      </c>
      <c r="AB54" t="s">
        <v>674</v>
      </c>
      <c r="AC54" t="s">
        <v>97</v>
      </c>
      <c r="AD54" t="s">
        <v>674</v>
      </c>
      <c r="AE54" t="s">
        <v>674</v>
      </c>
      <c r="AF54" t="s">
        <v>674</v>
      </c>
      <c r="AG54" t="s">
        <v>674</v>
      </c>
      <c r="AH54" t="s">
        <v>163</v>
      </c>
      <c r="AJ54" t="s">
        <v>674</v>
      </c>
      <c r="AK54" t="s">
        <v>674</v>
      </c>
      <c r="AL54" t="s">
        <v>403</v>
      </c>
      <c r="AM54" t="s">
        <v>674</v>
      </c>
      <c r="AN54" t="s">
        <v>404</v>
      </c>
      <c r="AO54" t="s">
        <v>674</v>
      </c>
      <c r="AP54" t="s">
        <v>674</v>
      </c>
      <c r="AQ54" t="s">
        <v>674</v>
      </c>
      <c r="AR54" t="s">
        <v>674</v>
      </c>
      <c r="AS54" t="s">
        <v>674</v>
      </c>
      <c r="AT54" t="s">
        <v>674</v>
      </c>
      <c r="AU54" t="s">
        <v>674</v>
      </c>
      <c r="AV54" t="s">
        <v>674</v>
      </c>
      <c r="AW54" t="s">
        <v>674</v>
      </c>
      <c r="AX54" t="s">
        <v>674</v>
      </c>
      <c r="AY54" t="s">
        <v>674</v>
      </c>
      <c r="AZ54" t="s">
        <v>674</v>
      </c>
      <c r="BA54" t="s">
        <v>674</v>
      </c>
      <c r="BB54" t="s">
        <v>674</v>
      </c>
      <c r="BC54" t="s">
        <v>674</v>
      </c>
      <c r="BD54" t="s">
        <v>674</v>
      </c>
      <c r="BE54" t="s">
        <v>674</v>
      </c>
      <c r="BF54" t="s">
        <v>674</v>
      </c>
      <c r="BG54" t="s">
        <v>674</v>
      </c>
      <c r="BH54" t="s">
        <v>674</v>
      </c>
      <c r="BI54" t="s">
        <v>674</v>
      </c>
      <c r="BJ54" t="s">
        <v>674</v>
      </c>
      <c r="BK54" t="s">
        <v>674</v>
      </c>
      <c r="BL54" t="s">
        <v>674</v>
      </c>
      <c r="BM54" t="s">
        <v>674</v>
      </c>
      <c r="BN54" t="s">
        <v>674</v>
      </c>
      <c r="BO54" t="s">
        <v>674</v>
      </c>
      <c r="BP54" t="s">
        <v>674</v>
      </c>
      <c r="BQ54" t="s">
        <v>674</v>
      </c>
      <c r="BR54" t="s">
        <v>674</v>
      </c>
      <c r="BS54" t="s">
        <v>674</v>
      </c>
      <c r="BT54" t="s">
        <v>674</v>
      </c>
      <c r="BU54" t="s">
        <v>674</v>
      </c>
      <c r="BV54" t="s">
        <v>674</v>
      </c>
      <c r="BW54" t="s">
        <v>674</v>
      </c>
      <c r="BX54" t="s">
        <v>674</v>
      </c>
      <c r="BY54" t="s">
        <v>674</v>
      </c>
      <c r="BZ54" t="s">
        <v>674</v>
      </c>
      <c r="CA54" t="s">
        <v>674</v>
      </c>
      <c r="CB54" t="s">
        <v>674</v>
      </c>
      <c r="CC54" t="s">
        <v>674</v>
      </c>
      <c r="CD54" t="s">
        <v>674</v>
      </c>
      <c r="CE54" t="s">
        <v>674</v>
      </c>
      <c r="CF54" t="s">
        <v>674</v>
      </c>
      <c r="CG54" t="s">
        <v>674</v>
      </c>
      <c r="CH54" t="s">
        <v>674</v>
      </c>
      <c r="CI54" t="s">
        <v>674</v>
      </c>
    </row>
    <row r="55" spans="1:87" x14ac:dyDescent="0.25">
      <c r="A55" t="s">
        <v>390</v>
      </c>
      <c r="B55" t="s">
        <v>126</v>
      </c>
      <c r="C55">
        <v>2026</v>
      </c>
      <c r="D55" t="s">
        <v>391</v>
      </c>
      <c r="E55" t="s">
        <v>392</v>
      </c>
      <c r="F55" t="s">
        <v>393</v>
      </c>
      <c r="G55" t="s">
        <v>394</v>
      </c>
      <c r="H55" t="s">
        <v>674</v>
      </c>
      <c r="I55" t="s">
        <v>395</v>
      </c>
      <c r="J55" t="s">
        <v>396</v>
      </c>
      <c r="K55" t="s">
        <v>674</v>
      </c>
      <c r="L55" t="s">
        <v>692</v>
      </c>
      <c r="M55" s="1">
        <v>46258.846030092594</v>
      </c>
      <c r="N55" s="1">
        <v>46258.846388888887</v>
      </c>
      <c r="O55" s="1">
        <v>46258.846030092594</v>
      </c>
      <c r="P55" t="s">
        <v>693</v>
      </c>
      <c r="Q55" t="s">
        <v>674</v>
      </c>
      <c r="T55" t="s">
        <v>674</v>
      </c>
      <c r="U55" t="s">
        <v>674</v>
      </c>
      <c r="V55" t="s">
        <v>674</v>
      </c>
      <c r="W55" t="s">
        <v>674</v>
      </c>
      <c r="X55" t="s">
        <v>674</v>
      </c>
      <c r="Y55" t="s">
        <v>674</v>
      </c>
      <c r="Z55" t="s">
        <v>674</v>
      </c>
      <c r="AA55" t="s">
        <v>133</v>
      </c>
      <c r="AB55" t="s">
        <v>397</v>
      </c>
      <c r="AC55" t="s">
        <v>674</v>
      </c>
      <c r="AD55" t="s">
        <v>135</v>
      </c>
      <c r="AE55" t="s">
        <v>674</v>
      </c>
      <c r="AF55" t="s">
        <v>674</v>
      </c>
      <c r="AG55" t="s">
        <v>674</v>
      </c>
      <c r="AH55" t="s">
        <v>99</v>
      </c>
      <c r="AJ55" t="s">
        <v>674</v>
      </c>
      <c r="AK55" t="s">
        <v>674</v>
      </c>
      <c r="AL55" t="s">
        <v>694</v>
      </c>
      <c r="AM55" t="s">
        <v>674</v>
      </c>
      <c r="AN55" t="s">
        <v>399</v>
      </c>
      <c r="AO55" t="s">
        <v>674</v>
      </c>
      <c r="AP55" t="s">
        <v>674</v>
      </c>
      <c r="AQ55" t="s">
        <v>674</v>
      </c>
      <c r="AR55" t="s">
        <v>674</v>
      </c>
      <c r="AS55" t="s">
        <v>674</v>
      </c>
      <c r="AT55" t="s">
        <v>674</v>
      </c>
      <c r="AU55" t="s">
        <v>674</v>
      </c>
      <c r="AV55" t="s">
        <v>674</v>
      </c>
      <c r="AW55" t="s">
        <v>674</v>
      </c>
      <c r="AX55" t="s">
        <v>674</v>
      </c>
      <c r="AY55" t="s">
        <v>674</v>
      </c>
      <c r="AZ55" t="s">
        <v>674</v>
      </c>
      <c r="BA55" t="s">
        <v>674</v>
      </c>
      <c r="BB55" t="s">
        <v>674</v>
      </c>
      <c r="BC55" t="s">
        <v>674</v>
      </c>
      <c r="BD55" t="s">
        <v>674</v>
      </c>
      <c r="BE55" t="s">
        <v>674</v>
      </c>
      <c r="BF55" t="s">
        <v>674</v>
      </c>
      <c r="BG55" t="s">
        <v>674</v>
      </c>
      <c r="BH55" t="s">
        <v>674</v>
      </c>
      <c r="BI55" t="s">
        <v>674</v>
      </c>
      <c r="BJ55" t="s">
        <v>674</v>
      </c>
      <c r="BK55" t="s">
        <v>674</v>
      </c>
      <c r="BL55" t="s">
        <v>674</v>
      </c>
      <c r="BM55" t="s">
        <v>674</v>
      </c>
      <c r="BN55" t="s">
        <v>674</v>
      </c>
      <c r="BO55" t="s">
        <v>674</v>
      </c>
      <c r="BP55" t="s">
        <v>674</v>
      </c>
      <c r="BQ55" t="s">
        <v>674</v>
      </c>
      <c r="BR55" t="s">
        <v>674</v>
      </c>
      <c r="BS55" t="s">
        <v>674</v>
      </c>
      <c r="BT55" t="s">
        <v>393</v>
      </c>
      <c r="BU55" t="s">
        <v>674</v>
      </c>
      <c r="BV55" t="s">
        <v>674</v>
      </c>
      <c r="BW55" t="s">
        <v>674</v>
      </c>
      <c r="BX55" t="s">
        <v>674</v>
      </c>
      <c r="BY55" t="s">
        <v>674</v>
      </c>
      <c r="BZ55" t="s">
        <v>674</v>
      </c>
      <c r="CA55" t="s">
        <v>674</v>
      </c>
      <c r="CB55" t="s">
        <v>674</v>
      </c>
      <c r="CC55" t="s">
        <v>674</v>
      </c>
      <c r="CD55" t="s">
        <v>674</v>
      </c>
      <c r="CE55" t="s">
        <v>674</v>
      </c>
      <c r="CF55" t="s">
        <v>674</v>
      </c>
      <c r="CG55" t="s">
        <v>674</v>
      </c>
      <c r="CH55" t="s">
        <v>674</v>
      </c>
      <c r="CI55" t="s">
        <v>674</v>
      </c>
    </row>
    <row r="56" spans="1:87" x14ac:dyDescent="0.25">
      <c r="A56" t="s">
        <v>379</v>
      </c>
      <c r="B56" t="s">
        <v>126</v>
      </c>
      <c r="C56">
        <v>2025</v>
      </c>
      <c r="D56" t="s">
        <v>380</v>
      </c>
      <c r="E56" t="s">
        <v>381</v>
      </c>
      <c r="F56" t="s">
        <v>382</v>
      </c>
      <c r="G56" t="s">
        <v>383</v>
      </c>
      <c r="H56" t="s">
        <v>674</v>
      </c>
      <c r="I56" t="s">
        <v>384</v>
      </c>
      <c r="J56" t="s">
        <v>385</v>
      </c>
      <c r="K56" t="s">
        <v>674</v>
      </c>
      <c r="L56" t="s">
        <v>691</v>
      </c>
      <c r="M56" s="1">
        <v>46258.845925925925</v>
      </c>
      <c r="N56" s="1">
        <v>46258.847048611111</v>
      </c>
      <c r="O56" s="1">
        <v>46258.845925925925</v>
      </c>
      <c r="P56" t="s">
        <v>386</v>
      </c>
      <c r="Q56" t="s">
        <v>674</v>
      </c>
      <c r="T56" t="s">
        <v>674</v>
      </c>
      <c r="U56" t="s">
        <v>674</v>
      </c>
      <c r="V56" t="s">
        <v>674</v>
      </c>
      <c r="W56" t="s">
        <v>674</v>
      </c>
      <c r="X56" t="s">
        <v>674</v>
      </c>
      <c r="Y56" t="s">
        <v>674</v>
      </c>
      <c r="Z56" t="s">
        <v>674</v>
      </c>
      <c r="AA56" t="s">
        <v>133</v>
      </c>
      <c r="AB56" t="s">
        <v>387</v>
      </c>
      <c r="AC56" t="s">
        <v>674</v>
      </c>
      <c r="AD56" t="s">
        <v>135</v>
      </c>
      <c r="AE56" t="s">
        <v>674</v>
      </c>
      <c r="AF56" t="s">
        <v>674</v>
      </c>
      <c r="AG56" t="s">
        <v>674</v>
      </c>
      <c r="AH56" t="s">
        <v>99</v>
      </c>
      <c r="AJ56" t="s">
        <v>674</v>
      </c>
      <c r="AK56" t="s">
        <v>674</v>
      </c>
      <c r="AL56" t="s">
        <v>388</v>
      </c>
      <c r="AM56" t="s">
        <v>674</v>
      </c>
      <c r="AN56" t="s">
        <v>389</v>
      </c>
      <c r="AO56" t="s">
        <v>674</v>
      </c>
      <c r="AP56" t="s">
        <v>674</v>
      </c>
      <c r="AQ56" t="s">
        <v>674</v>
      </c>
      <c r="AR56" t="s">
        <v>674</v>
      </c>
      <c r="AS56" t="s">
        <v>674</v>
      </c>
      <c r="AT56" t="s">
        <v>674</v>
      </c>
      <c r="AU56" t="s">
        <v>674</v>
      </c>
      <c r="AV56" t="s">
        <v>674</v>
      </c>
      <c r="AW56" t="s">
        <v>674</v>
      </c>
      <c r="AX56" t="s">
        <v>674</v>
      </c>
      <c r="AY56" t="s">
        <v>674</v>
      </c>
      <c r="AZ56" t="s">
        <v>674</v>
      </c>
      <c r="BA56" t="s">
        <v>674</v>
      </c>
      <c r="BB56" t="s">
        <v>674</v>
      </c>
      <c r="BC56" t="s">
        <v>674</v>
      </c>
      <c r="BD56" t="s">
        <v>674</v>
      </c>
      <c r="BE56" t="s">
        <v>674</v>
      </c>
      <c r="BF56" t="s">
        <v>674</v>
      </c>
      <c r="BG56" t="s">
        <v>674</v>
      </c>
      <c r="BH56" t="s">
        <v>674</v>
      </c>
      <c r="BI56" t="s">
        <v>674</v>
      </c>
      <c r="BJ56" t="s">
        <v>674</v>
      </c>
      <c r="BK56" t="s">
        <v>674</v>
      </c>
      <c r="BL56" t="s">
        <v>674</v>
      </c>
      <c r="BM56" t="s">
        <v>674</v>
      </c>
      <c r="BN56" t="s">
        <v>674</v>
      </c>
      <c r="BO56" t="s">
        <v>674</v>
      </c>
      <c r="BP56" t="s">
        <v>674</v>
      </c>
      <c r="BQ56" t="s">
        <v>674</v>
      </c>
      <c r="BR56" t="s">
        <v>674</v>
      </c>
      <c r="BS56" t="s">
        <v>674</v>
      </c>
      <c r="BT56" t="s">
        <v>382</v>
      </c>
      <c r="BU56" t="s">
        <v>674</v>
      </c>
      <c r="BV56" t="s">
        <v>674</v>
      </c>
      <c r="BW56" t="s">
        <v>674</v>
      </c>
      <c r="BX56" t="s">
        <v>674</v>
      </c>
      <c r="BY56" t="s">
        <v>674</v>
      </c>
      <c r="BZ56" t="s">
        <v>674</v>
      </c>
      <c r="CA56" t="s">
        <v>674</v>
      </c>
      <c r="CB56" t="s">
        <v>674</v>
      </c>
      <c r="CC56" t="s">
        <v>674</v>
      </c>
      <c r="CD56" t="s">
        <v>674</v>
      </c>
      <c r="CE56" t="s">
        <v>674</v>
      </c>
      <c r="CF56" t="s">
        <v>674</v>
      </c>
      <c r="CG56" t="s">
        <v>674</v>
      </c>
      <c r="CH56" t="s">
        <v>674</v>
      </c>
      <c r="CI56" t="s">
        <v>674</v>
      </c>
    </row>
    <row r="57" spans="1:87" x14ac:dyDescent="0.25">
      <c r="A57" t="s">
        <v>369</v>
      </c>
      <c r="B57" t="s">
        <v>88</v>
      </c>
      <c r="C57">
        <v>2006</v>
      </c>
      <c r="D57" t="s">
        <v>370</v>
      </c>
      <c r="E57" t="s">
        <v>371</v>
      </c>
      <c r="F57" t="s">
        <v>115</v>
      </c>
      <c r="G57" t="s">
        <v>674</v>
      </c>
      <c r="H57" t="s">
        <v>372</v>
      </c>
      <c r="I57" t="s">
        <v>373</v>
      </c>
      <c r="J57" t="s">
        <v>374</v>
      </c>
      <c r="K57" t="s">
        <v>674</v>
      </c>
      <c r="L57" t="s">
        <v>375</v>
      </c>
      <c r="M57" s="1">
        <v>46258.649189814816</v>
      </c>
      <c r="N57" s="1">
        <v>46258.845231481479</v>
      </c>
      <c r="O57" s="1">
        <v>46258.649189814816</v>
      </c>
      <c r="P57" t="s">
        <v>376</v>
      </c>
      <c r="Q57" t="s">
        <v>674</v>
      </c>
      <c r="R57">
        <v>2</v>
      </c>
      <c r="S57">
        <v>53</v>
      </c>
      <c r="T57" t="s">
        <v>674</v>
      </c>
      <c r="U57" t="s">
        <v>121</v>
      </c>
      <c r="V57" t="s">
        <v>674</v>
      </c>
      <c r="W57" t="s">
        <v>674</v>
      </c>
      <c r="X57" t="s">
        <v>674</v>
      </c>
      <c r="Y57" t="s">
        <v>674</v>
      </c>
      <c r="Z57" t="s">
        <v>674</v>
      </c>
      <c r="AA57" t="s">
        <v>674</v>
      </c>
      <c r="AB57" t="s">
        <v>674</v>
      </c>
      <c r="AC57" t="s">
        <v>674</v>
      </c>
      <c r="AD57" t="s">
        <v>122</v>
      </c>
      <c r="AE57" t="s">
        <v>674</v>
      </c>
      <c r="AF57" t="s">
        <v>674</v>
      </c>
      <c r="AG57" t="s">
        <v>674</v>
      </c>
      <c r="AH57" t="s">
        <v>99</v>
      </c>
      <c r="AJ57" t="s">
        <v>674</v>
      </c>
      <c r="AK57" t="s">
        <v>674</v>
      </c>
      <c r="AL57" t="s">
        <v>377</v>
      </c>
      <c r="AM57" t="s">
        <v>674</v>
      </c>
      <c r="AN57" t="s">
        <v>378</v>
      </c>
      <c r="AO57" t="s">
        <v>674</v>
      </c>
      <c r="AP57" t="s">
        <v>674</v>
      </c>
      <c r="AQ57" t="s">
        <v>674</v>
      </c>
      <c r="AR57" t="s">
        <v>674</v>
      </c>
      <c r="AS57" t="s">
        <v>674</v>
      </c>
      <c r="AT57" t="s">
        <v>674</v>
      </c>
      <c r="AU57" t="s">
        <v>674</v>
      </c>
      <c r="AV57" t="s">
        <v>674</v>
      </c>
      <c r="AW57" t="s">
        <v>674</v>
      </c>
      <c r="AX57" t="s">
        <v>674</v>
      </c>
      <c r="AY57" t="s">
        <v>674</v>
      </c>
      <c r="AZ57" t="s">
        <v>674</v>
      </c>
      <c r="BA57" t="s">
        <v>674</v>
      </c>
      <c r="BB57" t="s">
        <v>674</v>
      </c>
      <c r="BC57" t="s">
        <v>674</v>
      </c>
      <c r="BD57" t="s">
        <v>674</v>
      </c>
      <c r="BE57" t="s">
        <v>674</v>
      </c>
      <c r="BF57" t="s">
        <v>674</v>
      </c>
      <c r="BG57" t="s">
        <v>674</v>
      </c>
      <c r="BH57" t="s">
        <v>674</v>
      </c>
      <c r="BI57" t="s">
        <v>674</v>
      </c>
      <c r="BJ57" t="s">
        <v>674</v>
      </c>
      <c r="BK57" t="s">
        <v>674</v>
      </c>
      <c r="BL57" t="s">
        <v>674</v>
      </c>
      <c r="BM57" t="s">
        <v>674</v>
      </c>
      <c r="BN57" t="s">
        <v>674</v>
      </c>
      <c r="BO57" t="s">
        <v>674</v>
      </c>
      <c r="BP57" t="s">
        <v>674</v>
      </c>
      <c r="BQ57" t="s">
        <v>674</v>
      </c>
      <c r="BR57" t="s">
        <v>674</v>
      </c>
      <c r="BS57" t="s">
        <v>674</v>
      </c>
      <c r="BT57" t="s">
        <v>674</v>
      </c>
      <c r="BU57" t="s">
        <v>674</v>
      </c>
      <c r="BV57" t="s">
        <v>674</v>
      </c>
      <c r="BW57" t="s">
        <v>674</v>
      </c>
      <c r="BX57" t="s">
        <v>674</v>
      </c>
      <c r="BY57" t="s">
        <v>674</v>
      </c>
      <c r="BZ57" t="s">
        <v>674</v>
      </c>
      <c r="CA57" t="s">
        <v>674</v>
      </c>
      <c r="CB57" t="s">
        <v>674</v>
      </c>
      <c r="CC57" t="s">
        <v>674</v>
      </c>
      <c r="CD57" t="s">
        <v>674</v>
      </c>
      <c r="CE57" t="s">
        <v>674</v>
      </c>
      <c r="CF57" t="s">
        <v>674</v>
      </c>
      <c r="CG57" t="s">
        <v>674</v>
      </c>
      <c r="CH57" t="s">
        <v>674</v>
      </c>
      <c r="CI57" t="s">
        <v>674</v>
      </c>
    </row>
    <row r="58" spans="1:87" x14ac:dyDescent="0.25">
      <c r="A58" t="s">
        <v>359</v>
      </c>
      <c r="B58" t="s">
        <v>126</v>
      </c>
      <c r="C58">
        <v>2014</v>
      </c>
      <c r="D58" t="s">
        <v>360</v>
      </c>
      <c r="E58" t="s">
        <v>361</v>
      </c>
      <c r="F58" t="s">
        <v>362</v>
      </c>
      <c r="G58" t="s">
        <v>363</v>
      </c>
      <c r="H58" t="s">
        <v>674</v>
      </c>
      <c r="I58" t="s">
        <v>364</v>
      </c>
      <c r="J58" t="s">
        <v>365</v>
      </c>
      <c r="K58" t="s">
        <v>674</v>
      </c>
      <c r="L58" t="s">
        <v>690</v>
      </c>
      <c r="M58" s="1">
        <v>46258.639236111114</v>
      </c>
      <c r="N58" s="1">
        <v>46258.646979166668</v>
      </c>
      <c r="O58" s="1">
        <v>46258.639236111114</v>
      </c>
      <c r="P58" t="s">
        <v>674</v>
      </c>
      <c r="Q58" t="s">
        <v>674</v>
      </c>
      <c r="T58" t="s">
        <v>674</v>
      </c>
      <c r="U58" t="s">
        <v>674</v>
      </c>
      <c r="V58" t="s">
        <v>674</v>
      </c>
      <c r="W58" t="s">
        <v>674</v>
      </c>
      <c r="X58" t="s">
        <v>674</v>
      </c>
      <c r="Y58" t="s">
        <v>674</v>
      </c>
      <c r="Z58" t="s">
        <v>674</v>
      </c>
      <c r="AA58" t="s">
        <v>366</v>
      </c>
      <c r="AB58" t="s">
        <v>674</v>
      </c>
      <c r="AC58" t="s">
        <v>674</v>
      </c>
      <c r="AD58" t="s">
        <v>674</v>
      </c>
      <c r="AE58" t="s">
        <v>674</v>
      </c>
      <c r="AF58" t="s">
        <v>674</v>
      </c>
      <c r="AG58" t="s">
        <v>674</v>
      </c>
      <c r="AH58" t="s">
        <v>99</v>
      </c>
      <c r="AJ58" t="s">
        <v>674</v>
      </c>
      <c r="AK58" t="s">
        <v>674</v>
      </c>
      <c r="AL58" t="s">
        <v>367</v>
      </c>
      <c r="AM58" t="s">
        <v>674</v>
      </c>
      <c r="AN58" t="s">
        <v>358</v>
      </c>
      <c r="AO58" t="s">
        <v>674</v>
      </c>
      <c r="AP58" t="s">
        <v>674</v>
      </c>
      <c r="AQ58" t="s">
        <v>674</v>
      </c>
      <c r="AR58" t="s">
        <v>674</v>
      </c>
      <c r="AS58" t="s">
        <v>674</v>
      </c>
      <c r="AT58" t="s">
        <v>674</v>
      </c>
      <c r="AU58" t="s">
        <v>674</v>
      </c>
      <c r="AV58" t="s">
        <v>674</v>
      </c>
      <c r="AW58" t="s">
        <v>674</v>
      </c>
      <c r="AX58" t="s">
        <v>674</v>
      </c>
      <c r="AY58" t="s">
        <v>674</v>
      </c>
      <c r="AZ58" t="s">
        <v>674</v>
      </c>
      <c r="BA58" t="s">
        <v>674</v>
      </c>
      <c r="BB58" t="s">
        <v>674</v>
      </c>
      <c r="BC58" t="s">
        <v>674</v>
      </c>
      <c r="BD58" t="s">
        <v>674</v>
      </c>
      <c r="BE58" t="s">
        <v>674</v>
      </c>
      <c r="BF58" t="s">
        <v>674</v>
      </c>
      <c r="BG58" t="s">
        <v>674</v>
      </c>
      <c r="BH58" t="s">
        <v>674</v>
      </c>
      <c r="BI58" t="s">
        <v>674</v>
      </c>
      <c r="BJ58" t="s">
        <v>674</v>
      </c>
      <c r="BK58" t="s">
        <v>674</v>
      </c>
      <c r="BL58" t="s">
        <v>674</v>
      </c>
      <c r="BM58" t="s">
        <v>674</v>
      </c>
      <c r="BN58" t="s">
        <v>674</v>
      </c>
      <c r="BO58" t="s">
        <v>674</v>
      </c>
      <c r="BP58" t="s">
        <v>674</v>
      </c>
      <c r="BQ58" t="s">
        <v>674</v>
      </c>
      <c r="BR58" t="s">
        <v>674</v>
      </c>
      <c r="BS58" t="s">
        <v>674</v>
      </c>
      <c r="BT58" t="s">
        <v>368</v>
      </c>
      <c r="BU58" t="s">
        <v>674</v>
      </c>
      <c r="BV58" t="s">
        <v>674</v>
      </c>
      <c r="BW58" t="s">
        <v>674</v>
      </c>
      <c r="BX58" t="s">
        <v>674</v>
      </c>
      <c r="BY58" t="s">
        <v>674</v>
      </c>
      <c r="BZ58" t="s">
        <v>674</v>
      </c>
      <c r="CA58" t="s">
        <v>674</v>
      </c>
      <c r="CB58" t="s">
        <v>674</v>
      </c>
      <c r="CC58" t="s">
        <v>674</v>
      </c>
      <c r="CD58" t="s">
        <v>674</v>
      </c>
      <c r="CE58" t="s">
        <v>674</v>
      </c>
      <c r="CF58" t="s">
        <v>674</v>
      </c>
      <c r="CG58" t="s">
        <v>674</v>
      </c>
      <c r="CH58" t="s">
        <v>674</v>
      </c>
      <c r="CI58" t="s">
        <v>674</v>
      </c>
    </row>
    <row r="59" spans="1:87" x14ac:dyDescent="0.25">
      <c r="A59" t="s">
        <v>350</v>
      </c>
      <c r="B59" t="s">
        <v>88</v>
      </c>
      <c r="C59">
        <v>2019</v>
      </c>
      <c r="D59" t="s">
        <v>351</v>
      </c>
      <c r="E59" t="s">
        <v>352</v>
      </c>
      <c r="F59" t="s">
        <v>115</v>
      </c>
      <c r="G59" t="s">
        <v>674</v>
      </c>
      <c r="H59" t="s">
        <v>116</v>
      </c>
      <c r="I59" t="s">
        <v>353</v>
      </c>
      <c r="J59" t="s">
        <v>354</v>
      </c>
      <c r="K59" t="s">
        <v>674</v>
      </c>
      <c r="L59" t="s">
        <v>355</v>
      </c>
      <c r="M59" s="1">
        <v>46258.639074074075</v>
      </c>
      <c r="N59" s="1">
        <v>46258.647997685184</v>
      </c>
      <c r="O59" s="1">
        <v>46258.639074074075</v>
      </c>
      <c r="P59" t="s">
        <v>356</v>
      </c>
      <c r="Q59" t="s">
        <v>674</v>
      </c>
      <c r="R59">
        <v>4</v>
      </c>
      <c r="S59">
        <v>66</v>
      </c>
      <c r="T59" t="s">
        <v>674</v>
      </c>
      <c r="U59" t="s">
        <v>121</v>
      </c>
      <c r="V59" t="s">
        <v>674</v>
      </c>
      <c r="W59" t="s">
        <v>674</v>
      </c>
      <c r="X59" t="s">
        <v>674</v>
      </c>
      <c r="Y59" t="s">
        <v>674</v>
      </c>
      <c r="Z59" t="s">
        <v>674</v>
      </c>
      <c r="AA59" t="s">
        <v>674</v>
      </c>
      <c r="AB59" t="s">
        <v>674</v>
      </c>
      <c r="AC59" t="s">
        <v>674</v>
      </c>
      <c r="AD59" t="s">
        <v>122</v>
      </c>
      <c r="AE59" t="s">
        <v>674</v>
      </c>
      <c r="AF59" t="s">
        <v>674</v>
      </c>
      <c r="AG59" t="s">
        <v>674</v>
      </c>
      <c r="AH59" t="s">
        <v>99</v>
      </c>
      <c r="AJ59" t="s">
        <v>674</v>
      </c>
      <c r="AK59" t="s">
        <v>674</v>
      </c>
      <c r="AL59" t="s">
        <v>357</v>
      </c>
      <c r="AM59" t="s">
        <v>674</v>
      </c>
      <c r="AN59" t="s">
        <v>358</v>
      </c>
      <c r="AO59" t="s">
        <v>674</v>
      </c>
      <c r="AP59" t="s">
        <v>674</v>
      </c>
      <c r="AQ59" t="s">
        <v>674</v>
      </c>
      <c r="AR59" t="s">
        <v>674</v>
      </c>
      <c r="AS59" t="s">
        <v>674</v>
      </c>
      <c r="AT59" t="s">
        <v>674</v>
      </c>
      <c r="AU59" t="s">
        <v>674</v>
      </c>
      <c r="AV59" t="s">
        <v>674</v>
      </c>
      <c r="AW59" t="s">
        <v>674</v>
      </c>
      <c r="AX59" t="s">
        <v>674</v>
      </c>
      <c r="AY59" t="s">
        <v>674</v>
      </c>
      <c r="AZ59" t="s">
        <v>674</v>
      </c>
      <c r="BA59" t="s">
        <v>674</v>
      </c>
      <c r="BB59" t="s">
        <v>674</v>
      </c>
      <c r="BC59" t="s">
        <v>674</v>
      </c>
      <c r="BD59" t="s">
        <v>674</v>
      </c>
      <c r="BE59" t="s">
        <v>674</v>
      </c>
      <c r="BF59" t="s">
        <v>674</v>
      </c>
      <c r="BG59" t="s">
        <v>674</v>
      </c>
      <c r="BH59" t="s">
        <v>674</v>
      </c>
      <c r="BI59" t="s">
        <v>674</v>
      </c>
      <c r="BJ59" t="s">
        <v>674</v>
      </c>
      <c r="BK59" t="s">
        <v>674</v>
      </c>
      <c r="BL59" t="s">
        <v>674</v>
      </c>
      <c r="BM59" t="s">
        <v>674</v>
      </c>
      <c r="BN59" t="s">
        <v>674</v>
      </c>
      <c r="BO59" t="s">
        <v>674</v>
      </c>
      <c r="BP59" t="s">
        <v>674</v>
      </c>
      <c r="BQ59" t="s">
        <v>674</v>
      </c>
      <c r="BR59" t="s">
        <v>674</v>
      </c>
      <c r="BS59" t="s">
        <v>674</v>
      </c>
      <c r="BT59" t="s">
        <v>674</v>
      </c>
      <c r="BU59" t="s">
        <v>674</v>
      </c>
      <c r="BV59" t="s">
        <v>674</v>
      </c>
      <c r="BW59" t="s">
        <v>674</v>
      </c>
      <c r="BX59" t="s">
        <v>674</v>
      </c>
      <c r="BY59" t="s">
        <v>674</v>
      </c>
      <c r="BZ59" t="s">
        <v>674</v>
      </c>
      <c r="CA59" t="s">
        <v>674</v>
      </c>
      <c r="CB59" t="s">
        <v>674</v>
      </c>
      <c r="CC59" t="s">
        <v>674</v>
      </c>
      <c r="CD59" t="s">
        <v>674</v>
      </c>
      <c r="CE59" t="s">
        <v>674</v>
      </c>
      <c r="CF59" t="s">
        <v>674</v>
      </c>
      <c r="CG59" t="s">
        <v>674</v>
      </c>
      <c r="CH59" t="s">
        <v>674</v>
      </c>
      <c r="CI59" t="s">
        <v>674</v>
      </c>
    </row>
    <row r="60" spans="1:87" x14ac:dyDescent="0.25">
      <c r="A60" t="s">
        <v>338</v>
      </c>
      <c r="B60" t="s">
        <v>88</v>
      </c>
      <c r="C60">
        <v>2019</v>
      </c>
      <c r="D60" t="s">
        <v>339</v>
      </c>
      <c r="E60" t="s">
        <v>340</v>
      </c>
      <c r="F60" t="s">
        <v>341</v>
      </c>
      <c r="G60" t="s">
        <v>674</v>
      </c>
      <c r="H60" t="s">
        <v>342</v>
      </c>
      <c r="I60" t="s">
        <v>343</v>
      </c>
      <c r="J60" t="s">
        <v>344</v>
      </c>
      <c r="K60" t="s">
        <v>674</v>
      </c>
      <c r="L60" t="s">
        <v>345</v>
      </c>
      <c r="M60" s="1">
        <v>46258.639016203706</v>
      </c>
      <c r="N60" s="1">
        <v>46258.647268518522</v>
      </c>
      <c r="O60" s="1">
        <v>46258.639016203706</v>
      </c>
      <c r="P60" t="s">
        <v>346</v>
      </c>
      <c r="Q60" t="s">
        <v>674</v>
      </c>
      <c r="R60">
        <v>4</v>
      </c>
      <c r="S60">
        <v>27</v>
      </c>
      <c r="T60" t="s">
        <v>674</v>
      </c>
      <c r="U60" t="s">
        <v>347</v>
      </c>
      <c r="V60" t="s">
        <v>674</v>
      </c>
      <c r="W60" t="s">
        <v>674</v>
      </c>
      <c r="X60" t="s">
        <v>674</v>
      </c>
      <c r="Y60" t="s">
        <v>674</v>
      </c>
      <c r="Z60" t="s">
        <v>674</v>
      </c>
      <c r="AA60" t="s">
        <v>674</v>
      </c>
      <c r="AB60" t="s">
        <v>674</v>
      </c>
      <c r="AC60" t="s">
        <v>674</v>
      </c>
      <c r="AD60" t="s">
        <v>122</v>
      </c>
      <c r="AE60" t="s">
        <v>674</v>
      </c>
      <c r="AF60" t="s">
        <v>674</v>
      </c>
      <c r="AG60" t="s">
        <v>674</v>
      </c>
      <c r="AH60" t="s">
        <v>99</v>
      </c>
      <c r="AJ60" t="s">
        <v>674</v>
      </c>
      <c r="AK60" t="s">
        <v>674</v>
      </c>
      <c r="AL60" t="s">
        <v>348</v>
      </c>
      <c r="AM60" t="s">
        <v>674</v>
      </c>
      <c r="AN60" t="s">
        <v>349</v>
      </c>
      <c r="AO60" t="s">
        <v>674</v>
      </c>
      <c r="AP60" t="s">
        <v>674</v>
      </c>
      <c r="AQ60" t="s">
        <v>674</v>
      </c>
      <c r="AR60" t="s">
        <v>674</v>
      </c>
      <c r="AS60" t="s">
        <v>674</v>
      </c>
      <c r="AT60" t="s">
        <v>674</v>
      </c>
      <c r="AU60" t="s">
        <v>674</v>
      </c>
      <c r="AV60" t="s">
        <v>674</v>
      </c>
      <c r="AW60" t="s">
        <v>674</v>
      </c>
      <c r="AX60" t="s">
        <v>674</v>
      </c>
      <c r="AY60" t="s">
        <v>674</v>
      </c>
      <c r="AZ60" t="s">
        <v>674</v>
      </c>
      <c r="BA60" t="s">
        <v>674</v>
      </c>
      <c r="BB60" t="s">
        <v>674</v>
      </c>
      <c r="BC60" t="s">
        <v>674</v>
      </c>
      <c r="BD60" t="s">
        <v>674</v>
      </c>
      <c r="BE60" t="s">
        <v>674</v>
      </c>
      <c r="BF60" t="s">
        <v>674</v>
      </c>
      <c r="BG60" t="s">
        <v>674</v>
      </c>
      <c r="BH60" t="s">
        <v>674</v>
      </c>
      <c r="BI60" t="s">
        <v>674</v>
      </c>
      <c r="BJ60" t="s">
        <v>674</v>
      </c>
      <c r="BK60" t="s">
        <v>674</v>
      </c>
      <c r="BL60" t="s">
        <v>674</v>
      </c>
      <c r="BM60" t="s">
        <v>674</v>
      </c>
      <c r="BN60" t="s">
        <v>674</v>
      </c>
      <c r="BO60" t="s">
        <v>674</v>
      </c>
      <c r="BP60" t="s">
        <v>674</v>
      </c>
      <c r="BQ60" t="s">
        <v>674</v>
      </c>
      <c r="BR60" t="s">
        <v>674</v>
      </c>
      <c r="BS60" t="s">
        <v>674</v>
      </c>
      <c r="BT60" t="s">
        <v>674</v>
      </c>
      <c r="BU60" t="s">
        <v>674</v>
      </c>
      <c r="BV60" t="s">
        <v>674</v>
      </c>
      <c r="BW60" t="s">
        <v>674</v>
      </c>
      <c r="BX60" t="s">
        <v>674</v>
      </c>
      <c r="BY60" t="s">
        <v>674</v>
      </c>
      <c r="BZ60" t="s">
        <v>674</v>
      </c>
      <c r="CA60" t="s">
        <v>674</v>
      </c>
      <c r="CB60" t="s">
        <v>674</v>
      </c>
      <c r="CC60" t="s">
        <v>674</v>
      </c>
      <c r="CD60" t="s">
        <v>674</v>
      </c>
      <c r="CE60" t="s">
        <v>674</v>
      </c>
      <c r="CF60" t="s">
        <v>674</v>
      </c>
      <c r="CG60" t="s">
        <v>674</v>
      </c>
      <c r="CH60" t="s">
        <v>674</v>
      </c>
      <c r="CI60" t="s">
        <v>674</v>
      </c>
    </row>
    <row r="61" spans="1:87" x14ac:dyDescent="0.25">
      <c r="A61" t="s">
        <v>327</v>
      </c>
      <c r="B61" t="s">
        <v>126</v>
      </c>
      <c r="C61">
        <v>2025</v>
      </c>
      <c r="D61" t="s">
        <v>328</v>
      </c>
      <c r="E61" t="s">
        <v>329</v>
      </c>
      <c r="F61" t="s">
        <v>330</v>
      </c>
      <c r="G61" t="s">
        <v>331</v>
      </c>
      <c r="H61" t="s">
        <v>674</v>
      </c>
      <c r="I61" t="s">
        <v>332</v>
      </c>
      <c r="J61" t="s">
        <v>333</v>
      </c>
      <c r="K61" t="s">
        <v>674</v>
      </c>
      <c r="L61" t="s">
        <v>689</v>
      </c>
      <c r="M61" s="1">
        <v>46258.637627314813</v>
      </c>
      <c r="N61" s="1">
        <v>46258.638101851851</v>
      </c>
      <c r="O61" s="1">
        <v>46258.637627314813</v>
      </c>
      <c r="P61" t="s">
        <v>334</v>
      </c>
      <c r="Q61" t="s">
        <v>674</v>
      </c>
      <c r="T61" t="s">
        <v>674</v>
      </c>
      <c r="U61" t="s">
        <v>674</v>
      </c>
      <c r="V61" t="s">
        <v>674</v>
      </c>
      <c r="W61" t="s">
        <v>674</v>
      </c>
      <c r="X61" t="s">
        <v>674</v>
      </c>
      <c r="Y61" t="s">
        <v>674</v>
      </c>
      <c r="Z61" t="s">
        <v>674</v>
      </c>
      <c r="AA61" t="s">
        <v>133</v>
      </c>
      <c r="AB61" t="s">
        <v>335</v>
      </c>
      <c r="AC61" t="s">
        <v>674</v>
      </c>
      <c r="AD61" t="s">
        <v>135</v>
      </c>
      <c r="AE61" t="s">
        <v>674</v>
      </c>
      <c r="AF61" t="s">
        <v>674</v>
      </c>
      <c r="AG61" t="s">
        <v>674</v>
      </c>
      <c r="AH61" t="s">
        <v>99</v>
      </c>
      <c r="AJ61" t="s">
        <v>674</v>
      </c>
      <c r="AK61" t="s">
        <v>674</v>
      </c>
      <c r="AL61" t="s">
        <v>336</v>
      </c>
      <c r="AM61" t="s">
        <v>674</v>
      </c>
      <c r="AN61" t="s">
        <v>337</v>
      </c>
      <c r="AO61" t="s">
        <v>674</v>
      </c>
      <c r="AP61" t="s">
        <v>674</v>
      </c>
      <c r="AQ61" t="s">
        <v>674</v>
      </c>
      <c r="AR61" t="s">
        <v>674</v>
      </c>
      <c r="AS61" t="s">
        <v>674</v>
      </c>
      <c r="AT61" t="s">
        <v>674</v>
      </c>
      <c r="AU61" t="s">
        <v>674</v>
      </c>
      <c r="AV61" t="s">
        <v>674</v>
      </c>
      <c r="AW61" t="s">
        <v>674</v>
      </c>
      <c r="AX61" t="s">
        <v>674</v>
      </c>
      <c r="AY61" t="s">
        <v>674</v>
      </c>
      <c r="AZ61" t="s">
        <v>674</v>
      </c>
      <c r="BA61" t="s">
        <v>674</v>
      </c>
      <c r="BB61" t="s">
        <v>674</v>
      </c>
      <c r="BC61" t="s">
        <v>674</v>
      </c>
      <c r="BD61" t="s">
        <v>674</v>
      </c>
      <c r="BE61" t="s">
        <v>674</v>
      </c>
      <c r="BF61" t="s">
        <v>674</v>
      </c>
      <c r="BG61" t="s">
        <v>674</v>
      </c>
      <c r="BH61" t="s">
        <v>674</v>
      </c>
      <c r="BI61" t="s">
        <v>674</v>
      </c>
      <c r="BJ61" t="s">
        <v>674</v>
      </c>
      <c r="BK61" t="s">
        <v>674</v>
      </c>
      <c r="BL61" t="s">
        <v>674</v>
      </c>
      <c r="BM61" t="s">
        <v>674</v>
      </c>
      <c r="BN61" t="s">
        <v>674</v>
      </c>
      <c r="BO61" t="s">
        <v>674</v>
      </c>
      <c r="BP61" t="s">
        <v>674</v>
      </c>
      <c r="BQ61" t="s">
        <v>674</v>
      </c>
      <c r="BR61" t="s">
        <v>674</v>
      </c>
      <c r="BS61" t="s">
        <v>674</v>
      </c>
      <c r="BT61" t="s">
        <v>330</v>
      </c>
      <c r="BU61" t="s">
        <v>674</v>
      </c>
      <c r="BV61" t="s">
        <v>674</v>
      </c>
      <c r="BW61" t="s">
        <v>674</v>
      </c>
      <c r="BX61" t="s">
        <v>674</v>
      </c>
      <c r="BY61" t="s">
        <v>674</v>
      </c>
      <c r="BZ61" t="s">
        <v>674</v>
      </c>
      <c r="CA61" t="s">
        <v>674</v>
      </c>
      <c r="CB61" t="s">
        <v>674</v>
      </c>
      <c r="CC61" t="s">
        <v>674</v>
      </c>
      <c r="CD61" t="s">
        <v>674</v>
      </c>
      <c r="CE61" t="s">
        <v>674</v>
      </c>
      <c r="CF61" t="s">
        <v>674</v>
      </c>
      <c r="CG61" t="s">
        <v>674</v>
      </c>
      <c r="CH61" t="s">
        <v>674</v>
      </c>
      <c r="CI61" t="s">
        <v>674</v>
      </c>
    </row>
    <row r="62" spans="1:87" x14ac:dyDescent="0.25">
      <c r="A62" t="s">
        <v>318</v>
      </c>
      <c r="B62" t="s">
        <v>88</v>
      </c>
      <c r="C62">
        <v>2016</v>
      </c>
      <c r="D62" t="s">
        <v>319</v>
      </c>
      <c r="E62" t="s">
        <v>320</v>
      </c>
      <c r="F62" t="s">
        <v>115</v>
      </c>
      <c r="G62" t="s">
        <v>674</v>
      </c>
      <c r="H62" t="s">
        <v>116</v>
      </c>
      <c r="I62" t="s">
        <v>321</v>
      </c>
      <c r="J62" t="s">
        <v>322</v>
      </c>
      <c r="K62" t="s">
        <v>674</v>
      </c>
      <c r="L62" t="s">
        <v>323</v>
      </c>
      <c r="M62" s="1">
        <v>46258.637569444443</v>
      </c>
      <c r="N62" s="1">
        <v>46258.638831018521</v>
      </c>
      <c r="O62" s="1">
        <v>46258.637569444443</v>
      </c>
      <c r="P62" t="s">
        <v>324</v>
      </c>
      <c r="Q62" t="s">
        <v>674</v>
      </c>
      <c r="R62">
        <v>7</v>
      </c>
      <c r="S62">
        <v>63</v>
      </c>
      <c r="T62" t="s">
        <v>674</v>
      </c>
      <c r="U62" t="s">
        <v>121</v>
      </c>
      <c r="V62" t="s">
        <v>674</v>
      </c>
      <c r="W62" t="s">
        <v>674</v>
      </c>
      <c r="X62" t="s">
        <v>674</v>
      </c>
      <c r="Y62" t="s">
        <v>674</v>
      </c>
      <c r="Z62" t="s">
        <v>674</v>
      </c>
      <c r="AA62" t="s">
        <v>674</v>
      </c>
      <c r="AB62" t="s">
        <v>674</v>
      </c>
      <c r="AC62" t="s">
        <v>674</v>
      </c>
      <c r="AD62" t="s">
        <v>122</v>
      </c>
      <c r="AE62" t="s">
        <v>674</v>
      </c>
      <c r="AF62" t="s">
        <v>674</v>
      </c>
      <c r="AG62" t="s">
        <v>674</v>
      </c>
      <c r="AH62" t="s">
        <v>99</v>
      </c>
      <c r="AJ62" t="s">
        <v>674</v>
      </c>
      <c r="AK62" t="s">
        <v>674</v>
      </c>
      <c r="AL62" t="s">
        <v>325</v>
      </c>
      <c r="AM62" t="s">
        <v>674</v>
      </c>
      <c r="AN62" t="s">
        <v>326</v>
      </c>
      <c r="AO62" t="s">
        <v>674</v>
      </c>
      <c r="AP62" t="s">
        <v>674</v>
      </c>
      <c r="AQ62" t="s">
        <v>674</v>
      </c>
      <c r="AR62" t="s">
        <v>674</v>
      </c>
      <c r="AS62" t="s">
        <v>674</v>
      </c>
      <c r="AT62" t="s">
        <v>674</v>
      </c>
      <c r="AU62" t="s">
        <v>674</v>
      </c>
      <c r="AV62" t="s">
        <v>674</v>
      </c>
      <c r="AW62" t="s">
        <v>674</v>
      </c>
      <c r="AX62" t="s">
        <v>674</v>
      </c>
      <c r="AY62" t="s">
        <v>674</v>
      </c>
      <c r="AZ62" t="s">
        <v>674</v>
      </c>
      <c r="BA62" t="s">
        <v>674</v>
      </c>
      <c r="BB62" t="s">
        <v>674</v>
      </c>
      <c r="BC62" t="s">
        <v>674</v>
      </c>
      <c r="BD62" t="s">
        <v>674</v>
      </c>
      <c r="BE62" t="s">
        <v>674</v>
      </c>
      <c r="BF62" t="s">
        <v>674</v>
      </c>
      <c r="BG62" t="s">
        <v>674</v>
      </c>
      <c r="BH62" t="s">
        <v>674</v>
      </c>
      <c r="BI62" t="s">
        <v>674</v>
      </c>
      <c r="BJ62" t="s">
        <v>674</v>
      </c>
      <c r="BK62" t="s">
        <v>674</v>
      </c>
      <c r="BL62" t="s">
        <v>674</v>
      </c>
      <c r="BM62" t="s">
        <v>674</v>
      </c>
      <c r="BN62" t="s">
        <v>674</v>
      </c>
      <c r="BO62" t="s">
        <v>674</v>
      </c>
      <c r="BP62" t="s">
        <v>674</v>
      </c>
      <c r="BQ62" t="s">
        <v>674</v>
      </c>
      <c r="BR62" t="s">
        <v>674</v>
      </c>
      <c r="BS62" t="s">
        <v>674</v>
      </c>
      <c r="BT62" t="s">
        <v>674</v>
      </c>
      <c r="BU62" t="s">
        <v>674</v>
      </c>
      <c r="BV62" t="s">
        <v>674</v>
      </c>
      <c r="BW62" t="s">
        <v>674</v>
      </c>
      <c r="BX62" t="s">
        <v>674</v>
      </c>
      <c r="BY62" t="s">
        <v>674</v>
      </c>
      <c r="BZ62" t="s">
        <v>674</v>
      </c>
      <c r="CA62" t="s">
        <v>674</v>
      </c>
      <c r="CB62" t="s">
        <v>674</v>
      </c>
      <c r="CC62" t="s">
        <v>674</v>
      </c>
      <c r="CD62" t="s">
        <v>674</v>
      </c>
      <c r="CE62" t="s">
        <v>674</v>
      </c>
      <c r="CF62" t="s">
        <v>674</v>
      </c>
      <c r="CG62" t="s">
        <v>674</v>
      </c>
      <c r="CH62" t="s">
        <v>674</v>
      </c>
      <c r="CI62" t="s">
        <v>674</v>
      </c>
    </row>
    <row r="63" spans="1:87" x14ac:dyDescent="0.25">
      <c r="A63" t="s">
        <v>304</v>
      </c>
      <c r="B63" t="s">
        <v>88</v>
      </c>
      <c r="C63">
        <v>2016</v>
      </c>
      <c r="D63" t="s">
        <v>305</v>
      </c>
      <c r="E63" t="s">
        <v>306</v>
      </c>
      <c r="F63" t="s">
        <v>307</v>
      </c>
      <c r="G63" t="s">
        <v>674</v>
      </c>
      <c r="H63" t="s">
        <v>308</v>
      </c>
      <c r="I63" t="s">
        <v>309</v>
      </c>
      <c r="J63" t="s">
        <v>310</v>
      </c>
      <c r="K63" t="s">
        <v>311</v>
      </c>
      <c r="L63" t="s">
        <v>312</v>
      </c>
      <c r="M63" s="1">
        <v>46258.612893518519</v>
      </c>
      <c r="N63" s="1">
        <v>46258.615659722222</v>
      </c>
      <c r="O63" s="1">
        <v>46258.612893518519</v>
      </c>
      <c r="P63" t="s">
        <v>313</v>
      </c>
      <c r="Q63" t="s">
        <v>674</v>
      </c>
      <c r="R63">
        <v>8</v>
      </c>
      <c r="S63">
        <v>10</v>
      </c>
      <c r="T63" t="s">
        <v>674</v>
      </c>
      <c r="U63" t="s">
        <v>314</v>
      </c>
      <c r="V63" t="s">
        <v>674</v>
      </c>
      <c r="W63" t="s">
        <v>674</v>
      </c>
      <c r="X63" t="s">
        <v>674</v>
      </c>
      <c r="Y63" t="s">
        <v>674</v>
      </c>
      <c r="Z63" t="s">
        <v>674</v>
      </c>
      <c r="AA63" t="s">
        <v>674</v>
      </c>
      <c r="AB63" t="s">
        <v>674</v>
      </c>
      <c r="AC63" t="s">
        <v>97</v>
      </c>
      <c r="AD63" t="s">
        <v>315</v>
      </c>
      <c r="AE63" t="s">
        <v>674</v>
      </c>
      <c r="AF63" t="s">
        <v>674</v>
      </c>
      <c r="AG63" t="s">
        <v>674</v>
      </c>
      <c r="AH63" t="s">
        <v>99</v>
      </c>
      <c r="AJ63" t="s">
        <v>674</v>
      </c>
      <c r="AK63" t="s">
        <v>674</v>
      </c>
      <c r="AL63" t="s">
        <v>316</v>
      </c>
      <c r="AM63" t="s">
        <v>674</v>
      </c>
      <c r="AN63" t="s">
        <v>317</v>
      </c>
      <c r="AO63" t="s">
        <v>674</v>
      </c>
      <c r="AP63" t="s">
        <v>674</v>
      </c>
      <c r="AQ63" t="s">
        <v>674</v>
      </c>
      <c r="AR63" t="s">
        <v>674</v>
      </c>
      <c r="AS63" t="s">
        <v>674</v>
      </c>
      <c r="AT63" t="s">
        <v>674</v>
      </c>
      <c r="AU63" t="s">
        <v>674</v>
      </c>
      <c r="AV63" t="s">
        <v>674</v>
      </c>
      <c r="AW63" t="s">
        <v>674</v>
      </c>
      <c r="AX63" t="s">
        <v>674</v>
      </c>
      <c r="AY63" t="s">
        <v>674</v>
      </c>
      <c r="AZ63" t="s">
        <v>674</v>
      </c>
      <c r="BA63" t="s">
        <v>674</v>
      </c>
      <c r="BB63" t="s">
        <v>674</v>
      </c>
      <c r="BC63" t="s">
        <v>674</v>
      </c>
      <c r="BD63" t="s">
        <v>674</v>
      </c>
      <c r="BE63" t="s">
        <v>674</v>
      </c>
      <c r="BF63" t="s">
        <v>674</v>
      </c>
      <c r="BG63" t="s">
        <v>674</v>
      </c>
      <c r="BH63" t="s">
        <v>674</v>
      </c>
      <c r="BI63" t="s">
        <v>674</v>
      </c>
      <c r="BJ63" t="s">
        <v>674</v>
      </c>
      <c r="BK63" t="s">
        <v>674</v>
      </c>
      <c r="BL63" t="s">
        <v>674</v>
      </c>
      <c r="BM63" t="s">
        <v>674</v>
      </c>
      <c r="BN63" t="s">
        <v>674</v>
      </c>
      <c r="BO63" t="s">
        <v>674</v>
      </c>
      <c r="BP63" t="s">
        <v>674</v>
      </c>
      <c r="BQ63" t="s">
        <v>674</v>
      </c>
      <c r="BR63" t="s">
        <v>674</v>
      </c>
      <c r="BS63" t="s">
        <v>674</v>
      </c>
      <c r="BT63" t="s">
        <v>674</v>
      </c>
      <c r="BU63" t="s">
        <v>674</v>
      </c>
      <c r="BV63" t="s">
        <v>674</v>
      </c>
      <c r="BW63" t="s">
        <v>674</v>
      </c>
      <c r="BX63" t="s">
        <v>674</v>
      </c>
      <c r="BY63" t="s">
        <v>674</v>
      </c>
      <c r="BZ63" t="s">
        <v>674</v>
      </c>
      <c r="CA63" t="s">
        <v>674</v>
      </c>
      <c r="CB63" t="s">
        <v>674</v>
      </c>
      <c r="CC63" t="s">
        <v>674</v>
      </c>
      <c r="CD63" t="s">
        <v>674</v>
      </c>
      <c r="CE63" t="s">
        <v>674</v>
      </c>
      <c r="CF63" t="s">
        <v>674</v>
      </c>
      <c r="CG63" t="s">
        <v>674</v>
      </c>
      <c r="CH63" t="s">
        <v>674</v>
      </c>
      <c r="CI63" t="s">
        <v>674</v>
      </c>
    </row>
    <row r="64" spans="1:87" x14ac:dyDescent="0.25">
      <c r="A64" t="s">
        <v>294</v>
      </c>
      <c r="B64" t="s">
        <v>88</v>
      </c>
      <c r="C64">
        <v>2022</v>
      </c>
      <c r="D64" t="s">
        <v>295</v>
      </c>
      <c r="E64" t="s">
        <v>296</v>
      </c>
      <c r="F64" t="s">
        <v>297</v>
      </c>
      <c r="G64" t="s">
        <v>674</v>
      </c>
      <c r="H64" t="s">
        <v>298</v>
      </c>
      <c r="I64" t="s">
        <v>299</v>
      </c>
      <c r="J64" t="s">
        <v>300</v>
      </c>
      <c r="K64" t="s">
        <v>301</v>
      </c>
      <c r="L64" t="s">
        <v>687</v>
      </c>
      <c r="M64" s="1">
        <v>46258.612835648149</v>
      </c>
      <c r="N64" s="1">
        <v>46258.616631944446</v>
      </c>
      <c r="O64" s="1">
        <v>46258.612835648149</v>
      </c>
      <c r="P64" t="s">
        <v>688</v>
      </c>
      <c r="Q64" t="s">
        <v>674</v>
      </c>
      <c r="R64">
        <v>1</v>
      </c>
      <c r="S64">
        <v>12</v>
      </c>
      <c r="T64" t="s">
        <v>674</v>
      </c>
      <c r="U64" t="s">
        <v>302</v>
      </c>
      <c r="V64" t="s">
        <v>674</v>
      </c>
      <c r="W64" t="s">
        <v>674</v>
      </c>
      <c r="X64" t="s">
        <v>674</v>
      </c>
      <c r="Y64" t="s">
        <v>674</v>
      </c>
      <c r="Z64" t="s">
        <v>674</v>
      </c>
      <c r="AA64" t="s">
        <v>674</v>
      </c>
      <c r="AB64" t="s">
        <v>674</v>
      </c>
      <c r="AC64" t="s">
        <v>97</v>
      </c>
      <c r="AD64" t="s">
        <v>674</v>
      </c>
      <c r="AE64" t="s">
        <v>674</v>
      </c>
      <c r="AF64" t="s">
        <v>674</v>
      </c>
      <c r="AG64" t="s">
        <v>674</v>
      </c>
      <c r="AH64" t="s">
        <v>99</v>
      </c>
      <c r="AJ64" t="s">
        <v>674</v>
      </c>
      <c r="AK64" t="s">
        <v>674</v>
      </c>
      <c r="AL64" t="s">
        <v>303</v>
      </c>
      <c r="AM64" t="s">
        <v>674</v>
      </c>
      <c r="AN64" t="s">
        <v>235</v>
      </c>
      <c r="AO64" t="s">
        <v>674</v>
      </c>
      <c r="AP64" t="s">
        <v>674</v>
      </c>
      <c r="AQ64" t="s">
        <v>674</v>
      </c>
      <c r="AR64" t="s">
        <v>674</v>
      </c>
      <c r="AS64" t="s">
        <v>674</v>
      </c>
      <c r="AT64" t="s">
        <v>674</v>
      </c>
      <c r="AU64" t="s">
        <v>674</v>
      </c>
      <c r="AV64" t="s">
        <v>674</v>
      </c>
      <c r="AW64" t="s">
        <v>674</v>
      </c>
      <c r="AX64" t="s">
        <v>674</v>
      </c>
      <c r="AY64" t="s">
        <v>674</v>
      </c>
      <c r="AZ64" t="s">
        <v>674</v>
      </c>
      <c r="BA64" t="s">
        <v>674</v>
      </c>
      <c r="BB64" t="s">
        <v>674</v>
      </c>
      <c r="BC64" t="s">
        <v>674</v>
      </c>
      <c r="BD64" t="s">
        <v>674</v>
      </c>
      <c r="BE64" t="s">
        <v>674</v>
      </c>
      <c r="BF64" t="s">
        <v>674</v>
      </c>
      <c r="BG64" t="s">
        <v>674</v>
      </c>
      <c r="BH64" t="s">
        <v>674</v>
      </c>
      <c r="BI64" t="s">
        <v>674</v>
      </c>
      <c r="BJ64" t="s">
        <v>674</v>
      </c>
      <c r="BK64" t="s">
        <v>674</v>
      </c>
      <c r="BL64" t="s">
        <v>674</v>
      </c>
      <c r="BM64" t="s">
        <v>674</v>
      </c>
      <c r="BN64" t="s">
        <v>674</v>
      </c>
      <c r="BO64" t="s">
        <v>674</v>
      </c>
      <c r="BP64" t="s">
        <v>674</v>
      </c>
      <c r="BQ64" t="s">
        <v>674</v>
      </c>
      <c r="BR64" t="s">
        <v>674</v>
      </c>
      <c r="BS64" t="s">
        <v>674</v>
      </c>
      <c r="BT64" t="s">
        <v>674</v>
      </c>
      <c r="BU64" t="s">
        <v>674</v>
      </c>
      <c r="BV64" t="s">
        <v>674</v>
      </c>
      <c r="BW64" t="s">
        <v>674</v>
      </c>
      <c r="BX64" t="s">
        <v>674</v>
      </c>
      <c r="BY64" t="s">
        <v>674</v>
      </c>
      <c r="BZ64" t="s">
        <v>674</v>
      </c>
      <c r="CA64" t="s">
        <v>674</v>
      </c>
      <c r="CB64" t="s">
        <v>674</v>
      </c>
      <c r="CC64" t="s">
        <v>674</v>
      </c>
      <c r="CD64" t="s">
        <v>674</v>
      </c>
      <c r="CE64" t="s">
        <v>674</v>
      </c>
      <c r="CF64" t="s">
        <v>674</v>
      </c>
      <c r="CG64" t="s">
        <v>674</v>
      </c>
      <c r="CH64" t="s">
        <v>674</v>
      </c>
      <c r="CI64" t="s">
        <v>674</v>
      </c>
    </row>
    <row r="65" spans="1:87" x14ac:dyDescent="0.25">
      <c r="A65" t="s">
        <v>283</v>
      </c>
      <c r="B65" t="s">
        <v>88</v>
      </c>
      <c r="C65">
        <v>2016</v>
      </c>
      <c r="D65" t="s">
        <v>284</v>
      </c>
      <c r="E65" t="s">
        <v>285</v>
      </c>
      <c r="F65" t="s">
        <v>286</v>
      </c>
      <c r="G65" t="s">
        <v>674</v>
      </c>
      <c r="H65" t="s">
        <v>287</v>
      </c>
      <c r="I65" t="s">
        <v>288</v>
      </c>
      <c r="J65" t="s">
        <v>289</v>
      </c>
      <c r="K65" t="s">
        <v>674</v>
      </c>
      <c r="L65" t="s">
        <v>686</v>
      </c>
      <c r="M65" s="1">
        <v>46258.612719907411</v>
      </c>
      <c r="N65" s="1">
        <v>46258.618090277778</v>
      </c>
      <c r="O65" s="1">
        <v>46258.612719907411</v>
      </c>
      <c r="P65" t="s">
        <v>290</v>
      </c>
      <c r="Q65" t="s">
        <v>674</v>
      </c>
      <c r="R65">
        <v>1</v>
      </c>
      <c r="S65">
        <v>14</v>
      </c>
      <c r="T65" t="s">
        <v>674</v>
      </c>
      <c r="U65" t="s">
        <v>291</v>
      </c>
      <c r="V65" t="s">
        <v>674</v>
      </c>
      <c r="W65" t="s">
        <v>674</v>
      </c>
      <c r="X65" t="s">
        <v>674</v>
      </c>
      <c r="Y65" t="s">
        <v>674</v>
      </c>
      <c r="Z65" t="s">
        <v>674</v>
      </c>
      <c r="AA65" t="s">
        <v>674</v>
      </c>
      <c r="AB65" t="s">
        <v>674</v>
      </c>
      <c r="AC65" t="s">
        <v>674</v>
      </c>
      <c r="AD65" t="s">
        <v>674</v>
      </c>
      <c r="AE65" t="s">
        <v>674</v>
      </c>
      <c r="AF65" t="s">
        <v>674</v>
      </c>
      <c r="AG65" t="s">
        <v>674</v>
      </c>
      <c r="AH65" t="s">
        <v>99</v>
      </c>
      <c r="AJ65" t="s">
        <v>674</v>
      </c>
      <c r="AK65" t="s">
        <v>674</v>
      </c>
      <c r="AL65" t="s">
        <v>292</v>
      </c>
      <c r="AM65" t="s">
        <v>674</v>
      </c>
      <c r="AN65" t="s">
        <v>293</v>
      </c>
      <c r="AO65" t="s">
        <v>674</v>
      </c>
      <c r="AP65" t="s">
        <v>674</v>
      </c>
      <c r="AQ65" t="s">
        <v>674</v>
      </c>
      <c r="AR65" t="s">
        <v>674</v>
      </c>
      <c r="AS65" t="s">
        <v>674</v>
      </c>
      <c r="AT65" t="s">
        <v>674</v>
      </c>
      <c r="AU65" t="s">
        <v>674</v>
      </c>
      <c r="AV65" t="s">
        <v>674</v>
      </c>
      <c r="AW65" t="s">
        <v>674</v>
      </c>
      <c r="AX65" t="s">
        <v>674</v>
      </c>
      <c r="AY65" t="s">
        <v>674</v>
      </c>
      <c r="AZ65" t="s">
        <v>674</v>
      </c>
      <c r="BA65" t="s">
        <v>674</v>
      </c>
      <c r="BB65" t="s">
        <v>674</v>
      </c>
      <c r="BC65" t="s">
        <v>674</v>
      </c>
      <c r="BD65" t="s">
        <v>674</v>
      </c>
      <c r="BE65" t="s">
        <v>674</v>
      </c>
      <c r="BF65" t="s">
        <v>674</v>
      </c>
      <c r="BG65" t="s">
        <v>674</v>
      </c>
      <c r="BH65" t="s">
        <v>674</v>
      </c>
      <c r="BI65" t="s">
        <v>674</v>
      </c>
      <c r="BJ65" t="s">
        <v>674</v>
      </c>
      <c r="BK65" t="s">
        <v>674</v>
      </c>
      <c r="BL65" t="s">
        <v>674</v>
      </c>
      <c r="BM65" t="s">
        <v>674</v>
      </c>
      <c r="BN65" t="s">
        <v>674</v>
      </c>
      <c r="BO65" t="s">
        <v>674</v>
      </c>
      <c r="BP65" t="s">
        <v>674</v>
      </c>
      <c r="BQ65" t="s">
        <v>674</v>
      </c>
      <c r="BR65" t="s">
        <v>674</v>
      </c>
      <c r="BS65" t="s">
        <v>674</v>
      </c>
      <c r="BT65" t="s">
        <v>674</v>
      </c>
      <c r="BU65" t="s">
        <v>674</v>
      </c>
      <c r="BV65" t="s">
        <v>674</v>
      </c>
      <c r="BW65" t="s">
        <v>674</v>
      </c>
      <c r="BX65" t="s">
        <v>674</v>
      </c>
      <c r="BY65" t="s">
        <v>674</v>
      </c>
      <c r="BZ65" t="s">
        <v>674</v>
      </c>
      <c r="CA65" t="s">
        <v>674</v>
      </c>
      <c r="CB65" t="s">
        <v>674</v>
      </c>
      <c r="CC65" t="s">
        <v>674</v>
      </c>
      <c r="CD65" t="s">
        <v>674</v>
      </c>
      <c r="CE65" t="s">
        <v>674</v>
      </c>
      <c r="CF65" t="s">
        <v>674</v>
      </c>
      <c r="CG65" t="s">
        <v>674</v>
      </c>
      <c r="CH65" t="s">
        <v>674</v>
      </c>
      <c r="CI65" t="s">
        <v>674</v>
      </c>
    </row>
    <row r="66" spans="1:87" x14ac:dyDescent="0.25">
      <c r="A66" t="s">
        <v>271</v>
      </c>
      <c r="B66" t="s">
        <v>126</v>
      </c>
      <c r="C66">
        <v>2017</v>
      </c>
      <c r="D66" t="s">
        <v>272</v>
      </c>
      <c r="E66" t="s">
        <v>273</v>
      </c>
      <c r="F66" t="s">
        <v>274</v>
      </c>
      <c r="G66" t="s">
        <v>275</v>
      </c>
      <c r="H66" t="s">
        <v>674</v>
      </c>
      <c r="I66" t="s">
        <v>276</v>
      </c>
      <c r="J66" t="s">
        <v>277</v>
      </c>
      <c r="K66" t="s">
        <v>278</v>
      </c>
      <c r="L66" t="s">
        <v>279</v>
      </c>
      <c r="M66" s="1">
        <v>46258.612615740742</v>
      </c>
      <c r="N66" s="1">
        <v>46258.619039351855</v>
      </c>
      <c r="O66" s="1">
        <v>46258.612615740742</v>
      </c>
      <c r="P66" t="s">
        <v>280</v>
      </c>
      <c r="Q66" t="s">
        <v>674</v>
      </c>
      <c r="T66" t="s">
        <v>674</v>
      </c>
      <c r="U66" t="s">
        <v>674</v>
      </c>
      <c r="V66" t="s">
        <v>674</v>
      </c>
      <c r="W66" t="s">
        <v>674</v>
      </c>
      <c r="X66" t="s">
        <v>674</v>
      </c>
      <c r="Y66" t="s">
        <v>674</v>
      </c>
      <c r="Z66" t="s">
        <v>674</v>
      </c>
      <c r="AA66" t="s">
        <v>133</v>
      </c>
      <c r="AB66" t="s">
        <v>281</v>
      </c>
      <c r="AC66" t="s">
        <v>674</v>
      </c>
      <c r="AD66" t="s">
        <v>674</v>
      </c>
      <c r="AE66" t="s">
        <v>674</v>
      </c>
      <c r="AF66" t="s">
        <v>674</v>
      </c>
      <c r="AG66" t="s">
        <v>674</v>
      </c>
      <c r="AH66" t="s">
        <v>99</v>
      </c>
      <c r="AJ66" t="s">
        <v>674</v>
      </c>
      <c r="AK66" t="s">
        <v>674</v>
      </c>
      <c r="AL66" t="s">
        <v>282</v>
      </c>
      <c r="AM66" t="s">
        <v>674</v>
      </c>
      <c r="AN66" t="s">
        <v>235</v>
      </c>
      <c r="AO66" t="s">
        <v>674</v>
      </c>
      <c r="AP66" t="s">
        <v>674</v>
      </c>
      <c r="AQ66" t="s">
        <v>674</v>
      </c>
      <c r="AR66" t="s">
        <v>674</v>
      </c>
      <c r="AS66" t="s">
        <v>674</v>
      </c>
      <c r="AT66" t="s">
        <v>674</v>
      </c>
      <c r="AU66" t="s">
        <v>674</v>
      </c>
      <c r="AV66" t="s">
        <v>674</v>
      </c>
      <c r="AW66" t="s">
        <v>674</v>
      </c>
      <c r="AX66" t="s">
        <v>674</v>
      </c>
      <c r="AY66" t="s">
        <v>674</v>
      </c>
      <c r="AZ66" t="s">
        <v>674</v>
      </c>
      <c r="BA66" t="s">
        <v>674</v>
      </c>
      <c r="BB66" t="s">
        <v>674</v>
      </c>
      <c r="BC66" t="s">
        <v>674</v>
      </c>
      <c r="BD66" t="s">
        <v>674</v>
      </c>
      <c r="BE66" t="s">
        <v>674</v>
      </c>
      <c r="BF66" t="s">
        <v>674</v>
      </c>
      <c r="BG66" t="s">
        <v>674</v>
      </c>
      <c r="BH66" t="s">
        <v>674</v>
      </c>
      <c r="BI66" t="s">
        <v>674</v>
      </c>
      <c r="BJ66" t="s">
        <v>674</v>
      </c>
      <c r="BK66" t="s">
        <v>674</v>
      </c>
      <c r="BL66" t="s">
        <v>674</v>
      </c>
      <c r="BM66" t="s">
        <v>674</v>
      </c>
      <c r="BN66" t="s">
        <v>674</v>
      </c>
      <c r="BO66" t="s">
        <v>674</v>
      </c>
      <c r="BP66" t="s">
        <v>674</v>
      </c>
      <c r="BQ66" t="s">
        <v>674</v>
      </c>
      <c r="BR66" t="s">
        <v>674</v>
      </c>
      <c r="BS66" t="s">
        <v>674</v>
      </c>
      <c r="BT66" t="s">
        <v>274</v>
      </c>
      <c r="BU66" t="s">
        <v>674</v>
      </c>
      <c r="BV66" t="s">
        <v>674</v>
      </c>
      <c r="BW66" t="s">
        <v>674</v>
      </c>
      <c r="BX66" t="s">
        <v>674</v>
      </c>
      <c r="BY66" t="s">
        <v>674</v>
      </c>
      <c r="BZ66" t="s">
        <v>674</v>
      </c>
      <c r="CA66" t="s">
        <v>674</v>
      </c>
      <c r="CB66" t="s">
        <v>674</v>
      </c>
      <c r="CC66" t="s">
        <v>674</v>
      </c>
      <c r="CD66" t="s">
        <v>674</v>
      </c>
      <c r="CE66" t="s">
        <v>674</v>
      </c>
      <c r="CF66" t="s">
        <v>674</v>
      </c>
      <c r="CG66" t="s">
        <v>674</v>
      </c>
      <c r="CH66" t="s">
        <v>674</v>
      </c>
      <c r="CI66" t="s">
        <v>674</v>
      </c>
    </row>
    <row r="67" spans="1:87" x14ac:dyDescent="0.25">
      <c r="A67" t="s">
        <v>262</v>
      </c>
      <c r="B67" t="s">
        <v>88</v>
      </c>
      <c r="C67">
        <v>2017</v>
      </c>
      <c r="D67" t="s">
        <v>263</v>
      </c>
      <c r="E67" t="s">
        <v>264</v>
      </c>
      <c r="F67" t="s">
        <v>265</v>
      </c>
      <c r="G67" t="s">
        <v>674</v>
      </c>
      <c r="H67" t="s">
        <v>266</v>
      </c>
      <c r="I67" t="s">
        <v>267</v>
      </c>
      <c r="J67" t="s">
        <v>268</v>
      </c>
      <c r="K67" t="s">
        <v>674</v>
      </c>
      <c r="L67" t="s">
        <v>269</v>
      </c>
      <c r="M67" s="1">
        <v>46258.612557870372</v>
      </c>
      <c r="N67" s="1">
        <v>46258.617615740739</v>
      </c>
      <c r="O67" s="1">
        <v>46258.612557870372</v>
      </c>
      <c r="P67" t="s">
        <v>685</v>
      </c>
      <c r="Q67" t="s">
        <v>674</v>
      </c>
      <c r="S67">
        <v>43</v>
      </c>
      <c r="T67" t="s">
        <v>674</v>
      </c>
      <c r="U67" t="s">
        <v>265</v>
      </c>
      <c r="V67" t="s">
        <v>674</v>
      </c>
      <c r="W67" t="s">
        <v>674</v>
      </c>
      <c r="X67" t="s">
        <v>674</v>
      </c>
      <c r="Y67" t="s">
        <v>674</v>
      </c>
      <c r="Z67" t="s">
        <v>674</v>
      </c>
      <c r="AA67" t="s">
        <v>674</v>
      </c>
      <c r="AB67" t="s">
        <v>674</v>
      </c>
      <c r="AC67" t="s">
        <v>97</v>
      </c>
      <c r="AD67" t="s">
        <v>674</v>
      </c>
      <c r="AE67" t="s">
        <v>674</v>
      </c>
      <c r="AF67" t="s">
        <v>674</v>
      </c>
      <c r="AG67" t="s">
        <v>674</v>
      </c>
      <c r="AH67" t="s">
        <v>99</v>
      </c>
      <c r="AJ67" t="s">
        <v>674</v>
      </c>
      <c r="AK67" t="s">
        <v>674</v>
      </c>
      <c r="AL67" t="s">
        <v>270</v>
      </c>
      <c r="AM67" t="s">
        <v>674</v>
      </c>
      <c r="AN67" t="s">
        <v>213</v>
      </c>
      <c r="AO67" t="s">
        <v>674</v>
      </c>
      <c r="AP67" t="s">
        <v>674</v>
      </c>
      <c r="AQ67" t="s">
        <v>674</v>
      </c>
      <c r="AR67" t="s">
        <v>674</v>
      </c>
      <c r="AS67" t="s">
        <v>674</v>
      </c>
      <c r="AT67" t="s">
        <v>674</v>
      </c>
      <c r="AU67" t="s">
        <v>674</v>
      </c>
      <c r="AV67" t="s">
        <v>674</v>
      </c>
      <c r="AW67" t="s">
        <v>674</v>
      </c>
      <c r="AX67" t="s">
        <v>674</v>
      </c>
      <c r="AY67" t="s">
        <v>674</v>
      </c>
      <c r="AZ67" t="s">
        <v>674</v>
      </c>
      <c r="BA67" t="s">
        <v>674</v>
      </c>
      <c r="BB67" t="s">
        <v>674</v>
      </c>
      <c r="BC67" t="s">
        <v>674</v>
      </c>
      <c r="BD67" t="s">
        <v>674</v>
      </c>
      <c r="BE67" t="s">
        <v>674</v>
      </c>
      <c r="BF67" t="s">
        <v>674</v>
      </c>
      <c r="BG67" t="s">
        <v>674</v>
      </c>
      <c r="BH67" t="s">
        <v>674</v>
      </c>
      <c r="BI67" t="s">
        <v>674</v>
      </c>
      <c r="BJ67" t="s">
        <v>674</v>
      </c>
      <c r="BK67" t="s">
        <v>674</v>
      </c>
      <c r="BL67" t="s">
        <v>674</v>
      </c>
      <c r="BM67" t="s">
        <v>674</v>
      </c>
      <c r="BN67" t="s">
        <v>674</v>
      </c>
      <c r="BO67" t="s">
        <v>674</v>
      </c>
      <c r="BP67" t="s">
        <v>674</v>
      </c>
      <c r="BQ67" t="s">
        <v>674</v>
      </c>
      <c r="BR67" t="s">
        <v>674</v>
      </c>
      <c r="BS67" t="s">
        <v>674</v>
      </c>
      <c r="BT67" t="s">
        <v>674</v>
      </c>
      <c r="BU67" t="s">
        <v>674</v>
      </c>
      <c r="BV67" t="s">
        <v>674</v>
      </c>
      <c r="BW67" t="s">
        <v>674</v>
      </c>
      <c r="BX67" t="s">
        <v>674</v>
      </c>
      <c r="BY67" t="s">
        <v>674</v>
      </c>
      <c r="BZ67" t="s">
        <v>674</v>
      </c>
      <c r="CA67" t="s">
        <v>674</v>
      </c>
      <c r="CB67" t="s">
        <v>674</v>
      </c>
      <c r="CC67" t="s">
        <v>674</v>
      </c>
      <c r="CD67" t="s">
        <v>674</v>
      </c>
      <c r="CE67" t="s">
        <v>674</v>
      </c>
      <c r="CF67" t="s">
        <v>674</v>
      </c>
      <c r="CG67" t="s">
        <v>674</v>
      </c>
      <c r="CH67" t="s">
        <v>674</v>
      </c>
      <c r="CI67" t="s">
        <v>674</v>
      </c>
    </row>
    <row r="68" spans="1:87" x14ac:dyDescent="0.25">
      <c r="A68" t="s">
        <v>259</v>
      </c>
      <c r="B68" t="s">
        <v>88</v>
      </c>
      <c r="D68" t="s">
        <v>674</v>
      </c>
      <c r="E68" t="s">
        <v>260</v>
      </c>
      <c r="F68" t="s">
        <v>674</v>
      </c>
      <c r="G68" t="s">
        <v>674</v>
      </c>
      <c r="H68" t="s">
        <v>674</v>
      </c>
      <c r="I68" t="s">
        <v>674</v>
      </c>
      <c r="J68" t="s">
        <v>674</v>
      </c>
      <c r="K68" t="s">
        <v>674</v>
      </c>
      <c r="L68" t="s">
        <v>674</v>
      </c>
      <c r="M68" s="1">
        <v>46257.904942129629</v>
      </c>
      <c r="N68" s="1">
        <v>46258.611840277779</v>
      </c>
      <c r="O68" s="1"/>
      <c r="P68" t="s">
        <v>674</v>
      </c>
      <c r="Q68" t="s">
        <v>674</v>
      </c>
      <c r="T68" t="s">
        <v>674</v>
      </c>
      <c r="U68" t="s">
        <v>674</v>
      </c>
      <c r="V68" t="s">
        <v>674</v>
      </c>
      <c r="W68" t="s">
        <v>674</v>
      </c>
      <c r="X68" t="s">
        <v>674</v>
      </c>
      <c r="Y68" t="s">
        <v>674</v>
      </c>
      <c r="Z68" t="s">
        <v>674</v>
      </c>
      <c r="AA68" t="s">
        <v>674</v>
      </c>
      <c r="AB68" t="s">
        <v>674</v>
      </c>
      <c r="AC68" t="s">
        <v>674</v>
      </c>
      <c r="AD68" t="s">
        <v>674</v>
      </c>
      <c r="AE68" t="s">
        <v>674</v>
      </c>
      <c r="AF68" t="s">
        <v>674</v>
      </c>
      <c r="AG68" t="s">
        <v>674</v>
      </c>
      <c r="AH68" t="s">
        <v>674</v>
      </c>
      <c r="AJ68" t="s">
        <v>674</v>
      </c>
      <c r="AK68" t="s">
        <v>674</v>
      </c>
      <c r="AL68" t="s">
        <v>674</v>
      </c>
      <c r="AM68" t="s">
        <v>674</v>
      </c>
      <c r="AN68" t="s">
        <v>261</v>
      </c>
      <c r="AO68" t="s">
        <v>674</v>
      </c>
      <c r="AP68" t="s">
        <v>674</v>
      </c>
      <c r="AQ68" t="s">
        <v>674</v>
      </c>
      <c r="AR68" t="s">
        <v>674</v>
      </c>
      <c r="AS68" t="s">
        <v>674</v>
      </c>
      <c r="AT68" t="s">
        <v>674</v>
      </c>
      <c r="AU68" t="s">
        <v>674</v>
      </c>
      <c r="AV68" t="s">
        <v>674</v>
      </c>
      <c r="AW68" t="s">
        <v>674</v>
      </c>
      <c r="AX68" t="s">
        <v>674</v>
      </c>
      <c r="AY68" t="s">
        <v>674</v>
      </c>
      <c r="AZ68" t="s">
        <v>674</v>
      </c>
      <c r="BA68" t="s">
        <v>674</v>
      </c>
      <c r="BB68" t="s">
        <v>674</v>
      </c>
      <c r="BC68" t="s">
        <v>674</v>
      </c>
      <c r="BD68" t="s">
        <v>674</v>
      </c>
      <c r="BE68" t="s">
        <v>674</v>
      </c>
      <c r="BF68" t="s">
        <v>674</v>
      </c>
      <c r="BG68" t="s">
        <v>674</v>
      </c>
      <c r="BH68" t="s">
        <v>674</v>
      </c>
      <c r="BI68" t="s">
        <v>674</v>
      </c>
      <c r="BJ68" t="s">
        <v>674</v>
      </c>
      <c r="BK68" t="s">
        <v>674</v>
      </c>
      <c r="BL68" t="s">
        <v>674</v>
      </c>
      <c r="BM68" t="s">
        <v>674</v>
      </c>
      <c r="BN68" t="s">
        <v>674</v>
      </c>
      <c r="BO68" t="s">
        <v>674</v>
      </c>
      <c r="BP68" t="s">
        <v>674</v>
      </c>
      <c r="BQ68" t="s">
        <v>674</v>
      </c>
      <c r="BR68" t="s">
        <v>674</v>
      </c>
      <c r="BS68" t="s">
        <v>674</v>
      </c>
      <c r="BT68" t="s">
        <v>674</v>
      </c>
      <c r="BU68" t="s">
        <v>674</v>
      </c>
      <c r="BV68" t="s">
        <v>674</v>
      </c>
      <c r="BW68" t="s">
        <v>674</v>
      </c>
      <c r="BX68" t="s">
        <v>674</v>
      </c>
      <c r="BY68" t="s">
        <v>674</v>
      </c>
      <c r="BZ68" t="s">
        <v>674</v>
      </c>
      <c r="CA68" t="s">
        <v>674</v>
      </c>
      <c r="CB68" t="s">
        <v>674</v>
      </c>
      <c r="CC68" t="s">
        <v>674</v>
      </c>
      <c r="CD68" t="s">
        <v>674</v>
      </c>
      <c r="CE68" t="s">
        <v>674</v>
      </c>
      <c r="CF68" t="s">
        <v>674</v>
      </c>
      <c r="CG68" t="s">
        <v>674</v>
      </c>
      <c r="CH68" t="s">
        <v>674</v>
      </c>
      <c r="CI68" t="s">
        <v>674</v>
      </c>
    </row>
    <row r="69" spans="1:87" x14ac:dyDescent="0.25">
      <c r="A69" t="s">
        <v>249</v>
      </c>
      <c r="B69" t="s">
        <v>126</v>
      </c>
      <c r="C69">
        <v>2016</v>
      </c>
      <c r="D69" t="s">
        <v>250</v>
      </c>
      <c r="E69" t="s">
        <v>251</v>
      </c>
      <c r="F69" t="s">
        <v>252</v>
      </c>
      <c r="G69" t="s">
        <v>253</v>
      </c>
      <c r="H69" t="s">
        <v>674</v>
      </c>
      <c r="I69" t="s">
        <v>254</v>
      </c>
      <c r="J69" t="s">
        <v>255</v>
      </c>
      <c r="K69" t="s">
        <v>674</v>
      </c>
      <c r="L69" t="s">
        <v>256</v>
      </c>
      <c r="M69" s="1">
        <v>46257.902256944442</v>
      </c>
      <c r="N69" s="1">
        <v>46257.917442129627</v>
      </c>
      <c r="O69" s="1">
        <v>46257.902256944442</v>
      </c>
      <c r="P69" t="s">
        <v>684</v>
      </c>
      <c r="Q69" t="s">
        <v>674</v>
      </c>
      <c r="T69" t="s">
        <v>674</v>
      </c>
      <c r="U69" t="s">
        <v>674</v>
      </c>
      <c r="V69" t="s">
        <v>674</v>
      </c>
      <c r="W69" t="s">
        <v>674</v>
      </c>
      <c r="X69" t="s">
        <v>674</v>
      </c>
      <c r="Y69" t="s">
        <v>674</v>
      </c>
      <c r="Z69" t="s">
        <v>674</v>
      </c>
      <c r="AA69" t="s">
        <v>133</v>
      </c>
      <c r="AB69" t="s">
        <v>257</v>
      </c>
      <c r="AC69" t="s">
        <v>674</v>
      </c>
      <c r="AD69" t="s">
        <v>674</v>
      </c>
      <c r="AE69" t="s">
        <v>674</v>
      </c>
      <c r="AF69" t="s">
        <v>674</v>
      </c>
      <c r="AG69" t="s">
        <v>674</v>
      </c>
      <c r="AH69" t="s">
        <v>99</v>
      </c>
      <c r="AJ69" t="s">
        <v>674</v>
      </c>
      <c r="AK69" t="s">
        <v>674</v>
      </c>
      <c r="AL69" t="s">
        <v>258</v>
      </c>
      <c r="AM69" t="s">
        <v>674</v>
      </c>
      <c r="AN69" t="s">
        <v>235</v>
      </c>
      <c r="AO69" t="s">
        <v>674</v>
      </c>
      <c r="AP69" t="s">
        <v>674</v>
      </c>
      <c r="AQ69" t="s">
        <v>674</v>
      </c>
      <c r="AR69" t="s">
        <v>674</v>
      </c>
      <c r="AS69" t="s">
        <v>674</v>
      </c>
      <c r="AT69" t="s">
        <v>674</v>
      </c>
      <c r="AU69" t="s">
        <v>674</v>
      </c>
      <c r="AV69" t="s">
        <v>674</v>
      </c>
      <c r="AW69" t="s">
        <v>674</v>
      </c>
      <c r="AX69" t="s">
        <v>674</v>
      </c>
      <c r="AY69" t="s">
        <v>674</v>
      </c>
      <c r="AZ69" t="s">
        <v>674</v>
      </c>
      <c r="BA69" t="s">
        <v>674</v>
      </c>
      <c r="BB69" t="s">
        <v>674</v>
      </c>
      <c r="BC69" t="s">
        <v>674</v>
      </c>
      <c r="BD69" t="s">
        <v>674</v>
      </c>
      <c r="BE69" t="s">
        <v>674</v>
      </c>
      <c r="BF69" t="s">
        <v>674</v>
      </c>
      <c r="BG69" t="s">
        <v>674</v>
      </c>
      <c r="BH69" t="s">
        <v>674</v>
      </c>
      <c r="BI69" t="s">
        <v>674</v>
      </c>
      <c r="BJ69" t="s">
        <v>674</v>
      </c>
      <c r="BK69" t="s">
        <v>674</v>
      </c>
      <c r="BL69" t="s">
        <v>674</v>
      </c>
      <c r="BM69" t="s">
        <v>674</v>
      </c>
      <c r="BN69" t="s">
        <v>674</v>
      </c>
      <c r="BO69" t="s">
        <v>674</v>
      </c>
      <c r="BP69" t="s">
        <v>674</v>
      </c>
      <c r="BQ69" t="s">
        <v>674</v>
      </c>
      <c r="BR69" t="s">
        <v>674</v>
      </c>
      <c r="BS69" t="s">
        <v>674</v>
      </c>
      <c r="BT69" t="s">
        <v>252</v>
      </c>
      <c r="BU69" t="s">
        <v>674</v>
      </c>
      <c r="BV69" t="s">
        <v>674</v>
      </c>
      <c r="BW69" t="s">
        <v>674</v>
      </c>
      <c r="BX69" t="s">
        <v>674</v>
      </c>
      <c r="BY69" t="s">
        <v>674</v>
      </c>
      <c r="BZ69" t="s">
        <v>674</v>
      </c>
      <c r="CA69" t="s">
        <v>674</v>
      </c>
      <c r="CB69" t="s">
        <v>674</v>
      </c>
      <c r="CC69" t="s">
        <v>674</v>
      </c>
      <c r="CD69" t="s">
        <v>674</v>
      </c>
      <c r="CE69" t="s">
        <v>674</v>
      </c>
      <c r="CF69" t="s">
        <v>674</v>
      </c>
      <c r="CG69" t="s">
        <v>674</v>
      </c>
      <c r="CH69" t="s">
        <v>674</v>
      </c>
      <c r="CI69" t="s">
        <v>674</v>
      </c>
    </row>
    <row r="70" spans="1:87" x14ac:dyDescent="0.25">
      <c r="A70" t="s">
        <v>239</v>
      </c>
      <c r="B70" t="s">
        <v>126</v>
      </c>
      <c r="C70">
        <v>2023</v>
      </c>
      <c r="D70" t="s">
        <v>240</v>
      </c>
      <c r="E70" t="s">
        <v>241</v>
      </c>
      <c r="F70" t="s">
        <v>242</v>
      </c>
      <c r="G70" t="s">
        <v>243</v>
      </c>
      <c r="H70" t="s">
        <v>674</v>
      </c>
      <c r="I70" t="s">
        <v>244</v>
      </c>
      <c r="J70" t="s">
        <v>245</v>
      </c>
      <c r="K70" t="s">
        <v>674</v>
      </c>
      <c r="L70" t="s">
        <v>682</v>
      </c>
      <c r="M70" s="1">
        <v>46257.902199074073</v>
      </c>
      <c r="N70" s="1">
        <v>46257.91815972222</v>
      </c>
      <c r="O70" s="1">
        <v>46257.902199074073</v>
      </c>
      <c r="P70" t="s">
        <v>683</v>
      </c>
      <c r="Q70" t="s">
        <v>674</v>
      </c>
      <c r="T70" t="s">
        <v>674</v>
      </c>
      <c r="U70" t="s">
        <v>674</v>
      </c>
      <c r="V70" t="s">
        <v>674</v>
      </c>
      <c r="W70" t="s">
        <v>674</v>
      </c>
      <c r="X70" t="s">
        <v>674</v>
      </c>
      <c r="Y70" t="s">
        <v>674</v>
      </c>
      <c r="Z70" t="s">
        <v>674</v>
      </c>
      <c r="AA70" t="s">
        <v>133</v>
      </c>
      <c r="AB70" t="s">
        <v>246</v>
      </c>
      <c r="AC70" t="s">
        <v>674</v>
      </c>
      <c r="AD70" t="s">
        <v>135</v>
      </c>
      <c r="AE70" t="s">
        <v>674</v>
      </c>
      <c r="AF70" t="s">
        <v>674</v>
      </c>
      <c r="AG70" t="s">
        <v>674</v>
      </c>
      <c r="AH70" t="s">
        <v>99</v>
      </c>
      <c r="AJ70" t="s">
        <v>674</v>
      </c>
      <c r="AK70" t="s">
        <v>674</v>
      </c>
      <c r="AL70" t="s">
        <v>247</v>
      </c>
      <c r="AM70" t="s">
        <v>674</v>
      </c>
      <c r="AN70" t="s">
        <v>248</v>
      </c>
      <c r="AO70" t="s">
        <v>674</v>
      </c>
      <c r="AP70" t="s">
        <v>674</v>
      </c>
      <c r="AQ70" t="s">
        <v>674</v>
      </c>
      <c r="AR70" t="s">
        <v>674</v>
      </c>
      <c r="AS70" t="s">
        <v>674</v>
      </c>
      <c r="AT70" t="s">
        <v>674</v>
      </c>
      <c r="AU70" t="s">
        <v>674</v>
      </c>
      <c r="AV70" t="s">
        <v>674</v>
      </c>
      <c r="AW70" t="s">
        <v>674</v>
      </c>
      <c r="AX70" t="s">
        <v>674</v>
      </c>
      <c r="AY70" t="s">
        <v>674</v>
      </c>
      <c r="AZ70" t="s">
        <v>674</v>
      </c>
      <c r="BA70" t="s">
        <v>674</v>
      </c>
      <c r="BB70" t="s">
        <v>674</v>
      </c>
      <c r="BC70" t="s">
        <v>674</v>
      </c>
      <c r="BD70" t="s">
        <v>674</v>
      </c>
      <c r="BE70" t="s">
        <v>674</v>
      </c>
      <c r="BF70" t="s">
        <v>674</v>
      </c>
      <c r="BG70" t="s">
        <v>674</v>
      </c>
      <c r="BH70" t="s">
        <v>674</v>
      </c>
      <c r="BI70" t="s">
        <v>674</v>
      </c>
      <c r="BJ70" t="s">
        <v>674</v>
      </c>
      <c r="BK70" t="s">
        <v>674</v>
      </c>
      <c r="BL70" t="s">
        <v>674</v>
      </c>
      <c r="BM70" t="s">
        <v>674</v>
      </c>
      <c r="BN70" t="s">
        <v>674</v>
      </c>
      <c r="BO70" t="s">
        <v>674</v>
      </c>
      <c r="BP70" t="s">
        <v>674</v>
      </c>
      <c r="BQ70" t="s">
        <v>674</v>
      </c>
      <c r="BR70" t="s">
        <v>674</v>
      </c>
      <c r="BS70" t="s">
        <v>674</v>
      </c>
      <c r="BT70" t="s">
        <v>242</v>
      </c>
      <c r="BU70" t="s">
        <v>674</v>
      </c>
      <c r="BV70" t="s">
        <v>674</v>
      </c>
      <c r="BW70" t="s">
        <v>674</v>
      </c>
      <c r="BX70" t="s">
        <v>674</v>
      </c>
      <c r="BY70" t="s">
        <v>674</v>
      </c>
      <c r="BZ70" t="s">
        <v>674</v>
      </c>
      <c r="CA70" t="s">
        <v>674</v>
      </c>
      <c r="CB70" t="s">
        <v>674</v>
      </c>
      <c r="CC70" t="s">
        <v>674</v>
      </c>
      <c r="CD70" t="s">
        <v>674</v>
      </c>
      <c r="CE70" t="s">
        <v>674</v>
      </c>
      <c r="CF70" t="s">
        <v>674</v>
      </c>
      <c r="CG70" t="s">
        <v>674</v>
      </c>
      <c r="CH70" t="s">
        <v>674</v>
      </c>
      <c r="CI70" t="s">
        <v>674</v>
      </c>
    </row>
    <row r="71" spans="1:87" x14ac:dyDescent="0.25">
      <c r="A71" t="s">
        <v>236</v>
      </c>
      <c r="B71" t="s">
        <v>88</v>
      </c>
      <c r="D71" t="s">
        <v>674</v>
      </c>
      <c r="E71" t="s">
        <v>237</v>
      </c>
      <c r="F71" t="s">
        <v>674</v>
      </c>
      <c r="G71" t="s">
        <v>674</v>
      </c>
      <c r="H71" t="s">
        <v>674</v>
      </c>
      <c r="I71" t="s">
        <v>674</v>
      </c>
      <c r="J71" t="s">
        <v>674</v>
      </c>
      <c r="K71" t="s">
        <v>674</v>
      </c>
      <c r="L71" t="s">
        <v>674</v>
      </c>
      <c r="M71" s="1">
        <v>46257.90216435185</v>
      </c>
      <c r="N71" s="1">
        <v>46257.918634259258</v>
      </c>
      <c r="O71" s="1"/>
      <c r="P71" t="s">
        <v>674</v>
      </c>
      <c r="Q71" t="s">
        <v>674</v>
      </c>
      <c r="T71" t="s">
        <v>674</v>
      </c>
      <c r="U71" t="s">
        <v>674</v>
      </c>
      <c r="V71" t="s">
        <v>674</v>
      </c>
      <c r="W71" t="s">
        <v>674</v>
      </c>
      <c r="X71" t="s">
        <v>674</v>
      </c>
      <c r="Y71" t="s">
        <v>674</v>
      </c>
      <c r="Z71" t="s">
        <v>674</v>
      </c>
      <c r="AA71" t="s">
        <v>674</v>
      </c>
      <c r="AB71" t="s">
        <v>674</v>
      </c>
      <c r="AC71" t="s">
        <v>674</v>
      </c>
      <c r="AD71" t="s">
        <v>674</v>
      </c>
      <c r="AE71" t="s">
        <v>674</v>
      </c>
      <c r="AF71" t="s">
        <v>674</v>
      </c>
      <c r="AG71" t="s">
        <v>674</v>
      </c>
      <c r="AH71" t="s">
        <v>163</v>
      </c>
      <c r="AJ71" t="s">
        <v>674</v>
      </c>
      <c r="AK71" t="s">
        <v>674</v>
      </c>
      <c r="AL71" t="s">
        <v>238</v>
      </c>
      <c r="AM71" t="s">
        <v>674</v>
      </c>
      <c r="AN71" t="s">
        <v>101</v>
      </c>
      <c r="AO71" t="s">
        <v>674</v>
      </c>
      <c r="AP71" t="s">
        <v>674</v>
      </c>
      <c r="AQ71" t="s">
        <v>674</v>
      </c>
      <c r="AR71" t="s">
        <v>674</v>
      </c>
      <c r="AS71" t="s">
        <v>674</v>
      </c>
      <c r="AT71" t="s">
        <v>674</v>
      </c>
      <c r="AU71" t="s">
        <v>674</v>
      </c>
      <c r="AV71" t="s">
        <v>674</v>
      </c>
      <c r="AW71" t="s">
        <v>674</v>
      </c>
      <c r="AX71" t="s">
        <v>674</v>
      </c>
      <c r="AY71" t="s">
        <v>674</v>
      </c>
      <c r="AZ71" t="s">
        <v>674</v>
      </c>
      <c r="BA71" t="s">
        <v>674</v>
      </c>
      <c r="BB71" t="s">
        <v>674</v>
      </c>
      <c r="BC71" t="s">
        <v>674</v>
      </c>
      <c r="BD71" t="s">
        <v>674</v>
      </c>
      <c r="BE71" t="s">
        <v>674</v>
      </c>
      <c r="BF71" t="s">
        <v>674</v>
      </c>
      <c r="BG71" t="s">
        <v>674</v>
      </c>
      <c r="BH71" t="s">
        <v>674</v>
      </c>
      <c r="BI71" t="s">
        <v>674</v>
      </c>
      <c r="BJ71" t="s">
        <v>674</v>
      </c>
      <c r="BK71" t="s">
        <v>674</v>
      </c>
      <c r="BL71" t="s">
        <v>674</v>
      </c>
      <c r="BM71" t="s">
        <v>674</v>
      </c>
      <c r="BN71" t="s">
        <v>674</v>
      </c>
      <c r="BO71" t="s">
        <v>674</v>
      </c>
      <c r="BP71" t="s">
        <v>674</v>
      </c>
      <c r="BQ71" t="s">
        <v>674</v>
      </c>
      <c r="BR71" t="s">
        <v>674</v>
      </c>
      <c r="BS71" t="s">
        <v>674</v>
      </c>
      <c r="BT71" t="s">
        <v>674</v>
      </c>
      <c r="BU71" t="s">
        <v>674</v>
      </c>
      <c r="BV71" t="s">
        <v>674</v>
      </c>
      <c r="BW71" t="s">
        <v>674</v>
      </c>
      <c r="BX71" t="s">
        <v>674</v>
      </c>
      <c r="BY71" t="s">
        <v>674</v>
      </c>
      <c r="BZ71" t="s">
        <v>674</v>
      </c>
      <c r="CA71" t="s">
        <v>674</v>
      </c>
      <c r="CB71" t="s">
        <v>674</v>
      </c>
      <c r="CC71" t="s">
        <v>674</v>
      </c>
      <c r="CD71" t="s">
        <v>674</v>
      </c>
      <c r="CE71" t="s">
        <v>674</v>
      </c>
      <c r="CF71" t="s">
        <v>674</v>
      </c>
      <c r="CG71" t="s">
        <v>674</v>
      </c>
      <c r="CH71" t="s">
        <v>674</v>
      </c>
      <c r="CI71" t="s">
        <v>674</v>
      </c>
    </row>
    <row r="72" spans="1:87" x14ac:dyDescent="0.25">
      <c r="A72" t="s">
        <v>225</v>
      </c>
      <c r="B72" t="s">
        <v>126</v>
      </c>
      <c r="C72">
        <v>1989</v>
      </c>
      <c r="D72" t="s">
        <v>226</v>
      </c>
      <c r="E72" t="s">
        <v>227</v>
      </c>
      <c r="F72" t="s">
        <v>228</v>
      </c>
      <c r="G72" t="s">
        <v>674</v>
      </c>
      <c r="H72" t="s">
        <v>674</v>
      </c>
      <c r="I72" t="s">
        <v>229</v>
      </c>
      <c r="J72" t="s">
        <v>230</v>
      </c>
      <c r="K72" t="s">
        <v>674</v>
      </c>
      <c r="L72" t="s">
        <v>231</v>
      </c>
      <c r="M72" s="1">
        <v>46257.902141203704</v>
      </c>
      <c r="N72" s="1">
        <v>46257.917569444442</v>
      </c>
      <c r="O72" s="1">
        <v>46257.902129629627</v>
      </c>
      <c r="P72" t="s">
        <v>232</v>
      </c>
      <c r="Q72" t="s">
        <v>674</v>
      </c>
      <c r="T72" t="s">
        <v>674</v>
      </c>
      <c r="U72" t="s">
        <v>674</v>
      </c>
      <c r="V72" t="s">
        <v>674</v>
      </c>
      <c r="W72" t="s">
        <v>674</v>
      </c>
      <c r="X72" t="s">
        <v>674</v>
      </c>
      <c r="Y72" t="s">
        <v>674</v>
      </c>
      <c r="Z72" t="s">
        <v>674</v>
      </c>
      <c r="AA72" t="s">
        <v>133</v>
      </c>
      <c r="AB72" t="s">
        <v>233</v>
      </c>
      <c r="AC72" t="s">
        <v>674</v>
      </c>
      <c r="AD72" t="s">
        <v>674</v>
      </c>
      <c r="AE72" t="s">
        <v>674</v>
      </c>
      <c r="AF72" t="s">
        <v>674</v>
      </c>
      <c r="AG72" t="s">
        <v>674</v>
      </c>
      <c r="AH72" t="s">
        <v>99</v>
      </c>
      <c r="AJ72" t="s">
        <v>674</v>
      </c>
      <c r="AK72" t="s">
        <v>674</v>
      </c>
      <c r="AL72" t="s">
        <v>234</v>
      </c>
      <c r="AM72" t="s">
        <v>674</v>
      </c>
      <c r="AN72" t="s">
        <v>235</v>
      </c>
      <c r="AO72" t="s">
        <v>674</v>
      </c>
      <c r="AP72" t="s">
        <v>674</v>
      </c>
      <c r="AQ72" t="s">
        <v>674</v>
      </c>
      <c r="AR72" t="s">
        <v>674</v>
      </c>
      <c r="AS72" t="s">
        <v>674</v>
      </c>
      <c r="AT72" t="s">
        <v>674</v>
      </c>
      <c r="AU72" t="s">
        <v>674</v>
      </c>
      <c r="AV72" t="s">
        <v>674</v>
      </c>
      <c r="AW72" t="s">
        <v>674</v>
      </c>
      <c r="AX72" t="s">
        <v>674</v>
      </c>
      <c r="AY72" t="s">
        <v>674</v>
      </c>
      <c r="AZ72" t="s">
        <v>674</v>
      </c>
      <c r="BA72" t="s">
        <v>674</v>
      </c>
      <c r="BB72" t="s">
        <v>674</v>
      </c>
      <c r="BC72" t="s">
        <v>674</v>
      </c>
      <c r="BD72" t="s">
        <v>674</v>
      </c>
      <c r="BE72" t="s">
        <v>674</v>
      </c>
      <c r="BF72" t="s">
        <v>674</v>
      </c>
      <c r="BG72" t="s">
        <v>674</v>
      </c>
      <c r="BH72" t="s">
        <v>674</v>
      </c>
      <c r="BI72" t="s">
        <v>674</v>
      </c>
      <c r="BJ72" t="s">
        <v>674</v>
      </c>
      <c r="BK72" t="s">
        <v>674</v>
      </c>
      <c r="BL72" t="s">
        <v>674</v>
      </c>
      <c r="BM72" t="s">
        <v>674</v>
      </c>
      <c r="BN72" t="s">
        <v>674</v>
      </c>
      <c r="BO72" t="s">
        <v>674</v>
      </c>
      <c r="BP72" t="s">
        <v>674</v>
      </c>
      <c r="BQ72" t="s">
        <v>674</v>
      </c>
      <c r="BR72" t="s">
        <v>674</v>
      </c>
      <c r="BS72" t="s">
        <v>674</v>
      </c>
      <c r="BT72" t="s">
        <v>228</v>
      </c>
      <c r="BU72" t="s">
        <v>674</v>
      </c>
      <c r="BV72" t="s">
        <v>674</v>
      </c>
      <c r="BW72" t="s">
        <v>674</v>
      </c>
      <c r="BX72" t="s">
        <v>674</v>
      </c>
      <c r="BY72" t="s">
        <v>674</v>
      </c>
      <c r="BZ72" t="s">
        <v>674</v>
      </c>
      <c r="CA72" t="s">
        <v>674</v>
      </c>
      <c r="CB72" t="s">
        <v>674</v>
      </c>
      <c r="CC72" t="s">
        <v>674</v>
      </c>
      <c r="CD72" t="s">
        <v>674</v>
      </c>
      <c r="CE72" t="s">
        <v>674</v>
      </c>
      <c r="CF72" t="s">
        <v>674</v>
      </c>
      <c r="CG72" t="s">
        <v>674</v>
      </c>
      <c r="CH72" t="s">
        <v>674</v>
      </c>
      <c r="CI72" t="s">
        <v>674</v>
      </c>
    </row>
    <row r="73" spans="1:87" x14ac:dyDescent="0.25">
      <c r="A73" t="s">
        <v>214</v>
      </c>
      <c r="B73" t="s">
        <v>126</v>
      </c>
      <c r="C73">
        <v>2024</v>
      </c>
      <c r="D73" t="s">
        <v>215</v>
      </c>
      <c r="E73" t="s">
        <v>216</v>
      </c>
      <c r="F73" t="s">
        <v>217</v>
      </c>
      <c r="G73" t="s">
        <v>218</v>
      </c>
      <c r="H73" t="s">
        <v>674</v>
      </c>
      <c r="I73" t="s">
        <v>219</v>
      </c>
      <c r="J73" t="s">
        <v>220</v>
      </c>
      <c r="K73" t="s">
        <v>674</v>
      </c>
      <c r="L73" t="s">
        <v>681</v>
      </c>
      <c r="M73" s="1">
        <v>46257.902071759258</v>
      </c>
      <c r="N73" s="1">
        <v>46257.915439814817</v>
      </c>
      <c r="O73" s="1">
        <v>46257.902071759258</v>
      </c>
      <c r="P73" t="s">
        <v>221</v>
      </c>
      <c r="Q73" t="s">
        <v>674</v>
      </c>
      <c r="T73" t="s">
        <v>674</v>
      </c>
      <c r="U73" t="s">
        <v>674</v>
      </c>
      <c r="V73" t="s">
        <v>674</v>
      </c>
      <c r="W73" t="s">
        <v>674</v>
      </c>
      <c r="X73" t="s">
        <v>674</v>
      </c>
      <c r="Y73" t="s">
        <v>674</v>
      </c>
      <c r="Z73" t="s">
        <v>674</v>
      </c>
      <c r="AA73" t="s">
        <v>133</v>
      </c>
      <c r="AB73" t="s">
        <v>222</v>
      </c>
      <c r="AC73" t="s">
        <v>674</v>
      </c>
      <c r="AD73" t="s">
        <v>135</v>
      </c>
      <c r="AE73" t="s">
        <v>674</v>
      </c>
      <c r="AF73" t="s">
        <v>674</v>
      </c>
      <c r="AG73" t="s">
        <v>674</v>
      </c>
      <c r="AH73" t="s">
        <v>99</v>
      </c>
      <c r="AJ73" t="s">
        <v>674</v>
      </c>
      <c r="AK73" t="s">
        <v>674</v>
      </c>
      <c r="AL73" t="s">
        <v>223</v>
      </c>
      <c r="AM73" t="s">
        <v>674</v>
      </c>
      <c r="AN73" t="s">
        <v>224</v>
      </c>
      <c r="AO73" t="s">
        <v>674</v>
      </c>
      <c r="AP73" t="s">
        <v>674</v>
      </c>
      <c r="AQ73" t="s">
        <v>674</v>
      </c>
      <c r="AR73" t="s">
        <v>674</v>
      </c>
      <c r="AS73" t="s">
        <v>674</v>
      </c>
      <c r="AT73" t="s">
        <v>674</v>
      </c>
      <c r="AU73" t="s">
        <v>674</v>
      </c>
      <c r="AV73" t="s">
        <v>674</v>
      </c>
      <c r="AW73" t="s">
        <v>674</v>
      </c>
      <c r="AX73" t="s">
        <v>674</v>
      </c>
      <c r="AY73" t="s">
        <v>674</v>
      </c>
      <c r="AZ73" t="s">
        <v>674</v>
      </c>
      <c r="BA73" t="s">
        <v>674</v>
      </c>
      <c r="BB73" t="s">
        <v>674</v>
      </c>
      <c r="BC73" t="s">
        <v>674</v>
      </c>
      <c r="BD73" t="s">
        <v>674</v>
      </c>
      <c r="BE73" t="s">
        <v>674</v>
      </c>
      <c r="BF73" t="s">
        <v>674</v>
      </c>
      <c r="BG73" t="s">
        <v>674</v>
      </c>
      <c r="BH73" t="s">
        <v>674</v>
      </c>
      <c r="BI73" t="s">
        <v>674</v>
      </c>
      <c r="BJ73" t="s">
        <v>674</v>
      </c>
      <c r="BK73" t="s">
        <v>674</v>
      </c>
      <c r="BL73" t="s">
        <v>674</v>
      </c>
      <c r="BM73" t="s">
        <v>674</v>
      </c>
      <c r="BN73" t="s">
        <v>674</v>
      </c>
      <c r="BO73" t="s">
        <v>674</v>
      </c>
      <c r="BP73" t="s">
        <v>674</v>
      </c>
      <c r="BQ73" t="s">
        <v>674</v>
      </c>
      <c r="BR73" t="s">
        <v>674</v>
      </c>
      <c r="BS73" t="s">
        <v>674</v>
      </c>
      <c r="BT73" t="s">
        <v>217</v>
      </c>
      <c r="BU73" t="s">
        <v>674</v>
      </c>
      <c r="BV73" t="s">
        <v>674</v>
      </c>
      <c r="BW73" t="s">
        <v>674</v>
      </c>
      <c r="BX73" t="s">
        <v>674</v>
      </c>
      <c r="BY73" t="s">
        <v>674</v>
      </c>
      <c r="BZ73" t="s">
        <v>674</v>
      </c>
      <c r="CA73" t="s">
        <v>674</v>
      </c>
      <c r="CB73" t="s">
        <v>674</v>
      </c>
      <c r="CC73" t="s">
        <v>674</v>
      </c>
      <c r="CD73" t="s">
        <v>674</v>
      </c>
      <c r="CE73" t="s">
        <v>674</v>
      </c>
      <c r="CF73" t="s">
        <v>674</v>
      </c>
      <c r="CG73" t="s">
        <v>674</v>
      </c>
      <c r="CH73" t="s">
        <v>674</v>
      </c>
      <c r="CI73" t="s">
        <v>674</v>
      </c>
    </row>
    <row r="74" spans="1:87" x14ac:dyDescent="0.25">
      <c r="A74" t="s">
        <v>209</v>
      </c>
      <c r="B74" t="s">
        <v>88</v>
      </c>
      <c r="D74" t="s">
        <v>210</v>
      </c>
      <c r="E74" t="s">
        <v>211</v>
      </c>
      <c r="F74" t="s">
        <v>674</v>
      </c>
      <c r="G74" t="s">
        <v>674</v>
      </c>
      <c r="H74" t="s">
        <v>674</v>
      </c>
      <c r="I74" t="s">
        <v>674</v>
      </c>
      <c r="J74" t="s">
        <v>674</v>
      </c>
      <c r="K74" t="s">
        <v>674</v>
      </c>
      <c r="L74" t="s">
        <v>674</v>
      </c>
      <c r="M74" s="1">
        <v>46257.902037037034</v>
      </c>
      <c r="N74" s="1">
        <v>46257.925740740742</v>
      </c>
      <c r="O74" s="1"/>
      <c r="P74" t="s">
        <v>674</v>
      </c>
      <c r="Q74" t="s">
        <v>674</v>
      </c>
      <c r="T74" t="s">
        <v>674</v>
      </c>
      <c r="U74" t="s">
        <v>674</v>
      </c>
      <c r="V74" t="s">
        <v>674</v>
      </c>
      <c r="W74" t="s">
        <v>674</v>
      </c>
      <c r="X74" t="s">
        <v>674</v>
      </c>
      <c r="Y74" t="s">
        <v>674</v>
      </c>
      <c r="Z74" t="s">
        <v>674</v>
      </c>
      <c r="AA74" t="s">
        <v>674</v>
      </c>
      <c r="AB74" t="s">
        <v>674</v>
      </c>
      <c r="AC74" t="s">
        <v>97</v>
      </c>
      <c r="AD74" t="s">
        <v>674</v>
      </c>
      <c r="AE74" t="s">
        <v>674</v>
      </c>
      <c r="AF74" t="s">
        <v>674</v>
      </c>
      <c r="AG74" t="s">
        <v>674</v>
      </c>
      <c r="AH74" t="s">
        <v>163</v>
      </c>
      <c r="AJ74" t="s">
        <v>674</v>
      </c>
      <c r="AK74" t="s">
        <v>674</v>
      </c>
      <c r="AL74" t="s">
        <v>212</v>
      </c>
      <c r="AM74" t="s">
        <v>674</v>
      </c>
      <c r="AN74" t="s">
        <v>213</v>
      </c>
      <c r="AO74" t="s">
        <v>674</v>
      </c>
      <c r="AP74" t="s">
        <v>674</v>
      </c>
      <c r="AQ74" t="s">
        <v>674</v>
      </c>
      <c r="AR74" t="s">
        <v>674</v>
      </c>
      <c r="AS74" t="s">
        <v>674</v>
      </c>
      <c r="AT74" t="s">
        <v>674</v>
      </c>
      <c r="AU74" t="s">
        <v>674</v>
      </c>
      <c r="AV74" t="s">
        <v>674</v>
      </c>
      <c r="AW74" t="s">
        <v>674</v>
      </c>
      <c r="AX74" t="s">
        <v>674</v>
      </c>
      <c r="AY74" t="s">
        <v>674</v>
      </c>
      <c r="AZ74" t="s">
        <v>674</v>
      </c>
      <c r="BA74" t="s">
        <v>674</v>
      </c>
      <c r="BB74" t="s">
        <v>674</v>
      </c>
      <c r="BC74" t="s">
        <v>674</v>
      </c>
      <c r="BD74" t="s">
        <v>674</v>
      </c>
      <c r="BE74" t="s">
        <v>674</v>
      </c>
      <c r="BF74" t="s">
        <v>674</v>
      </c>
      <c r="BG74" t="s">
        <v>674</v>
      </c>
      <c r="BH74" t="s">
        <v>674</v>
      </c>
      <c r="BI74" t="s">
        <v>674</v>
      </c>
      <c r="BJ74" t="s">
        <v>674</v>
      </c>
      <c r="BK74" t="s">
        <v>674</v>
      </c>
      <c r="BL74" t="s">
        <v>674</v>
      </c>
      <c r="BM74" t="s">
        <v>674</v>
      </c>
      <c r="BN74" t="s">
        <v>674</v>
      </c>
      <c r="BO74" t="s">
        <v>674</v>
      </c>
      <c r="BP74" t="s">
        <v>674</v>
      </c>
      <c r="BQ74" t="s">
        <v>674</v>
      </c>
      <c r="BR74" t="s">
        <v>674</v>
      </c>
      <c r="BS74" t="s">
        <v>674</v>
      </c>
      <c r="BT74" t="s">
        <v>674</v>
      </c>
      <c r="BU74" t="s">
        <v>674</v>
      </c>
      <c r="BV74" t="s">
        <v>674</v>
      </c>
      <c r="BW74" t="s">
        <v>674</v>
      </c>
      <c r="BX74" t="s">
        <v>674</v>
      </c>
      <c r="BY74" t="s">
        <v>674</v>
      </c>
      <c r="BZ74" t="s">
        <v>674</v>
      </c>
      <c r="CA74" t="s">
        <v>674</v>
      </c>
      <c r="CB74" t="s">
        <v>674</v>
      </c>
      <c r="CC74" t="s">
        <v>674</v>
      </c>
      <c r="CD74" t="s">
        <v>674</v>
      </c>
      <c r="CE74" t="s">
        <v>674</v>
      </c>
      <c r="CF74" t="s">
        <v>674</v>
      </c>
      <c r="CG74" t="s">
        <v>674</v>
      </c>
      <c r="CH74" t="s">
        <v>674</v>
      </c>
      <c r="CI74" t="s">
        <v>674</v>
      </c>
    </row>
    <row r="75" spans="1:87" x14ac:dyDescent="0.25">
      <c r="A75" t="s">
        <v>198</v>
      </c>
      <c r="B75" t="s">
        <v>126</v>
      </c>
      <c r="C75">
        <v>2024</v>
      </c>
      <c r="D75" t="s">
        <v>199</v>
      </c>
      <c r="E75" t="s">
        <v>200</v>
      </c>
      <c r="F75" t="s">
        <v>201</v>
      </c>
      <c r="G75" t="s">
        <v>202</v>
      </c>
      <c r="H75" t="s">
        <v>674</v>
      </c>
      <c r="I75" t="s">
        <v>203</v>
      </c>
      <c r="J75" t="s">
        <v>204</v>
      </c>
      <c r="K75" t="s">
        <v>674</v>
      </c>
      <c r="L75" t="s">
        <v>680</v>
      </c>
      <c r="M75" s="1">
        <v>46257.901932870373</v>
      </c>
      <c r="N75" s="1">
        <v>46257.924803240741</v>
      </c>
      <c r="O75" s="1">
        <v>46257.901932870373</v>
      </c>
      <c r="P75" t="s">
        <v>205</v>
      </c>
      <c r="Q75" t="s">
        <v>674</v>
      </c>
      <c r="T75" t="s">
        <v>674</v>
      </c>
      <c r="U75" t="s">
        <v>674</v>
      </c>
      <c r="V75" t="s">
        <v>674</v>
      </c>
      <c r="W75" t="s">
        <v>674</v>
      </c>
      <c r="X75" t="s">
        <v>674</v>
      </c>
      <c r="Y75" t="s">
        <v>674</v>
      </c>
      <c r="Z75" t="s">
        <v>674</v>
      </c>
      <c r="AA75" t="s">
        <v>133</v>
      </c>
      <c r="AB75" t="s">
        <v>206</v>
      </c>
      <c r="AC75" t="s">
        <v>674</v>
      </c>
      <c r="AD75" t="s">
        <v>135</v>
      </c>
      <c r="AE75" t="s">
        <v>674</v>
      </c>
      <c r="AF75" t="s">
        <v>674</v>
      </c>
      <c r="AG75" t="s">
        <v>674</v>
      </c>
      <c r="AH75" t="s">
        <v>99</v>
      </c>
      <c r="AJ75" t="s">
        <v>674</v>
      </c>
      <c r="AK75" t="s">
        <v>674</v>
      </c>
      <c r="AL75" t="s">
        <v>207</v>
      </c>
      <c r="AM75" t="s">
        <v>674</v>
      </c>
      <c r="AN75" t="s">
        <v>208</v>
      </c>
      <c r="AO75" t="s">
        <v>674</v>
      </c>
      <c r="AP75" t="s">
        <v>674</v>
      </c>
      <c r="AQ75" t="s">
        <v>674</v>
      </c>
      <c r="AR75" t="s">
        <v>674</v>
      </c>
      <c r="AS75" t="s">
        <v>674</v>
      </c>
      <c r="AT75" t="s">
        <v>674</v>
      </c>
      <c r="AU75" t="s">
        <v>674</v>
      </c>
      <c r="AV75" t="s">
        <v>674</v>
      </c>
      <c r="AW75" t="s">
        <v>674</v>
      </c>
      <c r="AX75" t="s">
        <v>674</v>
      </c>
      <c r="AY75" t="s">
        <v>674</v>
      </c>
      <c r="AZ75" t="s">
        <v>674</v>
      </c>
      <c r="BA75" t="s">
        <v>674</v>
      </c>
      <c r="BB75" t="s">
        <v>674</v>
      </c>
      <c r="BC75" t="s">
        <v>674</v>
      </c>
      <c r="BD75" t="s">
        <v>674</v>
      </c>
      <c r="BE75" t="s">
        <v>674</v>
      </c>
      <c r="BF75" t="s">
        <v>674</v>
      </c>
      <c r="BG75" t="s">
        <v>674</v>
      </c>
      <c r="BH75" t="s">
        <v>674</v>
      </c>
      <c r="BI75" t="s">
        <v>674</v>
      </c>
      <c r="BJ75" t="s">
        <v>674</v>
      </c>
      <c r="BK75" t="s">
        <v>674</v>
      </c>
      <c r="BL75" t="s">
        <v>674</v>
      </c>
      <c r="BM75" t="s">
        <v>674</v>
      </c>
      <c r="BN75" t="s">
        <v>674</v>
      </c>
      <c r="BO75" t="s">
        <v>674</v>
      </c>
      <c r="BP75" t="s">
        <v>674</v>
      </c>
      <c r="BQ75" t="s">
        <v>674</v>
      </c>
      <c r="BR75" t="s">
        <v>674</v>
      </c>
      <c r="BS75" t="s">
        <v>674</v>
      </c>
      <c r="BT75" t="s">
        <v>201</v>
      </c>
      <c r="BU75" t="s">
        <v>674</v>
      </c>
      <c r="BV75" t="s">
        <v>674</v>
      </c>
      <c r="BW75" t="s">
        <v>674</v>
      </c>
      <c r="BX75" t="s">
        <v>674</v>
      </c>
      <c r="BY75" t="s">
        <v>674</v>
      </c>
      <c r="BZ75" t="s">
        <v>674</v>
      </c>
      <c r="CA75" t="s">
        <v>674</v>
      </c>
      <c r="CB75" t="s">
        <v>674</v>
      </c>
      <c r="CC75" t="s">
        <v>674</v>
      </c>
      <c r="CD75" t="s">
        <v>674</v>
      </c>
      <c r="CE75" t="s">
        <v>674</v>
      </c>
      <c r="CF75" t="s">
        <v>674</v>
      </c>
      <c r="CG75" t="s">
        <v>674</v>
      </c>
      <c r="CH75" t="s">
        <v>674</v>
      </c>
      <c r="CI75" t="s">
        <v>674</v>
      </c>
    </row>
    <row r="76" spans="1:87" x14ac:dyDescent="0.25">
      <c r="A76" t="s">
        <v>189</v>
      </c>
      <c r="B76" t="s">
        <v>88</v>
      </c>
      <c r="C76">
        <v>2020</v>
      </c>
      <c r="D76" t="s">
        <v>190</v>
      </c>
      <c r="E76" t="s">
        <v>191</v>
      </c>
      <c r="F76" t="s">
        <v>115</v>
      </c>
      <c r="G76" t="s">
        <v>674</v>
      </c>
      <c r="H76" t="s">
        <v>116</v>
      </c>
      <c r="I76" t="s">
        <v>192</v>
      </c>
      <c r="J76" t="s">
        <v>193</v>
      </c>
      <c r="K76" t="s">
        <v>674</v>
      </c>
      <c r="L76" t="s">
        <v>194</v>
      </c>
      <c r="M76" s="1">
        <v>46257.901886574073</v>
      </c>
      <c r="N76" s="1">
        <v>46257.924050925925</v>
      </c>
      <c r="O76" s="1">
        <v>46257.901886574073</v>
      </c>
      <c r="P76" t="s">
        <v>195</v>
      </c>
      <c r="Q76" t="s">
        <v>674</v>
      </c>
      <c r="R76">
        <v>7</v>
      </c>
      <c r="S76">
        <v>67</v>
      </c>
      <c r="T76" t="s">
        <v>674</v>
      </c>
      <c r="U76" t="s">
        <v>121</v>
      </c>
      <c r="V76" t="s">
        <v>674</v>
      </c>
      <c r="W76" t="s">
        <v>674</v>
      </c>
      <c r="X76" t="s">
        <v>674</v>
      </c>
      <c r="Y76" t="s">
        <v>674</v>
      </c>
      <c r="Z76" t="s">
        <v>674</v>
      </c>
      <c r="AA76" t="s">
        <v>674</v>
      </c>
      <c r="AB76" t="s">
        <v>674</v>
      </c>
      <c r="AC76" t="s">
        <v>674</v>
      </c>
      <c r="AD76" t="s">
        <v>122</v>
      </c>
      <c r="AE76" t="s">
        <v>674</v>
      </c>
      <c r="AF76" t="s">
        <v>674</v>
      </c>
      <c r="AG76" t="s">
        <v>674</v>
      </c>
      <c r="AH76" t="s">
        <v>99</v>
      </c>
      <c r="AJ76" t="s">
        <v>674</v>
      </c>
      <c r="AK76" t="s">
        <v>674</v>
      </c>
      <c r="AL76" t="s">
        <v>196</v>
      </c>
      <c r="AM76" t="s">
        <v>674</v>
      </c>
      <c r="AN76" t="s">
        <v>197</v>
      </c>
      <c r="AO76" t="s">
        <v>674</v>
      </c>
      <c r="AP76" t="s">
        <v>674</v>
      </c>
      <c r="AQ76" t="s">
        <v>674</v>
      </c>
      <c r="AR76" t="s">
        <v>674</v>
      </c>
      <c r="AS76" t="s">
        <v>674</v>
      </c>
      <c r="AT76" t="s">
        <v>674</v>
      </c>
      <c r="AU76" t="s">
        <v>674</v>
      </c>
      <c r="AV76" t="s">
        <v>674</v>
      </c>
      <c r="AW76" t="s">
        <v>674</v>
      </c>
      <c r="AX76" t="s">
        <v>674</v>
      </c>
      <c r="AY76" t="s">
        <v>674</v>
      </c>
      <c r="AZ76" t="s">
        <v>674</v>
      </c>
      <c r="BA76" t="s">
        <v>674</v>
      </c>
      <c r="BB76" t="s">
        <v>674</v>
      </c>
      <c r="BC76" t="s">
        <v>674</v>
      </c>
      <c r="BD76" t="s">
        <v>674</v>
      </c>
      <c r="BE76" t="s">
        <v>674</v>
      </c>
      <c r="BF76" t="s">
        <v>674</v>
      </c>
      <c r="BG76" t="s">
        <v>674</v>
      </c>
      <c r="BH76" t="s">
        <v>674</v>
      </c>
      <c r="BI76" t="s">
        <v>674</v>
      </c>
      <c r="BJ76" t="s">
        <v>674</v>
      </c>
      <c r="BK76" t="s">
        <v>674</v>
      </c>
      <c r="BL76" t="s">
        <v>674</v>
      </c>
      <c r="BM76" t="s">
        <v>674</v>
      </c>
      <c r="BN76" t="s">
        <v>674</v>
      </c>
      <c r="BO76" t="s">
        <v>674</v>
      </c>
      <c r="BP76" t="s">
        <v>674</v>
      </c>
      <c r="BQ76" t="s">
        <v>674</v>
      </c>
      <c r="BR76" t="s">
        <v>674</v>
      </c>
      <c r="BS76" t="s">
        <v>674</v>
      </c>
      <c r="BT76" t="s">
        <v>674</v>
      </c>
      <c r="BU76" t="s">
        <v>674</v>
      </c>
      <c r="BV76" t="s">
        <v>674</v>
      </c>
      <c r="BW76" t="s">
        <v>674</v>
      </c>
      <c r="BX76" t="s">
        <v>674</v>
      </c>
      <c r="BY76" t="s">
        <v>674</v>
      </c>
      <c r="BZ76" t="s">
        <v>674</v>
      </c>
      <c r="CA76" t="s">
        <v>674</v>
      </c>
      <c r="CB76" t="s">
        <v>674</v>
      </c>
      <c r="CC76" t="s">
        <v>674</v>
      </c>
      <c r="CD76" t="s">
        <v>674</v>
      </c>
      <c r="CE76" t="s">
        <v>674</v>
      </c>
      <c r="CF76" t="s">
        <v>674</v>
      </c>
      <c r="CG76" t="s">
        <v>674</v>
      </c>
      <c r="CH76" t="s">
        <v>674</v>
      </c>
      <c r="CI76" t="s">
        <v>674</v>
      </c>
    </row>
    <row r="77" spans="1:87" x14ac:dyDescent="0.25">
      <c r="A77" t="s">
        <v>177</v>
      </c>
      <c r="B77" t="s">
        <v>88</v>
      </c>
      <c r="C77">
        <v>2022</v>
      </c>
      <c r="D77" t="s">
        <v>178</v>
      </c>
      <c r="E77" t="s">
        <v>179</v>
      </c>
      <c r="F77" t="s">
        <v>180</v>
      </c>
      <c r="G77" t="s">
        <v>674</v>
      </c>
      <c r="H77" t="s">
        <v>181</v>
      </c>
      <c r="I77" t="s">
        <v>182</v>
      </c>
      <c r="J77" t="s">
        <v>183</v>
      </c>
      <c r="K77" t="s">
        <v>184</v>
      </c>
      <c r="L77" t="s">
        <v>678</v>
      </c>
      <c r="M77" s="1">
        <v>46257.90185185185</v>
      </c>
      <c r="N77" s="1">
        <v>46257.923020833332</v>
      </c>
      <c r="O77" s="1">
        <v>46257.90185185185</v>
      </c>
      <c r="P77" t="s">
        <v>679</v>
      </c>
      <c r="Q77" t="s">
        <v>674</v>
      </c>
      <c r="S77">
        <v>2022</v>
      </c>
      <c r="T77" t="s">
        <v>674</v>
      </c>
      <c r="U77" t="s">
        <v>180</v>
      </c>
      <c r="V77" t="s">
        <v>674</v>
      </c>
      <c r="W77" t="s">
        <v>674</v>
      </c>
      <c r="X77" t="s">
        <v>674</v>
      </c>
      <c r="Y77" t="s">
        <v>674</v>
      </c>
      <c r="Z77" t="s">
        <v>674</v>
      </c>
      <c r="AA77" t="s">
        <v>674</v>
      </c>
      <c r="AB77" t="s">
        <v>674</v>
      </c>
      <c r="AC77" t="s">
        <v>97</v>
      </c>
      <c r="AD77" t="s">
        <v>185</v>
      </c>
      <c r="AE77" t="s">
        <v>674</v>
      </c>
      <c r="AF77" t="s">
        <v>674</v>
      </c>
      <c r="AG77" t="s">
        <v>674</v>
      </c>
      <c r="AH77" t="s">
        <v>99</v>
      </c>
      <c r="AJ77" t="s">
        <v>674</v>
      </c>
      <c r="AK77" t="s">
        <v>674</v>
      </c>
      <c r="AL77" t="s">
        <v>186</v>
      </c>
      <c r="AM77" t="s">
        <v>674</v>
      </c>
      <c r="AN77" t="s">
        <v>187</v>
      </c>
      <c r="AO77" t="s">
        <v>674</v>
      </c>
      <c r="AP77" t="s">
        <v>188</v>
      </c>
      <c r="AQ77" t="s">
        <v>674</v>
      </c>
      <c r="AR77" t="s">
        <v>674</v>
      </c>
      <c r="AS77" t="s">
        <v>674</v>
      </c>
      <c r="AT77" t="s">
        <v>674</v>
      </c>
      <c r="AU77" t="s">
        <v>674</v>
      </c>
      <c r="AV77" t="s">
        <v>674</v>
      </c>
      <c r="AW77" t="s">
        <v>674</v>
      </c>
      <c r="AX77" t="s">
        <v>674</v>
      </c>
      <c r="AY77" t="s">
        <v>674</v>
      </c>
      <c r="AZ77" t="s">
        <v>674</v>
      </c>
      <c r="BA77" t="s">
        <v>674</v>
      </c>
      <c r="BB77" t="s">
        <v>674</v>
      </c>
      <c r="BC77" t="s">
        <v>674</v>
      </c>
      <c r="BD77" t="s">
        <v>674</v>
      </c>
      <c r="BE77" t="s">
        <v>674</v>
      </c>
      <c r="BF77" t="s">
        <v>674</v>
      </c>
      <c r="BG77" t="s">
        <v>674</v>
      </c>
      <c r="BH77" t="s">
        <v>674</v>
      </c>
      <c r="BI77" t="s">
        <v>674</v>
      </c>
      <c r="BJ77" t="s">
        <v>674</v>
      </c>
      <c r="BK77" t="s">
        <v>674</v>
      </c>
      <c r="BL77" t="s">
        <v>674</v>
      </c>
      <c r="BM77" t="s">
        <v>674</v>
      </c>
      <c r="BN77" t="s">
        <v>674</v>
      </c>
      <c r="BO77" t="s">
        <v>674</v>
      </c>
      <c r="BP77" t="s">
        <v>674</v>
      </c>
      <c r="BQ77" t="s">
        <v>674</v>
      </c>
      <c r="BR77" t="s">
        <v>674</v>
      </c>
      <c r="BS77" t="s">
        <v>674</v>
      </c>
      <c r="BT77" t="s">
        <v>674</v>
      </c>
      <c r="BU77" t="s">
        <v>674</v>
      </c>
      <c r="BV77" t="s">
        <v>674</v>
      </c>
      <c r="BW77" t="s">
        <v>674</v>
      </c>
      <c r="BX77" t="s">
        <v>674</v>
      </c>
      <c r="BY77" t="s">
        <v>674</v>
      </c>
      <c r="BZ77" t="s">
        <v>674</v>
      </c>
      <c r="CA77" t="s">
        <v>674</v>
      </c>
      <c r="CB77" t="s">
        <v>674</v>
      </c>
      <c r="CC77" t="s">
        <v>674</v>
      </c>
      <c r="CD77" t="s">
        <v>674</v>
      </c>
      <c r="CE77" t="s">
        <v>674</v>
      </c>
      <c r="CF77" t="s">
        <v>674</v>
      </c>
      <c r="CG77" t="s">
        <v>674</v>
      </c>
      <c r="CH77" t="s">
        <v>674</v>
      </c>
      <c r="CI77" t="s">
        <v>674</v>
      </c>
    </row>
    <row r="78" spans="1:87" x14ac:dyDescent="0.25">
      <c r="A78" t="s">
        <v>165</v>
      </c>
      <c r="B78" t="s">
        <v>126</v>
      </c>
      <c r="C78">
        <v>2007</v>
      </c>
      <c r="D78" t="s">
        <v>166</v>
      </c>
      <c r="E78" t="s">
        <v>167</v>
      </c>
      <c r="F78" t="s">
        <v>168</v>
      </c>
      <c r="G78" t="s">
        <v>169</v>
      </c>
      <c r="H78" t="s">
        <v>674</v>
      </c>
      <c r="I78" t="s">
        <v>170</v>
      </c>
      <c r="J78" t="s">
        <v>171</v>
      </c>
      <c r="K78" t="s">
        <v>674</v>
      </c>
      <c r="L78" t="s">
        <v>172</v>
      </c>
      <c r="M78" s="1">
        <v>46257.90179398148</v>
      </c>
      <c r="N78" s="1">
        <v>46257.929259259261</v>
      </c>
      <c r="O78" s="1">
        <v>46257.90179398148</v>
      </c>
      <c r="P78" t="s">
        <v>173</v>
      </c>
      <c r="Q78" t="s">
        <v>674</v>
      </c>
      <c r="T78" t="s">
        <v>674</v>
      </c>
      <c r="U78" t="s">
        <v>674</v>
      </c>
      <c r="V78" t="s">
        <v>674</v>
      </c>
      <c r="W78" t="s">
        <v>674</v>
      </c>
      <c r="X78" t="s">
        <v>674</v>
      </c>
      <c r="Y78" t="s">
        <v>674</v>
      </c>
      <c r="Z78" t="s">
        <v>674</v>
      </c>
      <c r="AA78" t="s">
        <v>133</v>
      </c>
      <c r="AB78" t="s">
        <v>174</v>
      </c>
      <c r="AC78" t="s">
        <v>674</v>
      </c>
      <c r="AD78" t="s">
        <v>674</v>
      </c>
      <c r="AE78" t="s">
        <v>674</v>
      </c>
      <c r="AF78" t="s">
        <v>674</v>
      </c>
      <c r="AG78" t="s">
        <v>674</v>
      </c>
      <c r="AH78" t="s">
        <v>99</v>
      </c>
      <c r="AJ78" t="s">
        <v>674</v>
      </c>
      <c r="AK78" t="s">
        <v>674</v>
      </c>
      <c r="AL78" t="s">
        <v>175</v>
      </c>
      <c r="AM78" t="s">
        <v>674</v>
      </c>
      <c r="AN78" t="s">
        <v>101</v>
      </c>
      <c r="AO78" t="s">
        <v>674</v>
      </c>
      <c r="AP78" t="s">
        <v>674</v>
      </c>
      <c r="AQ78" t="s">
        <v>674</v>
      </c>
      <c r="AR78" t="s">
        <v>674</v>
      </c>
      <c r="AS78" t="s">
        <v>674</v>
      </c>
      <c r="AT78" t="s">
        <v>674</v>
      </c>
      <c r="AU78" t="s">
        <v>674</v>
      </c>
      <c r="AV78" t="s">
        <v>674</v>
      </c>
      <c r="AW78" t="s">
        <v>674</v>
      </c>
      <c r="AX78" t="s">
        <v>674</v>
      </c>
      <c r="AY78" t="s">
        <v>674</v>
      </c>
      <c r="AZ78" t="s">
        <v>674</v>
      </c>
      <c r="BA78" t="s">
        <v>674</v>
      </c>
      <c r="BB78" t="s">
        <v>674</v>
      </c>
      <c r="BC78" t="s">
        <v>674</v>
      </c>
      <c r="BD78" t="s">
        <v>674</v>
      </c>
      <c r="BE78" t="s">
        <v>674</v>
      </c>
      <c r="BF78" t="s">
        <v>674</v>
      </c>
      <c r="BG78" t="s">
        <v>674</v>
      </c>
      <c r="BH78" t="s">
        <v>674</v>
      </c>
      <c r="BI78" t="s">
        <v>674</v>
      </c>
      <c r="BJ78" t="s">
        <v>674</v>
      </c>
      <c r="BK78" t="s">
        <v>674</v>
      </c>
      <c r="BL78" t="s">
        <v>674</v>
      </c>
      <c r="BM78" t="s">
        <v>674</v>
      </c>
      <c r="BN78" t="s">
        <v>674</v>
      </c>
      <c r="BO78" t="s">
        <v>674</v>
      </c>
      <c r="BP78" t="s">
        <v>674</v>
      </c>
      <c r="BQ78" t="s">
        <v>674</v>
      </c>
      <c r="BR78" t="s">
        <v>674</v>
      </c>
      <c r="BS78" t="s">
        <v>674</v>
      </c>
      <c r="BT78" t="s">
        <v>176</v>
      </c>
      <c r="BU78" t="s">
        <v>674</v>
      </c>
      <c r="BV78" t="s">
        <v>674</v>
      </c>
      <c r="BW78" t="s">
        <v>674</v>
      </c>
      <c r="BX78" t="s">
        <v>674</v>
      </c>
      <c r="BY78" t="s">
        <v>674</v>
      </c>
      <c r="BZ78" t="s">
        <v>674</v>
      </c>
      <c r="CA78" t="s">
        <v>674</v>
      </c>
      <c r="CB78" t="s">
        <v>674</v>
      </c>
      <c r="CC78" t="s">
        <v>674</v>
      </c>
      <c r="CD78" t="s">
        <v>674</v>
      </c>
      <c r="CE78" t="s">
        <v>674</v>
      </c>
      <c r="CF78" t="s">
        <v>674</v>
      </c>
      <c r="CG78" t="s">
        <v>674</v>
      </c>
      <c r="CH78" t="s">
        <v>674</v>
      </c>
      <c r="CI78" t="s">
        <v>674</v>
      </c>
    </row>
    <row r="79" spans="1:87" x14ac:dyDescent="0.25">
      <c r="A79" t="s">
        <v>160</v>
      </c>
      <c r="B79" t="s">
        <v>88</v>
      </c>
      <c r="D79" t="s">
        <v>161</v>
      </c>
      <c r="E79" t="s">
        <v>162</v>
      </c>
      <c r="F79" t="s">
        <v>674</v>
      </c>
      <c r="G79" t="s">
        <v>674</v>
      </c>
      <c r="H79" t="s">
        <v>674</v>
      </c>
      <c r="I79" t="s">
        <v>674</v>
      </c>
      <c r="J79" t="s">
        <v>674</v>
      </c>
      <c r="K79" t="s">
        <v>674</v>
      </c>
      <c r="L79" t="s">
        <v>674</v>
      </c>
      <c r="M79" s="1">
        <v>46257.901736111111</v>
      </c>
      <c r="N79" s="1">
        <v>46257.925219907411</v>
      </c>
      <c r="O79" s="1"/>
      <c r="P79" t="s">
        <v>674</v>
      </c>
      <c r="Q79" t="s">
        <v>674</v>
      </c>
      <c r="T79" t="s">
        <v>674</v>
      </c>
      <c r="U79" t="s">
        <v>674</v>
      </c>
      <c r="V79" t="s">
        <v>674</v>
      </c>
      <c r="W79" t="s">
        <v>674</v>
      </c>
      <c r="X79" t="s">
        <v>674</v>
      </c>
      <c r="Y79" t="s">
        <v>674</v>
      </c>
      <c r="Z79" t="s">
        <v>674</v>
      </c>
      <c r="AA79" t="s">
        <v>674</v>
      </c>
      <c r="AB79" t="s">
        <v>674</v>
      </c>
      <c r="AC79" t="s">
        <v>97</v>
      </c>
      <c r="AD79" t="s">
        <v>674</v>
      </c>
      <c r="AE79" t="s">
        <v>674</v>
      </c>
      <c r="AF79" t="s">
        <v>674</v>
      </c>
      <c r="AG79" t="s">
        <v>674</v>
      </c>
      <c r="AH79" t="s">
        <v>163</v>
      </c>
      <c r="AJ79" t="s">
        <v>674</v>
      </c>
      <c r="AK79" t="s">
        <v>674</v>
      </c>
      <c r="AL79" t="s">
        <v>164</v>
      </c>
      <c r="AM79" t="s">
        <v>674</v>
      </c>
      <c r="AN79" t="s">
        <v>101</v>
      </c>
      <c r="AO79" t="s">
        <v>674</v>
      </c>
      <c r="AP79" t="s">
        <v>674</v>
      </c>
      <c r="AQ79" t="s">
        <v>674</v>
      </c>
      <c r="AR79" t="s">
        <v>674</v>
      </c>
      <c r="AS79" t="s">
        <v>674</v>
      </c>
      <c r="AT79" t="s">
        <v>674</v>
      </c>
      <c r="AU79" t="s">
        <v>674</v>
      </c>
      <c r="AV79" t="s">
        <v>674</v>
      </c>
      <c r="AW79" t="s">
        <v>674</v>
      </c>
      <c r="AX79" t="s">
        <v>674</v>
      </c>
      <c r="AY79" t="s">
        <v>674</v>
      </c>
      <c r="AZ79" t="s">
        <v>674</v>
      </c>
      <c r="BA79" t="s">
        <v>674</v>
      </c>
      <c r="BB79" t="s">
        <v>674</v>
      </c>
      <c r="BC79" t="s">
        <v>674</v>
      </c>
      <c r="BD79" t="s">
        <v>674</v>
      </c>
      <c r="BE79" t="s">
        <v>674</v>
      </c>
      <c r="BF79" t="s">
        <v>674</v>
      </c>
      <c r="BG79" t="s">
        <v>674</v>
      </c>
      <c r="BH79" t="s">
        <v>674</v>
      </c>
      <c r="BI79" t="s">
        <v>674</v>
      </c>
      <c r="BJ79" t="s">
        <v>674</v>
      </c>
      <c r="BK79" t="s">
        <v>674</v>
      </c>
      <c r="BL79" t="s">
        <v>674</v>
      </c>
      <c r="BM79" t="s">
        <v>674</v>
      </c>
      <c r="BN79" t="s">
        <v>674</v>
      </c>
      <c r="BO79" t="s">
        <v>674</v>
      </c>
      <c r="BP79" t="s">
        <v>674</v>
      </c>
      <c r="BQ79" t="s">
        <v>674</v>
      </c>
      <c r="BR79" t="s">
        <v>674</v>
      </c>
      <c r="BS79" t="s">
        <v>674</v>
      </c>
      <c r="BT79" t="s">
        <v>674</v>
      </c>
      <c r="BU79" t="s">
        <v>674</v>
      </c>
      <c r="BV79" t="s">
        <v>674</v>
      </c>
      <c r="BW79" t="s">
        <v>674</v>
      </c>
      <c r="BX79" t="s">
        <v>674</v>
      </c>
      <c r="BY79" t="s">
        <v>674</v>
      </c>
      <c r="BZ79" t="s">
        <v>674</v>
      </c>
      <c r="CA79" t="s">
        <v>674</v>
      </c>
      <c r="CB79" t="s">
        <v>674</v>
      </c>
      <c r="CC79" t="s">
        <v>674</v>
      </c>
      <c r="CD79" t="s">
        <v>674</v>
      </c>
      <c r="CE79" t="s">
        <v>674</v>
      </c>
      <c r="CF79" t="s">
        <v>674</v>
      </c>
      <c r="CG79" t="s">
        <v>674</v>
      </c>
      <c r="CH79" t="s">
        <v>674</v>
      </c>
      <c r="CI79" t="s">
        <v>674</v>
      </c>
    </row>
    <row r="80" spans="1:87" x14ac:dyDescent="0.25">
      <c r="A80" t="s">
        <v>149</v>
      </c>
      <c r="B80" t="s">
        <v>88</v>
      </c>
      <c r="C80">
        <v>2015</v>
      </c>
      <c r="D80" t="s">
        <v>150</v>
      </c>
      <c r="E80" t="s">
        <v>151</v>
      </c>
      <c r="F80" t="s">
        <v>152</v>
      </c>
      <c r="G80" t="s">
        <v>674</v>
      </c>
      <c r="H80" t="s">
        <v>153</v>
      </c>
      <c r="I80" t="s">
        <v>154</v>
      </c>
      <c r="J80" t="s">
        <v>155</v>
      </c>
      <c r="K80" t="s">
        <v>674</v>
      </c>
      <c r="L80" t="s">
        <v>156</v>
      </c>
      <c r="M80" s="1">
        <v>46257.901712962965</v>
      </c>
      <c r="N80" s="1">
        <v>46257.91615740741</v>
      </c>
      <c r="O80" s="1">
        <v>46257.901712962965</v>
      </c>
      <c r="P80" t="s">
        <v>157</v>
      </c>
      <c r="Q80" t="s">
        <v>674</v>
      </c>
      <c r="R80">
        <v>6</v>
      </c>
      <c r="S80">
        <v>11</v>
      </c>
      <c r="T80" t="s">
        <v>674</v>
      </c>
      <c r="U80" t="s">
        <v>158</v>
      </c>
      <c r="V80" t="s">
        <v>674</v>
      </c>
      <c r="W80" t="s">
        <v>674</v>
      </c>
      <c r="X80" t="s">
        <v>674</v>
      </c>
      <c r="Y80" t="s">
        <v>674</v>
      </c>
      <c r="Z80" t="s">
        <v>674</v>
      </c>
      <c r="AA80" t="s">
        <v>674</v>
      </c>
      <c r="AB80" t="s">
        <v>674</v>
      </c>
      <c r="AC80" t="s">
        <v>674</v>
      </c>
      <c r="AD80" t="s">
        <v>122</v>
      </c>
      <c r="AE80" t="s">
        <v>674</v>
      </c>
      <c r="AF80" t="s">
        <v>674</v>
      </c>
      <c r="AG80" t="s">
        <v>674</v>
      </c>
      <c r="AH80" t="s">
        <v>99</v>
      </c>
      <c r="AJ80" t="s">
        <v>674</v>
      </c>
      <c r="AK80" t="s">
        <v>674</v>
      </c>
      <c r="AL80" t="s">
        <v>159</v>
      </c>
      <c r="AM80" t="s">
        <v>674</v>
      </c>
      <c r="AN80" t="s">
        <v>101</v>
      </c>
      <c r="AO80" t="s">
        <v>674</v>
      </c>
      <c r="AP80" t="s">
        <v>674</v>
      </c>
      <c r="AQ80" t="s">
        <v>674</v>
      </c>
      <c r="AR80" t="s">
        <v>674</v>
      </c>
      <c r="AS80" t="s">
        <v>674</v>
      </c>
      <c r="AT80" t="s">
        <v>674</v>
      </c>
      <c r="AU80" t="s">
        <v>674</v>
      </c>
      <c r="AV80" t="s">
        <v>674</v>
      </c>
      <c r="AW80" t="s">
        <v>674</v>
      </c>
      <c r="AX80" t="s">
        <v>674</v>
      </c>
      <c r="AY80" t="s">
        <v>674</v>
      </c>
      <c r="AZ80" t="s">
        <v>674</v>
      </c>
      <c r="BA80" t="s">
        <v>674</v>
      </c>
      <c r="BB80" t="s">
        <v>674</v>
      </c>
      <c r="BC80" t="s">
        <v>674</v>
      </c>
      <c r="BD80" t="s">
        <v>674</v>
      </c>
      <c r="BE80" t="s">
        <v>674</v>
      </c>
      <c r="BF80" t="s">
        <v>674</v>
      </c>
      <c r="BG80" t="s">
        <v>674</v>
      </c>
      <c r="BH80" t="s">
        <v>674</v>
      </c>
      <c r="BI80" t="s">
        <v>674</v>
      </c>
      <c r="BJ80" t="s">
        <v>674</v>
      </c>
      <c r="BK80" t="s">
        <v>674</v>
      </c>
      <c r="BL80" t="s">
        <v>674</v>
      </c>
      <c r="BM80" t="s">
        <v>674</v>
      </c>
      <c r="BN80" t="s">
        <v>674</v>
      </c>
      <c r="BO80" t="s">
        <v>674</v>
      </c>
      <c r="BP80" t="s">
        <v>674</v>
      </c>
      <c r="BQ80" t="s">
        <v>674</v>
      </c>
      <c r="BR80" t="s">
        <v>674</v>
      </c>
      <c r="BS80" t="s">
        <v>674</v>
      </c>
      <c r="BT80" t="s">
        <v>674</v>
      </c>
      <c r="BU80" t="s">
        <v>674</v>
      </c>
      <c r="BV80" t="s">
        <v>674</v>
      </c>
      <c r="BW80" t="s">
        <v>674</v>
      </c>
      <c r="BX80" t="s">
        <v>674</v>
      </c>
      <c r="BY80" t="s">
        <v>674</v>
      </c>
      <c r="BZ80" t="s">
        <v>674</v>
      </c>
      <c r="CA80" t="s">
        <v>674</v>
      </c>
      <c r="CB80" t="s">
        <v>674</v>
      </c>
      <c r="CC80" t="s">
        <v>674</v>
      </c>
      <c r="CD80" t="s">
        <v>674</v>
      </c>
      <c r="CE80" t="s">
        <v>674</v>
      </c>
      <c r="CF80" t="s">
        <v>674</v>
      </c>
      <c r="CG80" t="s">
        <v>674</v>
      </c>
      <c r="CH80" t="s">
        <v>674</v>
      </c>
      <c r="CI80" t="s">
        <v>674</v>
      </c>
    </row>
    <row r="81" spans="1:87" x14ac:dyDescent="0.25">
      <c r="A81" t="s">
        <v>138</v>
      </c>
      <c r="B81" t="s">
        <v>126</v>
      </c>
      <c r="C81">
        <v>2019</v>
      </c>
      <c r="D81" t="s">
        <v>139</v>
      </c>
      <c r="E81" t="s">
        <v>140</v>
      </c>
      <c r="F81" t="s">
        <v>141</v>
      </c>
      <c r="G81" t="s">
        <v>142</v>
      </c>
      <c r="H81" t="s">
        <v>674</v>
      </c>
      <c r="I81" t="s">
        <v>143</v>
      </c>
      <c r="J81" t="s">
        <v>144</v>
      </c>
      <c r="K81" t="s">
        <v>674</v>
      </c>
      <c r="L81" t="s">
        <v>145</v>
      </c>
      <c r="M81" s="1">
        <v>46257.901597222219</v>
      </c>
      <c r="N81" s="1">
        <v>46257.928437499999</v>
      </c>
      <c r="O81" s="1">
        <v>46257.901597222219</v>
      </c>
      <c r="P81" t="s">
        <v>677</v>
      </c>
      <c r="Q81" t="s">
        <v>674</v>
      </c>
      <c r="T81" t="s">
        <v>674</v>
      </c>
      <c r="U81" t="s">
        <v>674</v>
      </c>
      <c r="V81" t="s">
        <v>674</v>
      </c>
      <c r="W81" t="s">
        <v>674</v>
      </c>
      <c r="X81" t="s">
        <v>674</v>
      </c>
      <c r="Y81" t="s">
        <v>674</v>
      </c>
      <c r="Z81" t="s">
        <v>674</v>
      </c>
      <c r="AA81" t="s">
        <v>133</v>
      </c>
      <c r="AB81" t="s">
        <v>146</v>
      </c>
      <c r="AC81" t="s">
        <v>674</v>
      </c>
      <c r="AD81" t="s">
        <v>122</v>
      </c>
      <c r="AE81" t="s">
        <v>674</v>
      </c>
      <c r="AF81" t="s">
        <v>674</v>
      </c>
      <c r="AG81" t="s">
        <v>674</v>
      </c>
      <c r="AH81" t="s">
        <v>99</v>
      </c>
      <c r="AJ81" t="s">
        <v>674</v>
      </c>
      <c r="AK81" t="s">
        <v>674</v>
      </c>
      <c r="AL81" t="s">
        <v>147</v>
      </c>
      <c r="AM81" t="s">
        <v>674</v>
      </c>
      <c r="AN81" t="s">
        <v>148</v>
      </c>
      <c r="AO81" t="s">
        <v>674</v>
      </c>
      <c r="AP81" t="s">
        <v>674</v>
      </c>
      <c r="AQ81" t="s">
        <v>674</v>
      </c>
      <c r="AR81" t="s">
        <v>674</v>
      </c>
      <c r="AS81" t="s">
        <v>674</v>
      </c>
      <c r="AT81" t="s">
        <v>674</v>
      </c>
      <c r="AU81" t="s">
        <v>674</v>
      </c>
      <c r="AV81" t="s">
        <v>674</v>
      </c>
      <c r="AW81" t="s">
        <v>674</v>
      </c>
      <c r="AX81" t="s">
        <v>674</v>
      </c>
      <c r="AY81" t="s">
        <v>674</v>
      </c>
      <c r="AZ81" t="s">
        <v>674</v>
      </c>
      <c r="BA81" t="s">
        <v>674</v>
      </c>
      <c r="BB81" t="s">
        <v>674</v>
      </c>
      <c r="BC81" t="s">
        <v>674</v>
      </c>
      <c r="BD81" t="s">
        <v>674</v>
      </c>
      <c r="BE81" t="s">
        <v>674</v>
      </c>
      <c r="BF81" t="s">
        <v>674</v>
      </c>
      <c r="BG81" t="s">
        <v>674</v>
      </c>
      <c r="BH81" t="s">
        <v>674</v>
      </c>
      <c r="BI81" t="s">
        <v>674</v>
      </c>
      <c r="BJ81" t="s">
        <v>674</v>
      </c>
      <c r="BK81" t="s">
        <v>674</v>
      </c>
      <c r="BL81" t="s">
        <v>674</v>
      </c>
      <c r="BM81" t="s">
        <v>674</v>
      </c>
      <c r="BN81" t="s">
        <v>674</v>
      </c>
      <c r="BO81" t="s">
        <v>674</v>
      </c>
      <c r="BP81" t="s">
        <v>674</v>
      </c>
      <c r="BQ81" t="s">
        <v>674</v>
      </c>
      <c r="BR81" t="s">
        <v>674</v>
      </c>
      <c r="BS81" t="s">
        <v>674</v>
      </c>
      <c r="BT81" t="s">
        <v>141</v>
      </c>
      <c r="BU81" t="s">
        <v>674</v>
      </c>
      <c r="BV81" t="s">
        <v>674</v>
      </c>
      <c r="BW81" t="s">
        <v>674</v>
      </c>
      <c r="BX81" t="s">
        <v>674</v>
      </c>
      <c r="BY81" t="s">
        <v>674</v>
      </c>
      <c r="BZ81" t="s">
        <v>674</v>
      </c>
      <c r="CA81" t="s">
        <v>674</v>
      </c>
      <c r="CB81" t="s">
        <v>674</v>
      </c>
      <c r="CC81" t="s">
        <v>674</v>
      </c>
      <c r="CD81" t="s">
        <v>674</v>
      </c>
      <c r="CE81" t="s">
        <v>674</v>
      </c>
      <c r="CF81" t="s">
        <v>674</v>
      </c>
      <c r="CG81" t="s">
        <v>674</v>
      </c>
      <c r="CH81" t="s">
        <v>674</v>
      </c>
      <c r="CI81" t="s">
        <v>674</v>
      </c>
    </row>
    <row r="82" spans="1:87" x14ac:dyDescent="0.25">
      <c r="A82" t="s">
        <v>125</v>
      </c>
      <c r="B82" t="s">
        <v>126</v>
      </c>
      <c r="C82">
        <v>2022</v>
      </c>
      <c r="D82" t="s">
        <v>127</v>
      </c>
      <c r="E82" t="s">
        <v>128</v>
      </c>
      <c r="F82" t="s">
        <v>129</v>
      </c>
      <c r="G82" t="s">
        <v>130</v>
      </c>
      <c r="H82" t="s">
        <v>674</v>
      </c>
      <c r="I82" t="s">
        <v>131</v>
      </c>
      <c r="J82" t="s">
        <v>132</v>
      </c>
      <c r="K82" t="s">
        <v>674</v>
      </c>
      <c r="L82" t="s">
        <v>676</v>
      </c>
      <c r="M82" s="1">
        <v>46257.901574074072</v>
      </c>
      <c r="N82" s="1">
        <v>46257.93273148148</v>
      </c>
      <c r="O82" s="1">
        <v>46257.901574074072</v>
      </c>
      <c r="P82" t="s">
        <v>677</v>
      </c>
      <c r="Q82" t="s">
        <v>674</v>
      </c>
      <c r="T82" t="s">
        <v>674</v>
      </c>
      <c r="U82" t="s">
        <v>674</v>
      </c>
      <c r="V82" t="s">
        <v>674</v>
      </c>
      <c r="W82" t="s">
        <v>674</v>
      </c>
      <c r="X82" t="s">
        <v>674</v>
      </c>
      <c r="Y82" t="s">
        <v>674</v>
      </c>
      <c r="Z82" t="s">
        <v>674</v>
      </c>
      <c r="AA82" t="s">
        <v>133</v>
      </c>
      <c r="AB82" t="s">
        <v>134</v>
      </c>
      <c r="AC82" t="s">
        <v>674</v>
      </c>
      <c r="AD82" t="s">
        <v>135</v>
      </c>
      <c r="AE82" t="s">
        <v>674</v>
      </c>
      <c r="AF82" t="s">
        <v>674</v>
      </c>
      <c r="AG82" t="s">
        <v>674</v>
      </c>
      <c r="AH82" t="s">
        <v>99</v>
      </c>
      <c r="AJ82" t="s">
        <v>674</v>
      </c>
      <c r="AK82" t="s">
        <v>674</v>
      </c>
      <c r="AL82" t="s">
        <v>136</v>
      </c>
      <c r="AM82" t="s">
        <v>674</v>
      </c>
      <c r="AN82" t="s">
        <v>137</v>
      </c>
      <c r="AO82" t="s">
        <v>674</v>
      </c>
      <c r="AP82" t="s">
        <v>674</v>
      </c>
      <c r="AQ82" t="s">
        <v>674</v>
      </c>
      <c r="AR82" t="s">
        <v>674</v>
      </c>
      <c r="AS82" t="s">
        <v>674</v>
      </c>
      <c r="AT82" t="s">
        <v>674</v>
      </c>
      <c r="AU82" t="s">
        <v>674</v>
      </c>
      <c r="AV82" t="s">
        <v>674</v>
      </c>
      <c r="AW82" t="s">
        <v>674</v>
      </c>
      <c r="AX82" t="s">
        <v>674</v>
      </c>
      <c r="AY82" t="s">
        <v>674</v>
      </c>
      <c r="AZ82" t="s">
        <v>674</v>
      </c>
      <c r="BA82" t="s">
        <v>674</v>
      </c>
      <c r="BB82" t="s">
        <v>674</v>
      </c>
      <c r="BC82" t="s">
        <v>674</v>
      </c>
      <c r="BD82" t="s">
        <v>674</v>
      </c>
      <c r="BE82" t="s">
        <v>674</v>
      </c>
      <c r="BF82" t="s">
        <v>674</v>
      </c>
      <c r="BG82" t="s">
        <v>674</v>
      </c>
      <c r="BH82" t="s">
        <v>674</v>
      </c>
      <c r="BI82" t="s">
        <v>674</v>
      </c>
      <c r="BJ82" t="s">
        <v>674</v>
      </c>
      <c r="BK82" t="s">
        <v>674</v>
      </c>
      <c r="BL82" t="s">
        <v>674</v>
      </c>
      <c r="BM82" t="s">
        <v>674</v>
      </c>
      <c r="BN82" t="s">
        <v>674</v>
      </c>
      <c r="BO82" t="s">
        <v>674</v>
      </c>
      <c r="BP82" t="s">
        <v>674</v>
      </c>
      <c r="BQ82" t="s">
        <v>674</v>
      </c>
      <c r="BR82" t="s">
        <v>674</v>
      </c>
      <c r="BS82" t="s">
        <v>674</v>
      </c>
      <c r="BT82" t="s">
        <v>129</v>
      </c>
      <c r="BU82" t="s">
        <v>674</v>
      </c>
      <c r="BV82" t="s">
        <v>674</v>
      </c>
      <c r="BW82" t="s">
        <v>674</v>
      </c>
      <c r="BX82" t="s">
        <v>674</v>
      </c>
      <c r="BY82" t="s">
        <v>674</v>
      </c>
      <c r="BZ82" t="s">
        <v>674</v>
      </c>
      <c r="CA82" t="s">
        <v>674</v>
      </c>
      <c r="CB82" t="s">
        <v>674</v>
      </c>
      <c r="CC82" t="s">
        <v>674</v>
      </c>
      <c r="CD82" t="s">
        <v>674</v>
      </c>
      <c r="CE82" t="s">
        <v>674</v>
      </c>
      <c r="CF82" t="s">
        <v>674</v>
      </c>
      <c r="CG82" t="s">
        <v>674</v>
      </c>
      <c r="CH82" t="s">
        <v>674</v>
      </c>
      <c r="CI82" t="s">
        <v>674</v>
      </c>
    </row>
    <row r="83" spans="1:87" x14ac:dyDescent="0.25">
      <c r="A83" t="s">
        <v>112</v>
      </c>
      <c r="B83" t="s">
        <v>88</v>
      </c>
      <c r="C83">
        <v>2021</v>
      </c>
      <c r="D83" t="s">
        <v>113</v>
      </c>
      <c r="E83" t="s">
        <v>114</v>
      </c>
      <c r="F83" t="s">
        <v>115</v>
      </c>
      <c r="G83" t="s">
        <v>674</v>
      </c>
      <c r="H83" t="s">
        <v>116</v>
      </c>
      <c r="I83" t="s">
        <v>117</v>
      </c>
      <c r="J83" t="s">
        <v>118</v>
      </c>
      <c r="K83" t="s">
        <v>674</v>
      </c>
      <c r="L83" t="s">
        <v>119</v>
      </c>
      <c r="M83" s="1">
        <v>46257.90152777778</v>
      </c>
      <c r="N83" s="1">
        <v>46257.929930555554</v>
      </c>
      <c r="O83" s="1">
        <v>46257.90152777778</v>
      </c>
      <c r="P83" t="s">
        <v>120</v>
      </c>
      <c r="Q83" t="s">
        <v>674</v>
      </c>
      <c r="R83">
        <v>1</v>
      </c>
      <c r="S83">
        <v>68</v>
      </c>
      <c r="T83" t="s">
        <v>674</v>
      </c>
      <c r="U83" t="s">
        <v>121</v>
      </c>
      <c r="V83" t="s">
        <v>674</v>
      </c>
      <c r="W83" t="s">
        <v>674</v>
      </c>
      <c r="X83" t="s">
        <v>674</v>
      </c>
      <c r="Y83" t="s">
        <v>674</v>
      </c>
      <c r="Z83" t="s">
        <v>674</v>
      </c>
      <c r="AA83" t="s">
        <v>674</v>
      </c>
      <c r="AB83" t="s">
        <v>674</v>
      </c>
      <c r="AC83" t="s">
        <v>674</v>
      </c>
      <c r="AD83" t="s">
        <v>122</v>
      </c>
      <c r="AE83" t="s">
        <v>674</v>
      </c>
      <c r="AF83" t="s">
        <v>674</v>
      </c>
      <c r="AG83" t="s">
        <v>674</v>
      </c>
      <c r="AH83" t="s">
        <v>99</v>
      </c>
      <c r="AJ83" t="s">
        <v>674</v>
      </c>
      <c r="AK83" t="s">
        <v>674</v>
      </c>
      <c r="AL83" t="s">
        <v>123</v>
      </c>
      <c r="AM83" t="s">
        <v>674</v>
      </c>
      <c r="AN83" t="s">
        <v>124</v>
      </c>
      <c r="AO83" t="s">
        <v>674</v>
      </c>
      <c r="AP83" t="s">
        <v>674</v>
      </c>
      <c r="AQ83" t="s">
        <v>674</v>
      </c>
      <c r="AR83" t="s">
        <v>674</v>
      </c>
      <c r="AS83" t="s">
        <v>674</v>
      </c>
      <c r="AT83" t="s">
        <v>674</v>
      </c>
      <c r="AU83" t="s">
        <v>674</v>
      </c>
      <c r="AV83" t="s">
        <v>674</v>
      </c>
      <c r="AW83" t="s">
        <v>674</v>
      </c>
      <c r="AX83" t="s">
        <v>674</v>
      </c>
      <c r="AY83" t="s">
        <v>674</v>
      </c>
      <c r="AZ83" t="s">
        <v>674</v>
      </c>
      <c r="BA83" t="s">
        <v>674</v>
      </c>
      <c r="BB83" t="s">
        <v>674</v>
      </c>
      <c r="BC83" t="s">
        <v>674</v>
      </c>
      <c r="BD83" t="s">
        <v>674</v>
      </c>
      <c r="BE83" t="s">
        <v>674</v>
      </c>
      <c r="BF83" t="s">
        <v>674</v>
      </c>
      <c r="BG83" t="s">
        <v>674</v>
      </c>
      <c r="BH83" t="s">
        <v>674</v>
      </c>
      <c r="BI83" t="s">
        <v>674</v>
      </c>
      <c r="BJ83" t="s">
        <v>674</v>
      </c>
      <c r="BK83" t="s">
        <v>674</v>
      </c>
      <c r="BL83" t="s">
        <v>674</v>
      </c>
      <c r="BM83" t="s">
        <v>674</v>
      </c>
      <c r="BN83" t="s">
        <v>674</v>
      </c>
      <c r="BO83" t="s">
        <v>674</v>
      </c>
      <c r="BP83" t="s">
        <v>674</v>
      </c>
      <c r="BQ83" t="s">
        <v>674</v>
      </c>
      <c r="BR83" t="s">
        <v>674</v>
      </c>
      <c r="BS83" t="s">
        <v>674</v>
      </c>
      <c r="BT83" t="s">
        <v>674</v>
      </c>
      <c r="BU83" t="s">
        <v>674</v>
      </c>
      <c r="BV83" t="s">
        <v>674</v>
      </c>
      <c r="BW83" t="s">
        <v>674</v>
      </c>
      <c r="BX83" t="s">
        <v>674</v>
      </c>
      <c r="BY83" t="s">
        <v>674</v>
      </c>
      <c r="BZ83" t="s">
        <v>674</v>
      </c>
      <c r="CA83" t="s">
        <v>674</v>
      </c>
      <c r="CB83" t="s">
        <v>674</v>
      </c>
      <c r="CC83" t="s">
        <v>674</v>
      </c>
      <c r="CD83" t="s">
        <v>674</v>
      </c>
      <c r="CE83" t="s">
        <v>674</v>
      </c>
      <c r="CF83" t="s">
        <v>674</v>
      </c>
      <c r="CG83" t="s">
        <v>674</v>
      </c>
      <c r="CH83" t="s">
        <v>674</v>
      </c>
      <c r="CI83" t="s">
        <v>674</v>
      </c>
    </row>
    <row r="84" spans="1:87" x14ac:dyDescent="0.25">
      <c r="A84" t="s">
        <v>102</v>
      </c>
      <c r="B84" t="s">
        <v>103</v>
      </c>
      <c r="C84">
        <v>2014</v>
      </c>
      <c r="D84" t="s">
        <v>104</v>
      </c>
      <c r="E84" t="s">
        <v>105</v>
      </c>
      <c r="F84" t="s">
        <v>674</v>
      </c>
      <c r="G84" t="s">
        <v>674</v>
      </c>
      <c r="H84" t="s">
        <v>674</v>
      </c>
      <c r="I84" t="s">
        <v>106</v>
      </c>
      <c r="J84" t="s">
        <v>107</v>
      </c>
      <c r="K84" t="s">
        <v>674</v>
      </c>
      <c r="L84" t="s">
        <v>675</v>
      </c>
      <c r="M84" s="1">
        <v>46257.901469907411</v>
      </c>
      <c r="N84" s="1">
        <v>46257.921446759261</v>
      </c>
      <c r="O84" s="1">
        <v>46257.901469907411</v>
      </c>
      <c r="P84" t="s">
        <v>674</v>
      </c>
      <c r="Q84" t="s">
        <v>674</v>
      </c>
      <c r="T84" t="s">
        <v>674</v>
      </c>
      <c r="U84" t="s">
        <v>674</v>
      </c>
      <c r="V84" t="s">
        <v>674</v>
      </c>
      <c r="W84" t="s">
        <v>674</v>
      </c>
      <c r="X84" t="s">
        <v>674</v>
      </c>
      <c r="Y84" t="s">
        <v>674</v>
      </c>
      <c r="Z84" t="s">
        <v>674</v>
      </c>
      <c r="AA84" t="s">
        <v>108</v>
      </c>
      <c r="AB84" t="s">
        <v>674</v>
      </c>
      <c r="AC84" t="s">
        <v>674</v>
      </c>
      <c r="AD84" t="s">
        <v>674</v>
      </c>
      <c r="AE84" t="s">
        <v>109</v>
      </c>
      <c r="AF84" t="s">
        <v>674</v>
      </c>
      <c r="AG84" t="s">
        <v>674</v>
      </c>
      <c r="AH84" t="s">
        <v>99</v>
      </c>
      <c r="AJ84" t="s">
        <v>674</v>
      </c>
      <c r="AK84" t="s">
        <v>674</v>
      </c>
      <c r="AL84" t="s">
        <v>110</v>
      </c>
      <c r="AM84" t="s">
        <v>674</v>
      </c>
      <c r="AN84" t="s">
        <v>111</v>
      </c>
      <c r="AO84" t="s">
        <v>674</v>
      </c>
      <c r="AP84" t="s">
        <v>674</v>
      </c>
      <c r="AQ84" t="s">
        <v>674</v>
      </c>
      <c r="AR84" t="s">
        <v>674</v>
      </c>
      <c r="AS84" t="s">
        <v>674</v>
      </c>
      <c r="AT84" t="s">
        <v>674</v>
      </c>
      <c r="AU84" t="s">
        <v>674</v>
      </c>
      <c r="AV84" t="s">
        <v>674</v>
      </c>
      <c r="AW84" t="s">
        <v>674</v>
      </c>
      <c r="AX84" t="s">
        <v>674</v>
      </c>
      <c r="AY84" t="s">
        <v>674</v>
      </c>
      <c r="AZ84" t="s">
        <v>674</v>
      </c>
      <c r="BA84" t="s">
        <v>674</v>
      </c>
      <c r="BB84" t="s">
        <v>674</v>
      </c>
      <c r="BC84" t="s">
        <v>674</v>
      </c>
      <c r="BD84" t="s">
        <v>674</v>
      </c>
      <c r="BE84" t="s">
        <v>674</v>
      </c>
      <c r="BF84" t="s">
        <v>674</v>
      </c>
      <c r="BG84" t="s">
        <v>674</v>
      </c>
      <c r="BH84" t="s">
        <v>674</v>
      </c>
      <c r="BI84" t="s">
        <v>674</v>
      </c>
      <c r="BJ84" t="s">
        <v>674</v>
      </c>
      <c r="BK84" t="s">
        <v>674</v>
      </c>
      <c r="BL84" t="s">
        <v>674</v>
      </c>
      <c r="BM84" t="s">
        <v>674</v>
      </c>
      <c r="BN84" t="s">
        <v>674</v>
      </c>
      <c r="BO84" t="s">
        <v>674</v>
      </c>
      <c r="BP84" t="s">
        <v>674</v>
      </c>
      <c r="BQ84" t="s">
        <v>674</v>
      </c>
      <c r="BR84" t="s">
        <v>674</v>
      </c>
      <c r="BS84" t="s">
        <v>674</v>
      </c>
      <c r="BT84" t="s">
        <v>674</v>
      </c>
      <c r="BU84" t="s">
        <v>674</v>
      </c>
      <c r="BV84" t="s">
        <v>674</v>
      </c>
      <c r="BW84" t="s">
        <v>674</v>
      </c>
      <c r="BX84" t="s">
        <v>674</v>
      </c>
      <c r="BY84" t="s">
        <v>674</v>
      </c>
      <c r="BZ84" t="s">
        <v>674</v>
      </c>
      <c r="CA84" t="s">
        <v>674</v>
      </c>
      <c r="CB84" t="s">
        <v>674</v>
      </c>
      <c r="CC84" t="s">
        <v>674</v>
      </c>
      <c r="CD84" t="s">
        <v>674</v>
      </c>
      <c r="CE84" t="s">
        <v>674</v>
      </c>
      <c r="CF84" t="s">
        <v>674</v>
      </c>
      <c r="CG84" t="s">
        <v>674</v>
      </c>
      <c r="CH84" t="s">
        <v>674</v>
      </c>
      <c r="CI84" t="s">
        <v>674</v>
      </c>
    </row>
    <row r="85" spans="1:87" x14ac:dyDescent="0.25">
      <c r="A85" t="s">
        <v>87</v>
      </c>
      <c r="B85" t="s">
        <v>88</v>
      </c>
      <c r="C85">
        <v>1994</v>
      </c>
      <c r="D85" t="s">
        <v>89</v>
      </c>
      <c r="E85" t="s">
        <v>90</v>
      </c>
      <c r="F85" t="s">
        <v>91</v>
      </c>
      <c r="G85" t="s">
        <v>674</v>
      </c>
      <c r="H85" t="s">
        <v>92</v>
      </c>
      <c r="I85" t="s">
        <v>93</v>
      </c>
      <c r="J85" t="s">
        <v>94</v>
      </c>
      <c r="K85" t="s">
        <v>674</v>
      </c>
      <c r="L85" t="s">
        <v>95</v>
      </c>
      <c r="M85" s="1">
        <v>46257.901307870372</v>
      </c>
      <c r="N85" s="1">
        <v>46257.932939814818</v>
      </c>
      <c r="O85" s="1">
        <v>46257.901307870372</v>
      </c>
      <c r="P85" t="s">
        <v>96</v>
      </c>
      <c r="Q85" t="s">
        <v>674</v>
      </c>
      <c r="R85">
        <v>5</v>
      </c>
      <c r="S85">
        <v>23</v>
      </c>
      <c r="T85" t="s">
        <v>674</v>
      </c>
      <c r="U85" t="s">
        <v>91</v>
      </c>
      <c r="V85" t="s">
        <v>674</v>
      </c>
      <c r="W85" t="s">
        <v>674</v>
      </c>
      <c r="X85" t="s">
        <v>674</v>
      </c>
      <c r="Y85" t="s">
        <v>674</v>
      </c>
      <c r="Z85" t="s">
        <v>674</v>
      </c>
      <c r="AA85" t="s">
        <v>674</v>
      </c>
      <c r="AB85" t="s">
        <v>674</v>
      </c>
      <c r="AC85" t="s">
        <v>97</v>
      </c>
      <c r="AD85" t="s">
        <v>98</v>
      </c>
      <c r="AE85" t="s">
        <v>674</v>
      </c>
      <c r="AF85" t="s">
        <v>674</v>
      </c>
      <c r="AG85" t="s">
        <v>674</v>
      </c>
      <c r="AH85" t="s">
        <v>99</v>
      </c>
      <c r="AJ85" t="s">
        <v>674</v>
      </c>
      <c r="AK85" t="s">
        <v>674</v>
      </c>
      <c r="AL85" t="s">
        <v>100</v>
      </c>
      <c r="AM85" t="s">
        <v>674</v>
      </c>
      <c r="AN85" t="s">
        <v>101</v>
      </c>
      <c r="AO85" t="s">
        <v>674</v>
      </c>
      <c r="AP85" t="s">
        <v>674</v>
      </c>
      <c r="AQ85" t="s">
        <v>674</v>
      </c>
      <c r="AR85" t="s">
        <v>674</v>
      </c>
      <c r="AS85" t="s">
        <v>674</v>
      </c>
      <c r="AT85" t="s">
        <v>674</v>
      </c>
      <c r="AU85" t="s">
        <v>674</v>
      </c>
      <c r="AV85" t="s">
        <v>674</v>
      </c>
      <c r="AW85" t="s">
        <v>674</v>
      </c>
      <c r="AX85" t="s">
        <v>674</v>
      </c>
      <c r="AY85" t="s">
        <v>674</v>
      </c>
      <c r="AZ85" t="s">
        <v>674</v>
      </c>
      <c r="BA85" t="s">
        <v>674</v>
      </c>
      <c r="BB85" t="s">
        <v>674</v>
      </c>
      <c r="BC85" t="s">
        <v>674</v>
      </c>
      <c r="BD85" t="s">
        <v>674</v>
      </c>
      <c r="BE85" t="s">
        <v>674</v>
      </c>
      <c r="BF85" t="s">
        <v>674</v>
      </c>
      <c r="BG85" t="s">
        <v>674</v>
      </c>
      <c r="BH85" t="s">
        <v>674</v>
      </c>
      <c r="BI85" t="s">
        <v>674</v>
      </c>
      <c r="BJ85" t="s">
        <v>674</v>
      </c>
      <c r="BK85" t="s">
        <v>674</v>
      </c>
      <c r="BL85" t="s">
        <v>674</v>
      </c>
      <c r="BM85" t="s">
        <v>674</v>
      </c>
      <c r="BN85" t="s">
        <v>674</v>
      </c>
      <c r="BO85" t="s">
        <v>674</v>
      </c>
      <c r="BP85" t="s">
        <v>674</v>
      </c>
      <c r="BQ85" t="s">
        <v>674</v>
      </c>
      <c r="BR85" t="s">
        <v>674</v>
      </c>
      <c r="BS85" t="s">
        <v>674</v>
      </c>
      <c r="BT85" t="s">
        <v>674</v>
      </c>
      <c r="BU85" t="s">
        <v>674</v>
      </c>
      <c r="BV85" t="s">
        <v>674</v>
      </c>
      <c r="BW85" t="s">
        <v>674</v>
      </c>
      <c r="BX85" t="s">
        <v>674</v>
      </c>
      <c r="BY85" t="s">
        <v>674</v>
      </c>
      <c r="BZ85" t="s">
        <v>674</v>
      </c>
      <c r="CA85" t="s">
        <v>674</v>
      </c>
      <c r="CB85" t="s">
        <v>674</v>
      </c>
      <c r="CC85" t="s">
        <v>674</v>
      </c>
      <c r="CD85" t="s">
        <v>674</v>
      </c>
      <c r="CE85" t="s">
        <v>674</v>
      </c>
      <c r="CF85" t="s">
        <v>674</v>
      </c>
      <c r="CG85" t="s">
        <v>674</v>
      </c>
      <c r="CH85" t="s">
        <v>674</v>
      </c>
      <c r="CI85" t="s">
        <v>674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E005D-341E-4E77-932B-488799F50FEE}">
  <dimension ref="A1:CI75"/>
  <sheetViews>
    <sheetView workbookViewId="0">
      <selection activeCell="A2" sqref="A2:XFD4"/>
    </sheetView>
  </sheetViews>
  <sheetFormatPr baseColWidth="10" defaultRowHeight="15" x14ac:dyDescent="0.25"/>
  <cols>
    <col min="1" max="1" width="11" bestFit="1" customWidth="1"/>
    <col min="2" max="2" width="15.85546875" bestFit="1" customWidth="1"/>
    <col min="3" max="3" width="17.85546875" bestFit="1" customWidth="1"/>
    <col min="4" max="6" width="81.140625" bestFit="1" customWidth="1"/>
    <col min="7" max="7" width="33.7109375" bestFit="1" customWidth="1"/>
    <col min="8" max="8" width="29.5703125" bestFit="1" customWidth="1"/>
    <col min="9" max="9" width="47.28515625" bestFit="1" customWidth="1"/>
    <col min="10" max="10" width="66.85546875" bestFit="1" customWidth="1"/>
    <col min="11" max="11" width="81.140625" bestFit="1" customWidth="1"/>
    <col min="12" max="12" width="10.42578125" bestFit="1" customWidth="1"/>
    <col min="13" max="13" width="15.42578125" bestFit="1" customWidth="1"/>
    <col min="14" max="14" width="16" bestFit="1" customWidth="1"/>
    <col min="15" max="15" width="15.42578125" bestFit="1" customWidth="1"/>
    <col min="16" max="16" width="11.7109375" bestFit="1" customWidth="1"/>
    <col min="17" max="17" width="13.28515625" bestFit="1" customWidth="1"/>
    <col min="18" max="18" width="8.140625" bestFit="1" customWidth="1"/>
    <col min="19" max="19" width="10.140625" bestFit="1" customWidth="1"/>
    <col min="20" max="20" width="21.5703125" bestFit="1" customWidth="1"/>
    <col min="21" max="21" width="37.140625" bestFit="1" customWidth="1"/>
    <col min="22" max="22" width="70.7109375" bestFit="1" customWidth="1"/>
    <col min="23" max="23" width="35.42578125" bestFit="1" customWidth="1"/>
    <col min="24" max="24" width="16.7109375" bestFit="1" customWidth="1"/>
    <col min="25" max="25" width="13.28515625" bestFit="1" customWidth="1"/>
    <col min="26" max="26" width="13.42578125" bestFit="1" customWidth="1"/>
    <col min="27" max="27" width="39.140625" bestFit="1" customWidth="1"/>
    <col min="28" max="28" width="26.7109375" bestFit="1" customWidth="1"/>
    <col min="29" max="29" width="11.7109375" bestFit="1" customWidth="1"/>
    <col min="30" max="30" width="73.5703125" bestFit="1" customWidth="1"/>
    <col min="31" max="31" width="18.85546875" bestFit="1" customWidth="1"/>
    <col min="32" max="32" width="10" bestFit="1" customWidth="1"/>
    <col min="33" max="33" width="18.140625" bestFit="1" customWidth="1"/>
    <col min="34" max="34" width="17" bestFit="1" customWidth="1"/>
    <col min="35" max="35" width="14.5703125" bestFit="1" customWidth="1"/>
    <col min="36" max="36" width="24.85546875" bestFit="1" customWidth="1"/>
    <col min="37" max="37" width="8.7109375" bestFit="1" customWidth="1"/>
    <col min="38" max="38" width="81.140625" bestFit="1" customWidth="1"/>
    <col min="39" max="39" width="19" bestFit="1" customWidth="1"/>
    <col min="40" max="40" width="79.42578125" bestFit="1" customWidth="1"/>
    <col min="41" max="41" width="81.140625" bestFit="1" customWidth="1"/>
    <col min="42" max="42" width="14.28515625" bestFit="1" customWidth="1"/>
    <col min="43" max="43" width="14.85546875" bestFit="1" customWidth="1"/>
    <col min="44" max="44" width="12.28515625" bestFit="1" customWidth="1"/>
    <col min="45" max="45" width="13.85546875" bestFit="1" customWidth="1"/>
    <col min="46" max="46" width="16.5703125" bestFit="1" customWidth="1"/>
    <col min="47" max="47" width="14.140625" bestFit="1" customWidth="1"/>
    <col min="48" max="48" width="15.28515625" bestFit="1" customWidth="1"/>
    <col min="49" max="49" width="14.140625" bestFit="1" customWidth="1"/>
    <col min="50" max="50" width="12.7109375" bestFit="1" customWidth="1"/>
    <col min="51" max="51" width="13.140625" bestFit="1" customWidth="1"/>
    <col min="52" max="52" width="10.85546875" bestFit="1" customWidth="1"/>
    <col min="53" max="53" width="13.5703125" bestFit="1" customWidth="1"/>
    <col min="55" max="55" width="12" bestFit="1" customWidth="1"/>
    <col min="56" max="56" width="18.7109375" bestFit="1" customWidth="1"/>
    <col min="57" max="57" width="13.85546875" bestFit="1" customWidth="1"/>
    <col min="58" max="58" width="11.7109375" bestFit="1" customWidth="1"/>
    <col min="59" max="59" width="8.7109375" bestFit="1" customWidth="1"/>
    <col min="60" max="60" width="10.5703125" bestFit="1" customWidth="1"/>
    <col min="61" max="61" width="9.7109375" bestFit="1" customWidth="1"/>
    <col min="62" max="62" width="15.5703125" bestFit="1" customWidth="1"/>
    <col min="63" max="63" width="8.140625" bestFit="1" customWidth="1"/>
    <col min="64" max="64" width="10.5703125" bestFit="1" customWidth="1"/>
    <col min="65" max="65" width="14.28515625" bestFit="1" customWidth="1"/>
    <col min="66" max="66" width="12.85546875" bestFit="1" customWidth="1"/>
    <col min="67" max="67" width="21.28515625" bestFit="1" customWidth="1"/>
    <col min="69" max="69" width="18.5703125" bestFit="1" customWidth="1"/>
    <col min="70" max="70" width="10.5703125" bestFit="1" customWidth="1"/>
    <col min="71" max="71" width="16.28515625" bestFit="1" customWidth="1"/>
    <col min="72" max="72" width="81.140625" bestFit="1" customWidth="1"/>
    <col min="73" max="73" width="8.42578125" bestFit="1" customWidth="1"/>
    <col min="74" max="74" width="13.7109375" bestFit="1" customWidth="1"/>
    <col min="75" max="75" width="11.28515625" bestFit="1" customWidth="1"/>
    <col min="76" max="76" width="14.140625" bestFit="1" customWidth="1"/>
    <col min="77" max="77" width="18.7109375" bestFit="1" customWidth="1"/>
    <col min="78" max="78" width="24.28515625" bestFit="1" customWidth="1"/>
    <col min="79" max="79" width="10.140625" bestFit="1" customWidth="1"/>
    <col min="80" max="80" width="10" bestFit="1" customWidth="1"/>
    <col min="81" max="81" width="8.140625" bestFit="1" customWidth="1"/>
    <col min="82" max="82" width="15.85546875" bestFit="1" customWidth="1"/>
    <col min="83" max="83" width="10.140625" bestFit="1" customWidth="1"/>
    <col min="84" max="84" width="10.42578125" bestFit="1" customWidth="1"/>
    <col min="85" max="85" width="13.5703125" bestFit="1" customWidth="1"/>
    <col min="86" max="86" width="9.85546875" bestFit="1" customWidth="1"/>
    <col min="87" max="87" width="17.85546875" bestFit="1" customWidth="1"/>
  </cols>
  <sheetData>
    <row r="1" spans="1:8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row>
    <row r="2" spans="1:87" x14ac:dyDescent="0.25">
      <c r="A2" t="s">
        <v>1094</v>
      </c>
      <c r="B2" t="s">
        <v>88</v>
      </c>
      <c r="C2">
        <v>2022</v>
      </c>
      <c r="D2" t="s">
        <v>1095</v>
      </c>
      <c r="E2" t="s">
        <v>1096</v>
      </c>
      <c r="F2" t="s">
        <v>499</v>
      </c>
      <c r="G2" t="s">
        <v>674</v>
      </c>
      <c r="H2" t="s">
        <v>500</v>
      </c>
      <c r="I2" t="s">
        <v>1097</v>
      </c>
      <c r="J2" t="s">
        <v>1098</v>
      </c>
      <c r="K2" t="s">
        <v>1099</v>
      </c>
      <c r="L2" t="s">
        <v>1100</v>
      </c>
      <c r="M2" s="1">
        <v>46285.713148148148</v>
      </c>
      <c r="N2" s="1">
        <v>46285.713171296295</v>
      </c>
      <c r="O2" s="1">
        <v>46285.713148148148</v>
      </c>
      <c r="P2" t="s">
        <v>1101</v>
      </c>
      <c r="Q2" t="s">
        <v>674</v>
      </c>
      <c r="R2">
        <v>11</v>
      </c>
      <c r="S2">
        <v>37</v>
      </c>
      <c r="T2" t="s">
        <v>674</v>
      </c>
      <c r="U2" t="s">
        <v>505</v>
      </c>
      <c r="V2" t="s">
        <v>674</v>
      </c>
      <c r="W2" t="s">
        <v>674</v>
      </c>
      <c r="X2" t="s">
        <v>674</v>
      </c>
      <c r="Y2" t="s">
        <v>674</v>
      </c>
      <c r="Z2" t="s">
        <v>674</v>
      </c>
      <c r="AA2" t="s">
        <v>674</v>
      </c>
      <c r="AB2" t="s">
        <v>674</v>
      </c>
      <c r="AC2" t="s">
        <v>97</v>
      </c>
      <c r="AD2" t="s">
        <v>122</v>
      </c>
      <c r="AE2" t="s">
        <v>674</v>
      </c>
      <c r="AF2" t="s">
        <v>674</v>
      </c>
      <c r="AG2" t="s">
        <v>674</v>
      </c>
      <c r="AH2" t="s">
        <v>99</v>
      </c>
      <c r="AJ2" t="s">
        <v>674</v>
      </c>
      <c r="AK2" t="s">
        <v>674</v>
      </c>
      <c r="AL2" t="s">
        <v>1102</v>
      </c>
      <c r="AM2" t="s">
        <v>674</v>
      </c>
      <c r="AN2" t="s">
        <v>674</v>
      </c>
      <c r="AO2" t="s">
        <v>712</v>
      </c>
      <c r="AP2" t="s">
        <v>674</v>
      </c>
      <c r="AQ2" t="s">
        <v>674</v>
      </c>
      <c r="AR2" t="s">
        <v>674</v>
      </c>
      <c r="AS2" t="s">
        <v>674</v>
      </c>
      <c r="AT2" t="s">
        <v>674</v>
      </c>
      <c r="AU2" t="s">
        <v>674</v>
      </c>
      <c r="AV2" t="s">
        <v>674</v>
      </c>
      <c r="AW2" t="s">
        <v>674</v>
      </c>
      <c r="AX2" t="s">
        <v>674</v>
      </c>
      <c r="AY2" t="s">
        <v>674</v>
      </c>
      <c r="AZ2" t="s">
        <v>674</v>
      </c>
      <c r="BA2" t="s">
        <v>674</v>
      </c>
      <c r="BB2" t="s">
        <v>674</v>
      </c>
      <c r="BC2" t="s">
        <v>674</v>
      </c>
      <c r="BD2" t="s">
        <v>674</v>
      </c>
      <c r="BE2" t="s">
        <v>674</v>
      </c>
      <c r="BF2" t="s">
        <v>674</v>
      </c>
      <c r="BG2" t="s">
        <v>674</v>
      </c>
      <c r="BH2" t="s">
        <v>674</v>
      </c>
      <c r="BI2" t="s">
        <v>674</v>
      </c>
      <c r="BJ2" t="s">
        <v>674</v>
      </c>
      <c r="BK2" t="s">
        <v>674</v>
      </c>
      <c r="BL2" t="s">
        <v>674</v>
      </c>
      <c r="BM2" t="s">
        <v>674</v>
      </c>
      <c r="BN2" t="s">
        <v>674</v>
      </c>
      <c r="BO2" t="s">
        <v>674</v>
      </c>
      <c r="BP2" t="s">
        <v>674</v>
      </c>
      <c r="BQ2" t="s">
        <v>674</v>
      </c>
      <c r="BR2" t="s">
        <v>674</v>
      </c>
      <c r="BS2" t="s">
        <v>674</v>
      </c>
      <c r="BT2" t="s">
        <v>674</v>
      </c>
      <c r="BU2" t="s">
        <v>674</v>
      </c>
      <c r="BV2" t="s">
        <v>674</v>
      </c>
      <c r="BW2" t="s">
        <v>674</v>
      </c>
      <c r="BX2" t="s">
        <v>674</v>
      </c>
      <c r="BY2" t="s">
        <v>674</v>
      </c>
      <c r="BZ2" t="s">
        <v>674</v>
      </c>
      <c r="CA2" t="s">
        <v>674</v>
      </c>
      <c r="CB2" t="s">
        <v>674</v>
      </c>
      <c r="CC2" t="s">
        <v>674</v>
      </c>
      <c r="CD2" t="s">
        <v>674</v>
      </c>
      <c r="CE2" t="s">
        <v>674</v>
      </c>
      <c r="CF2" t="s">
        <v>674</v>
      </c>
      <c r="CG2" t="s">
        <v>674</v>
      </c>
      <c r="CH2" t="s">
        <v>674</v>
      </c>
      <c r="CI2" t="s">
        <v>674</v>
      </c>
    </row>
    <row r="3" spans="1:87" x14ac:dyDescent="0.25">
      <c r="A3" t="s">
        <v>1092</v>
      </c>
      <c r="B3" t="s">
        <v>88</v>
      </c>
      <c r="C3">
        <v>2019</v>
      </c>
      <c r="D3" t="s">
        <v>979</v>
      </c>
      <c r="E3" t="s">
        <v>980</v>
      </c>
      <c r="F3" t="s">
        <v>479</v>
      </c>
      <c r="G3" t="s">
        <v>674</v>
      </c>
      <c r="H3" t="s">
        <v>480</v>
      </c>
      <c r="I3" t="s">
        <v>981</v>
      </c>
      <c r="J3" t="s">
        <v>982</v>
      </c>
      <c r="K3" t="s">
        <v>983</v>
      </c>
      <c r="L3" t="s">
        <v>984</v>
      </c>
      <c r="M3" s="1">
        <v>46284.999594907407</v>
      </c>
      <c r="N3" s="1">
        <v>46284.999618055554</v>
      </c>
      <c r="O3" s="1">
        <v>46284.999594907407</v>
      </c>
      <c r="P3" t="s">
        <v>985</v>
      </c>
      <c r="Q3" t="s">
        <v>674</v>
      </c>
      <c r="R3">
        <v>1</v>
      </c>
      <c r="S3">
        <v>10</v>
      </c>
      <c r="T3" t="s">
        <v>674</v>
      </c>
      <c r="U3" t="s">
        <v>479</v>
      </c>
      <c r="V3" t="s">
        <v>674</v>
      </c>
      <c r="W3" t="s">
        <v>674</v>
      </c>
      <c r="X3" t="s">
        <v>674</v>
      </c>
      <c r="Y3" t="s">
        <v>674</v>
      </c>
      <c r="Z3" t="s">
        <v>674</v>
      </c>
      <c r="AA3" t="s">
        <v>674</v>
      </c>
      <c r="AB3" t="s">
        <v>674</v>
      </c>
      <c r="AC3" t="s">
        <v>97</v>
      </c>
      <c r="AD3" t="s">
        <v>674</v>
      </c>
      <c r="AE3" t="s">
        <v>674</v>
      </c>
      <c r="AF3" t="s">
        <v>674</v>
      </c>
      <c r="AG3" t="s">
        <v>674</v>
      </c>
      <c r="AH3" t="s">
        <v>99</v>
      </c>
      <c r="AJ3" t="s">
        <v>674</v>
      </c>
      <c r="AK3" t="s">
        <v>674</v>
      </c>
      <c r="AL3" t="s">
        <v>1093</v>
      </c>
      <c r="AM3" t="s">
        <v>674</v>
      </c>
      <c r="AN3" t="s">
        <v>674</v>
      </c>
      <c r="AO3" t="s">
        <v>712</v>
      </c>
      <c r="AP3" t="s">
        <v>674</v>
      </c>
      <c r="AQ3" t="s">
        <v>674</v>
      </c>
      <c r="AR3" t="s">
        <v>674</v>
      </c>
      <c r="AS3" t="s">
        <v>674</v>
      </c>
      <c r="AT3" t="s">
        <v>674</v>
      </c>
      <c r="AU3" t="s">
        <v>674</v>
      </c>
      <c r="AV3" t="s">
        <v>674</v>
      </c>
      <c r="AW3" t="s">
        <v>674</v>
      </c>
      <c r="AX3" t="s">
        <v>674</v>
      </c>
      <c r="AY3" t="s">
        <v>674</v>
      </c>
      <c r="AZ3" t="s">
        <v>674</v>
      </c>
      <c r="BA3" t="s">
        <v>674</v>
      </c>
      <c r="BB3" t="s">
        <v>674</v>
      </c>
      <c r="BC3" t="s">
        <v>674</v>
      </c>
      <c r="BD3" t="s">
        <v>674</v>
      </c>
      <c r="BE3" t="s">
        <v>674</v>
      </c>
      <c r="BF3" t="s">
        <v>674</v>
      </c>
      <c r="BG3" t="s">
        <v>674</v>
      </c>
      <c r="BH3" t="s">
        <v>674</v>
      </c>
      <c r="BI3" t="s">
        <v>674</v>
      </c>
      <c r="BJ3" t="s">
        <v>674</v>
      </c>
      <c r="BK3" t="s">
        <v>674</v>
      </c>
      <c r="BL3" t="s">
        <v>674</v>
      </c>
      <c r="BM3" t="s">
        <v>674</v>
      </c>
      <c r="BN3" t="s">
        <v>674</v>
      </c>
      <c r="BO3" t="s">
        <v>674</v>
      </c>
      <c r="BP3" t="s">
        <v>674</v>
      </c>
      <c r="BQ3" t="s">
        <v>674</v>
      </c>
      <c r="BR3" t="s">
        <v>674</v>
      </c>
      <c r="BS3" t="s">
        <v>674</v>
      </c>
      <c r="BT3" t="s">
        <v>674</v>
      </c>
      <c r="BU3" t="s">
        <v>674</v>
      </c>
      <c r="BV3" t="s">
        <v>674</v>
      </c>
      <c r="BW3" t="s">
        <v>674</v>
      </c>
      <c r="BX3" t="s">
        <v>674</v>
      </c>
      <c r="BY3" t="s">
        <v>674</v>
      </c>
      <c r="BZ3" t="s">
        <v>674</v>
      </c>
      <c r="CA3" t="s">
        <v>674</v>
      </c>
      <c r="CB3" t="s">
        <v>674</v>
      </c>
      <c r="CC3" t="s">
        <v>674</v>
      </c>
      <c r="CD3" t="s">
        <v>674</v>
      </c>
      <c r="CE3" t="s">
        <v>674</v>
      </c>
      <c r="CF3" t="s">
        <v>674</v>
      </c>
      <c r="CG3" t="s">
        <v>674</v>
      </c>
      <c r="CH3" t="s">
        <v>674</v>
      </c>
      <c r="CI3" t="s">
        <v>674</v>
      </c>
    </row>
    <row r="4" spans="1:87" x14ac:dyDescent="0.25">
      <c r="A4" t="s">
        <v>1083</v>
      </c>
      <c r="B4" t="s">
        <v>88</v>
      </c>
      <c r="C4">
        <v>2017</v>
      </c>
      <c r="D4" t="s">
        <v>1084</v>
      </c>
      <c r="E4" t="s">
        <v>1085</v>
      </c>
      <c r="F4" t="s">
        <v>479</v>
      </c>
      <c r="G4" t="s">
        <v>674</v>
      </c>
      <c r="H4" t="s">
        <v>480</v>
      </c>
      <c r="I4" t="s">
        <v>1086</v>
      </c>
      <c r="J4" t="s">
        <v>1087</v>
      </c>
      <c r="K4" t="s">
        <v>1088</v>
      </c>
      <c r="L4" t="s">
        <v>1089</v>
      </c>
      <c r="M4" s="1">
        <v>46284.999502314815</v>
      </c>
      <c r="N4" s="1">
        <v>46284.999525462961</v>
      </c>
      <c r="O4" s="1">
        <v>46284.999502314815</v>
      </c>
      <c r="P4" t="s">
        <v>1090</v>
      </c>
      <c r="Q4" t="s">
        <v>674</v>
      </c>
      <c r="R4">
        <v>9</v>
      </c>
      <c r="S4">
        <v>7</v>
      </c>
      <c r="T4" t="s">
        <v>674</v>
      </c>
      <c r="U4" t="s">
        <v>479</v>
      </c>
      <c r="V4" t="s">
        <v>674</v>
      </c>
      <c r="W4" t="s">
        <v>674</v>
      </c>
      <c r="X4" t="s">
        <v>674</v>
      </c>
      <c r="Y4" t="s">
        <v>674</v>
      </c>
      <c r="Z4" t="s">
        <v>674</v>
      </c>
      <c r="AA4" t="s">
        <v>674</v>
      </c>
      <c r="AB4" t="s">
        <v>674</v>
      </c>
      <c r="AC4" t="s">
        <v>97</v>
      </c>
      <c r="AD4" t="s">
        <v>674</v>
      </c>
      <c r="AE4" t="s">
        <v>674</v>
      </c>
      <c r="AF4" t="s">
        <v>674</v>
      </c>
      <c r="AG4" t="s">
        <v>674</v>
      </c>
      <c r="AH4" t="s">
        <v>99</v>
      </c>
      <c r="AJ4" t="s">
        <v>674</v>
      </c>
      <c r="AK4" t="s">
        <v>674</v>
      </c>
      <c r="AL4" t="s">
        <v>1091</v>
      </c>
      <c r="AM4" t="s">
        <v>674</v>
      </c>
      <c r="AN4" t="s">
        <v>674</v>
      </c>
      <c r="AO4" t="s">
        <v>712</v>
      </c>
      <c r="AP4" t="s">
        <v>674</v>
      </c>
      <c r="AQ4" t="s">
        <v>674</v>
      </c>
      <c r="AR4" t="s">
        <v>674</v>
      </c>
      <c r="AS4" t="s">
        <v>674</v>
      </c>
      <c r="AT4" t="s">
        <v>674</v>
      </c>
      <c r="AU4" t="s">
        <v>674</v>
      </c>
      <c r="AV4" t="s">
        <v>674</v>
      </c>
      <c r="AW4" t="s">
        <v>674</v>
      </c>
      <c r="AX4" t="s">
        <v>674</v>
      </c>
      <c r="AY4" t="s">
        <v>674</v>
      </c>
      <c r="AZ4" t="s">
        <v>674</v>
      </c>
      <c r="BA4" t="s">
        <v>674</v>
      </c>
      <c r="BB4" t="s">
        <v>674</v>
      </c>
      <c r="BC4" t="s">
        <v>674</v>
      </c>
      <c r="BD4" t="s">
        <v>674</v>
      </c>
      <c r="BE4" t="s">
        <v>674</v>
      </c>
      <c r="BF4" t="s">
        <v>674</v>
      </c>
      <c r="BG4" t="s">
        <v>674</v>
      </c>
      <c r="BH4" t="s">
        <v>674</v>
      </c>
      <c r="BI4" t="s">
        <v>674</v>
      </c>
      <c r="BJ4" t="s">
        <v>674</v>
      </c>
      <c r="BK4" t="s">
        <v>674</v>
      </c>
      <c r="BL4" t="s">
        <v>674</v>
      </c>
      <c r="BM4" t="s">
        <v>674</v>
      </c>
      <c r="BN4" t="s">
        <v>674</v>
      </c>
      <c r="BO4" t="s">
        <v>674</v>
      </c>
      <c r="BP4" t="s">
        <v>674</v>
      </c>
      <c r="BQ4" t="s">
        <v>674</v>
      </c>
      <c r="BR4" t="s">
        <v>674</v>
      </c>
      <c r="BS4" t="s">
        <v>674</v>
      </c>
      <c r="BT4" t="s">
        <v>674</v>
      </c>
      <c r="BU4" t="s">
        <v>674</v>
      </c>
      <c r="BV4" t="s">
        <v>674</v>
      </c>
      <c r="BW4" t="s">
        <v>674</v>
      </c>
      <c r="BX4" t="s">
        <v>674</v>
      </c>
      <c r="BY4" t="s">
        <v>674</v>
      </c>
      <c r="BZ4" t="s">
        <v>674</v>
      </c>
      <c r="CA4" t="s">
        <v>674</v>
      </c>
      <c r="CB4" t="s">
        <v>674</v>
      </c>
      <c r="CC4" t="s">
        <v>674</v>
      </c>
      <c r="CD4" t="s">
        <v>674</v>
      </c>
      <c r="CE4" t="s">
        <v>674</v>
      </c>
      <c r="CF4" t="s">
        <v>674</v>
      </c>
      <c r="CG4" t="s">
        <v>674</v>
      </c>
      <c r="CH4" t="s">
        <v>674</v>
      </c>
      <c r="CI4" t="s">
        <v>674</v>
      </c>
    </row>
    <row r="5" spans="1:87" x14ac:dyDescent="0.25">
      <c r="A5" t="s">
        <v>770</v>
      </c>
      <c r="B5" t="s">
        <v>126</v>
      </c>
      <c r="C5">
        <v>2009</v>
      </c>
      <c r="D5" t="s">
        <v>771</v>
      </c>
      <c r="E5" t="s">
        <v>772</v>
      </c>
      <c r="F5" t="s">
        <v>773</v>
      </c>
      <c r="G5" t="s">
        <v>774</v>
      </c>
      <c r="H5" t="s">
        <v>674</v>
      </c>
      <c r="I5" t="s">
        <v>775</v>
      </c>
      <c r="J5" t="s">
        <v>776</v>
      </c>
      <c r="K5" t="s">
        <v>777</v>
      </c>
      <c r="L5" t="s">
        <v>778</v>
      </c>
      <c r="M5" s="1">
        <v>46274.899421296293</v>
      </c>
      <c r="N5" s="1">
        <v>46284.910011574073</v>
      </c>
      <c r="O5" s="1">
        <v>46274.899421296293</v>
      </c>
      <c r="P5" t="s">
        <v>677</v>
      </c>
      <c r="Q5" t="s">
        <v>674</v>
      </c>
      <c r="T5" t="s">
        <v>674</v>
      </c>
      <c r="U5" t="s">
        <v>674</v>
      </c>
      <c r="V5" t="s">
        <v>674</v>
      </c>
      <c r="W5" t="s">
        <v>674</v>
      </c>
      <c r="X5" t="s">
        <v>674</v>
      </c>
      <c r="Y5" t="s">
        <v>674</v>
      </c>
      <c r="Z5" t="s">
        <v>674</v>
      </c>
      <c r="AA5" t="s">
        <v>133</v>
      </c>
      <c r="AB5" t="s">
        <v>779</v>
      </c>
      <c r="AC5" t="s">
        <v>97</v>
      </c>
      <c r="AD5" t="s">
        <v>674</v>
      </c>
      <c r="AE5" t="s">
        <v>674</v>
      </c>
      <c r="AF5" t="s">
        <v>674</v>
      </c>
      <c r="AG5" t="s">
        <v>674</v>
      </c>
      <c r="AH5" t="s">
        <v>99</v>
      </c>
      <c r="AJ5" t="s">
        <v>674</v>
      </c>
      <c r="AK5" t="s">
        <v>674</v>
      </c>
      <c r="AL5" t="s">
        <v>780</v>
      </c>
      <c r="AM5" t="s">
        <v>674</v>
      </c>
      <c r="AN5" t="s">
        <v>674</v>
      </c>
      <c r="AO5" t="s">
        <v>674</v>
      </c>
      <c r="AP5" t="s">
        <v>674</v>
      </c>
      <c r="AQ5" t="s">
        <v>674</v>
      </c>
      <c r="AR5" t="s">
        <v>674</v>
      </c>
      <c r="AS5" t="s">
        <v>674</v>
      </c>
      <c r="AT5" t="s">
        <v>674</v>
      </c>
      <c r="AU5" t="s">
        <v>674</v>
      </c>
      <c r="AV5" t="s">
        <v>674</v>
      </c>
      <c r="AW5" t="s">
        <v>674</v>
      </c>
      <c r="AX5" t="s">
        <v>674</v>
      </c>
      <c r="AY5" t="s">
        <v>674</v>
      </c>
      <c r="AZ5" t="s">
        <v>674</v>
      </c>
      <c r="BA5" t="s">
        <v>674</v>
      </c>
      <c r="BB5" t="s">
        <v>674</v>
      </c>
      <c r="BC5" t="s">
        <v>674</v>
      </c>
      <c r="BD5" t="s">
        <v>674</v>
      </c>
      <c r="BE5" t="s">
        <v>674</v>
      </c>
      <c r="BF5" t="s">
        <v>674</v>
      </c>
      <c r="BG5" t="s">
        <v>674</v>
      </c>
      <c r="BH5" t="s">
        <v>674</v>
      </c>
      <c r="BI5" t="s">
        <v>674</v>
      </c>
      <c r="BJ5" t="s">
        <v>674</v>
      </c>
      <c r="BK5" t="s">
        <v>674</v>
      </c>
      <c r="BL5" t="s">
        <v>674</v>
      </c>
      <c r="BM5" t="s">
        <v>674</v>
      </c>
      <c r="BN5" t="s">
        <v>674</v>
      </c>
      <c r="BO5" t="s">
        <v>674</v>
      </c>
      <c r="BP5" t="s">
        <v>674</v>
      </c>
      <c r="BQ5" t="s">
        <v>674</v>
      </c>
      <c r="BR5" t="s">
        <v>674</v>
      </c>
      <c r="BS5" t="s">
        <v>674</v>
      </c>
      <c r="BT5" t="s">
        <v>781</v>
      </c>
      <c r="BU5" t="s">
        <v>674</v>
      </c>
      <c r="BV5" t="s">
        <v>674</v>
      </c>
      <c r="BW5" t="s">
        <v>674</v>
      </c>
      <c r="BX5" t="s">
        <v>674</v>
      </c>
      <c r="BY5" t="s">
        <v>674</v>
      </c>
      <c r="BZ5" t="s">
        <v>674</v>
      </c>
      <c r="CA5" t="s">
        <v>674</v>
      </c>
      <c r="CB5" t="s">
        <v>674</v>
      </c>
      <c r="CC5" t="s">
        <v>674</v>
      </c>
      <c r="CD5" t="s">
        <v>674</v>
      </c>
      <c r="CE5" t="s">
        <v>674</v>
      </c>
      <c r="CF5" t="s">
        <v>674</v>
      </c>
      <c r="CG5" t="s">
        <v>674</v>
      </c>
      <c r="CH5" t="s">
        <v>674</v>
      </c>
      <c r="CI5" t="s">
        <v>674</v>
      </c>
    </row>
    <row r="6" spans="1:87" x14ac:dyDescent="0.25">
      <c r="A6" t="s">
        <v>880</v>
      </c>
      <c r="B6" t="s">
        <v>88</v>
      </c>
      <c r="C6">
        <v>2026</v>
      </c>
      <c r="D6" t="s">
        <v>881</v>
      </c>
      <c r="E6" t="s">
        <v>882</v>
      </c>
      <c r="F6" t="s">
        <v>499</v>
      </c>
      <c r="G6" t="s">
        <v>674</v>
      </c>
      <c r="H6" t="s">
        <v>500</v>
      </c>
      <c r="I6" t="s">
        <v>883</v>
      </c>
      <c r="J6" t="s">
        <v>884</v>
      </c>
      <c r="K6" t="s">
        <v>885</v>
      </c>
      <c r="L6" t="s">
        <v>886</v>
      </c>
      <c r="M6" s="1">
        <v>46274.900416666664</v>
      </c>
      <c r="N6" s="1">
        <v>46284.854398148149</v>
      </c>
      <c r="O6" s="1">
        <v>46274.900416666664</v>
      </c>
      <c r="P6" t="s">
        <v>887</v>
      </c>
      <c r="Q6" t="s">
        <v>674</v>
      </c>
      <c r="R6">
        <v>4</v>
      </c>
      <c r="S6">
        <v>41</v>
      </c>
      <c r="T6" t="s">
        <v>674</v>
      </c>
      <c r="U6" t="s">
        <v>505</v>
      </c>
      <c r="V6" t="s">
        <v>674</v>
      </c>
      <c r="W6" t="s">
        <v>674</v>
      </c>
      <c r="X6" t="s">
        <v>674</v>
      </c>
      <c r="Y6" t="s">
        <v>674</v>
      </c>
      <c r="Z6" t="s">
        <v>674</v>
      </c>
      <c r="AA6" t="s">
        <v>674</v>
      </c>
      <c r="AB6" t="s">
        <v>674</v>
      </c>
      <c r="AC6" t="s">
        <v>97</v>
      </c>
      <c r="AD6" t="s">
        <v>122</v>
      </c>
      <c r="AE6" t="s">
        <v>674</v>
      </c>
      <c r="AF6" t="s">
        <v>674</v>
      </c>
      <c r="AG6" t="s">
        <v>674</v>
      </c>
      <c r="AH6" t="s">
        <v>99</v>
      </c>
      <c r="AJ6" t="s">
        <v>674</v>
      </c>
      <c r="AK6" t="s">
        <v>674</v>
      </c>
      <c r="AL6" t="s">
        <v>888</v>
      </c>
      <c r="AM6" t="s">
        <v>674</v>
      </c>
      <c r="AN6" t="s">
        <v>674</v>
      </c>
      <c r="AO6" t="s">
        <v>674</v>
      </c>
      <c r="AP6" t="s">
        <v>674</v>
      </c>
      <c r="AQ6" t="s">
        <v>674</v>
      </c>
      <c r="AR6" t="s">
        <v>674</v>
      </c>
      <c r="AS6" t="s">
        <v>674</v>
      </c>
      <c r="AT6" t="s">
        <v>674</v>
      </c>
      <c r="AU6" t="s">
        <v>674</v>
      </c>
      <c r="AV6" t="s">
        <v>674</v>
      </c>
      <c r="AW6" t="s">
        <v>674</v>
      </c>
      <c r="AX6" t="s">
        <v>674</v>
      </c>
      <c r="AY6" t="s">
        <v>674</v>
      </c>
      <c r="AZ6" t="s">
        <v>674</v>
      </c>
      <c r="BA6" t="s">
        <v>674</v>
      </c>
      <c r="BB6" t="s">
        <v>674</v>
      </c>
      <c r="BC6" t="s">
        <v>674</v>
      </c>
      <c r="BD6" t="s">
        <v>674</v>
      </c>
      <c r="BE6" t="s">
        <v>674</v>
      </c>
      <c r="BF6" t="s">
        <v>674</v>
      </c>
      <c r="BG6" t="s">
        <v>674</v>
      </c>
      <c r="BH6" t="s">
        <v>674</v>
      </c>
      <c r="BI6" t="s">
        <v>674</v>
      </c>
      <c r="BJ6" t="s">
        <v>674</v>
      </c>
      <c r="BK6" t="s">
        <v>674</v>
      </c>
      <c r="BL6" t="s">
        <v>674</v>
      </c>
      <c r="BM6" t="s">
        <v>674</v>
      </c>
      <c r="BN6" t="s">
        <v>674</v>
      </c>
      <c r="BO6" t="s">
        <v>674</v>
      </c>
      <c r="BP6" t="s">
        <v>674</v>
      </c>
      <c r="BQ6" t="s">
        <v>674</v>
      </c>
      <c r="BR6" t="s">
        <v>674</v>
      </c>
      <c r="BS6" t="s">
        <v>674</v>
      </c>
      <c r="BT6" t="s">
        <v>674</v>
      </c>
      <c r="BU6" t="s">
        <v>674</v>
      </c>
      <c r="BV6" t="s">
        <v>674</v>
      </c>
      <c r="BW6" t="s">
        <v>674</v>
      </c>
      <c r="BX6" t="s">
        <v>674</v>
      </c>
      <c r="BY6" t="s">
        <v>674</v>
      </c>
      <c r="BZ6" t="s">
        <v>674</v>
      </c>
      <c r="CA6" t="s">
        <v>674</v>
      </c>
      <c r="CB6" t="s">
        <v>674</v>
      </c>
      <c r="CC6" t="s">
        <v>674</v>
      </c>
      <c r="CD6" t="s">
        <v>674</v>
      </c>
      <c r="CE6" t="s">
        <v>674</v>
      </c>
      <c r="CF6" t="s">
        <v>674</v>
      </c>
      <c r="CG6" t="s">
        <v>674</v>
      </c>
      <c r="CH6" t="s">
        <v>674</v>
      </c>
      <c r="CI6" t="s">
        <v>674</v>
      </c>
    </row>
    <row r="7" spans="1:87" x14ac:dyDescent="0.25">
      <c r="A7" t="s">
        <v>1017</v>
      </c>
      <c r="B7" t="s">
        <v>88</v>
      </c>
      <c r="C7">
        <v>2025</v>
      </c>
      <c r="D7" t="s">
        <v>1018</v>
      </c>
      <c r="E7" t="s">
        <v>1019</v>
      </c>
      <c r="F7" t="s">
        <v>1020</v>
      </c>
      <c r="G7" t="s">
        <v>674</v>
      </c>
      <c r="H7" t="s">
        <v>1021</v>
      </c>
      <c r="I7" t="s">
        <v>1022</v>
      </c>
      <c r="J7" t="s">
        <v>1023</v>
      </c>
      <c r="K7" t="s">
        <v>1024</v>
      </c>
      <c r="L7" t="s">
        <v>1025</v>
      </c>
      <c r="M7" s="1">
        <v>46276.556319444448</v>
      </c>
      <c r="N7" s="1">
        <v>46284.853067129632</v>
      </c>
      <c r="O7" s="1">
        <v>46276.556319444448</v>
      </c>
      <c r="P7" t="s">
        <v>1026</v>
      </c>
      <c r="Q7" t="s">
        <v>674</v>
      </c>
      <c r="R7">
        <v>5</v>
      </c>
      <c r="S7">
        <v>25</v>
      </c>
      <c r="T7" t="s">
        <v>674</v>
      </c>
      <c r="U7" t="s">
        <v>1020</v>
      </c>
      <c r="V7" t="s">
        <v>674</v>
      </c>
      <c r="W7" t="s">
        <v>674</v>
      </c>
      <c r="X7" t="s">
        <v>674</v>
      </c>
      <c r="Y7" t="s">
        <v>674</v>
      </c>
      <c r="Z7" t="s">
        <v>674</v>
      </c>
      <c r="AA7" t="s">
        <v>674</v>
      </c>
      <c r="AB7" t="s">
        <v>674</v>
      </c>
      <c r="AC7" t="s">
        <v>97</v>
      </c>
      <c r="AD7" t="s">
        <v>674</v>
      </c>
      <c r="AE7" t="s">
        <v>674</v>
      </c>
      <c r="AF7" t="s">
        <v>674</v>
      </c>
      <c r="AG7" t="s">
        <v>674</v>
      </c>
      <c r="AH7" t="s">
        <v>99</v>
      </c>
      <c r="AJ7" t="s">
        <v>674</v>
      </c>
      <c r="AK7" t="s">
        <v>674</v>
      </c>
      <c r="AL7" t="s">
        <v>1027</v>
      </c>
      <c r="AM7" t="s">
        <v>674</v>
      </c>
      <c r="AN7" t="s">
        <v>674</v>
      </c>
      <c r="AO7" t="s">
        <v>674</v>
      </c>
      <c r="AP7" t="s">
        <v>674</v>
      </c>
      <c r="AQ7" t="s">
        <v>674</v>
      </c>
      <c r="AR7" t="s">
        <v>674</v>
      </c>
      <c r="AS7" t="s">
        <v>674</v>
      </c>
      <c r="AT7" t="s">
        <v>674</v>
      </c>
      <c r="AU7" t="s">
        <v>674</v>
      </c>
      <c r="AV7" t="s">
        <v>674</v>
      </c>
      <c r="AW7" t="s">
        <v>674</v>
      </c>
      <c r="AX7" t="s">
        <v>674</v>
      </c>
      <c r="AY7" t="s">
        <v>674</v>
      </c>
      <c r="AZ7" t="s">
        <v>674</v>
      </c>
      <c r="BA7" t="s">
        <v>674</v>
      </c>
      <c r="BB7" t="s">
        <v>674</v>
      </c>
      <c r="BC7" t="s">
        <v>674</v>
      </c>
      <c r="BD7" t="s">
        <v>674</v>
      </c>
      <c r="BE7" t="s">
        <v>674</v>
      </c>
      <c r="BF7" t="s">
        <v>674</v>
      </c>
      <c r="BG7" t="s">
        <v>674</v>
      </c>
      <c r="BH7" t="s">
        <v>674</v>
      </c>
      <c r="BI7" t="s">
        <v>674</v>
      </c>
      <c r="BJ7" t="s">
        <v>674</v>
      </c>
      <c r="BK7" t="s">
        <v>674</v>
      </c>
      <c r="BL7" t="s">
        <v>674</v>
      </c>
      <c r="BM7" t="s">
        <v>674</v>
      </c>
      <c r="BN7" t="s">
        <v>674</v>
      </c>
      <c r="BO7" t="s">
        <v>674</v>
      </c>
      <c r="BP7" t="s">
        <v>674</v>
      </c>
      <c r="BQ7" t="s">
        <v>674</v>
      </c>
      <c r="BR7" t="s">
        <v>674</v>
      </c>
      <c r="BS7" t="s">
        <v>674</v>
      </c>
      <c r="BT7" t="s">
        <v>674</v>
      </c>
      <c r="BU7" t="s">
        <v>674</v>
      </c>
      <c r="BV7" t="s">
        <v>674</v>
      </c>
      <c r="BW7" t="s">
        <v>674</v>
      </c>
      <c r="BX7" t="s">
        <v>674</v>
      </c>
      <c r="BY7" t="s">
        <v>674</v>
      </c>
      <c r="BZ7" t="s">
        <v>674</v>
      </c>
      <c r="CA7" t="s">
        <v>674</v>
      </c>
      <c r="CB7" t="s">
        <v>674</v>
      </c>
      <c r="CC7" t="s">
        <v>674</v>
      </c>
      <c r="CD7" t="s">
        <v>674</v>
      </c>
      <c r="CE7" t="s">
        <v>674</v>
      </c>
      <c r="CF7" t="s">
        <v>674</v>
      </c>
      <c r="CG7" t="s">
        <v>674</v>
      </c>
      <c r="CH7" t="s">
        <v>674</v>
      </c>
      <c r="CI7" t="s">
        <v>674</v>
      </c>
    </row>
    <row r="8" spans="1:87" x14ac:dyDescent="0.25">
      <c r="A8" t="s">
        <v>793</v>
      </c>
      <c r="B8" t="s">
        <v>88</v>
      </c>
      <c r="C8">
        <v>2020</v>
      </c>
      <c r="D8" t="s">
        <v>794</v>
      </c>
      <c r="E8" t="s">
        <v>795</v>
      </c>
      <c r="F8" t="s">
        <v>115</v>
      </c>
      <c r="G8" t="s">
        <v>674</v>
      </c>
      <c r="H8" t="s">
        <v>116</v>
      </c>
      <c r="I8" t="s">
        <v>796</v>
      </c>
      <c r="J8" t="s">
        <v>797</v>
      </c>
      <c r="K8" t="s">
        <v>798</v>
      </c>
      <c r="L8" t="s">
        <v>194</v>
      </c>
      <c r="M8" s="1">
        <v>46274.899768518517</v>
      </c>
      <c r="N8" s="1">
        <v>46284.749814814815</v>
      </c>
      <c r="O8" s="1">
        <v>46274.899768518517</v>
      </c>
      <c r="P8" t="s">
        <v>799</v>
      </c>
      <c r="Q8" t="s">
        <v>674</v>
      </c>
      <c r="R8">
        <v>7</v>
      </c>
      <c r="S8">
        <v>67</v>
      </c>
      <c r="T8" t="s">
        <v>674</v>
      </c>
      <c r="U8" t="s">
        <v>121</v>
      </c>
      <c r="V8" t="s">
        <v>674</v>
      </c>
      <c r="W8" t="s">
        <v>674</v>
      </c>
      <c r="X8" t="s">
        <v>674</v>
      </c>
      <c r="Y8" t="s">
        <v>674</v>
      </c>
      <c r="Z8" t="s">
        <v>674</v>
      </c>
      <c r="AA8" t="s">
        <v>674</v>
      </c>
      <c r="AB8" t="s">
        <v>674</v>
      </c>
      <c r="AC8" t="s">
        <v>97</v>
      </c>
      <c r="AD8" t="s">
        <v>122</v>
      </c>
      <c r="AE8" t="s">
        <v>674</v>
      </c>
      <c r="AF8" t="s">
        <v>674</v>
      </c>
      <c r="AG8" t="s">
        <v>674</v>
      </c>
      <c r="AH8" t="s">
        <v>99</v>
      </c>
      <c r="AJ8" t="s">
        <v>674</v>
      </c>
      <c r="AK8" t="s">
        <v>674</v>
      </c>
      <c r="AL8" t="s">
        <v>800</v>
      </c>
      <c r="AM8" t="s">
        <v>674</v>
      </c>
      <c r="AN8" t="s">
        <v>674</v>
      </c>
      <c r="AO8" t="s">
        <v>674</v>
      </c>
      <c r="AP8" t="s">
        <v>674</v>
      </c>
      <c r="AQ8" t="s">
        <v>674</v>
      </c>
      <c r="AR8" t="s">
        <v>674</v>
      </c>
      <c r="AS8" t="s">
        <v>674</v>
      </c>
      <c r="AT8" t="s">
        <v>674</v>
      </c>
      <c r="AU8" t="s">
        <v>674</v>
      </c>
      <c r="AV8" t="s">
        <v>674</v>
      </c>
      <c r="AW8" t="s">
        <v>674</v>
      </c>
      <c r="AX8" t="s">
        <v>674</v>
      </c>
      <c r="AY8" t="s">
        <v>674</v>
      </c>
      <c r="AZ8" t="s">
        <v>674</v>
      </c>
      <c r="BA8" t="s">
        <v>674</v>
      </c>
      <c r="BB8" t="s">
        <v>674</v>
      </c>
      <c r="BC8" t="s">
        <v>674</v>
      </c>
      <c r="BD8" t="s">
        <v>674</v>
      </c>
      <c r="BE8" t="s">
        <v>674</v>
      </c>
      <c r="BF8" t="s">
        <v>674</v>
      </c>
      <c r="BG8" t="s">
        <v>674</v>
      </c>
      <c r="BH8" t="s">
        <v>674</v>
      </c>
      <c r="BI8" t="s">
        <v>674</v>
      </c>
      <c r="BJ8" t="s">
        <v>674</v>
      </c>
      <c r="BK8" t="s">
        <v>674</v>
      </c>
      <c r="BL8" t="s">
        <v>674</v>
      </c>
      <c r="BM8" t="s">
        <v>674</v>
      </c>
      <c r="BN8" t="s">
        <v>674</v>
      </c>
      <c r="BO8" t="s">
        <v>674</v>
      </c>
      <c r="BP8" t="s">
        <v>674</v>
      </c>
      <c r="BQ8" t="s">
        <v>674</v>
      </c>
      <c r="BR8" t="s">
        <v>674</v>
      </c>
      <c r="BS8" t="s">
        <v>674</v>
      </c>
      <c r="BT8" t="s">
        <v>674</v>
      </c>
      <c r="BU8" t="s">
        <v>674</v>
      </c>
      <c r="BV8" t="s">
        <v>674</v>
      </c>
      <c r="BW8" t="s">
        <v>674</v>
      </c>
      <c r="BX8" t="s">
        <v>674</v>
      </c>
      <c r="BY8" t="s">
        <v>674</v>
      </c>
      <c r="BZ8" t="s">
        <v>674</v>
      </c>
      <c r="CA8" t="s">
        <v>674</v>
      </c>
      <c r="CB8" t="s">
        <v>674</v>
      </c>
      <c r="CC8" t="s">
        <v>674</v>
      </c>
      <c r="CD8" t="s">
        <v>674</v>
      </c>
      <c r="CE8" t="s">
        <v>674</v>
      </c>
      <c r="CF8" t="s">
        <v>674</v>
      </c>
      <c r="CG8" t="s">
        <v>674</v>
      </c>
      <c r="CH8" t="s">
        <v>674</v>
      </c>
      <c r="CI8" t="s">
        <v>674</v>
      </c>
    </row>
    <row r="9" spans="1:87" x14ac:dyDescent="0.25">
      <c r="A9" t="s">
        <v>759</v>
      </c>
      <c r="B9" t="s">
        <v>126</v>
      </c>
      <c r="C9">
        <v>2015</v>
      </c>
      <c r="D9" t="s">
        <v>729</v>
      </c>
      <c r="E9" t="s">
        <v>760</v>
      </c>
      <c r="F9" t="s">
        <v>761</v>
      </c>
      <c r="G9" t="s">
        <v>762</v>
      </c>
      <c r="H9" t="s">
        <v>674</v>
      </c>
      <c r="I9" t="s">
        <v>763</v>
      </c>
      <c r="J9" t="s">
        <v>764</v>
      </c>
      <c r="K9" t="s">
        <v>765</v>
      </c>
      <c r="L9" t="s">
        <v>766</v>
      </c>
      <c r="M9" s="1">
        <v>46274.899305555555</v>
      </c>
      <c r="N9" s="1">
        <v>46283.843634259261</v>
      </c>
      <c r="O9" s="1">
        <v>46274.899305555555</v>
      </c>
      <c r="P9" t="s">
        <v>767</v>
      </c>
      <c r="Q9" t="s">
        <v>674</v>
      </c>
      <c r="T9" t="s">
        <v>674</v>
      </c>
      <c r="U9" t="s">
        <v>674</v>
      </c>
      <c r="V9" t="s">
        <v>674</v>
      </c>
      <c r="W9" t="s">
        <v>674</v>
      </c>
      <c r="X9" t="s">
        <v>674</v>
      </c>
      <c r="Y9" t="s">
        <v>674</v>
      </c>
      <c r="Z9" t="s">
        <v>674</v>
      </c>
      <c r="AA9" t="s">
        <v>133</v>
      </c>
      <c r="AB9" t="s">
        <v>768</v>
      </c>
      <c r="AC9" t="s">
        <v>97</v>
      </c>
      <c r="AD9" t="s">
        <v>674</v>
      </c>
      <c r="AE9" t="s">
        <v>674</v>
      </c>
      <c r="AF9" t="s">
        <v>674</v>
      </c>
      <c r="AG9" t="s">
        <v>674</v>
      </c>
      <c r="AH9" t="s">
        <v>99</v>
      </c>
      <c r="AJ9" t="s">
        <v>674</v>
      </c>
      <c r="AK9" t="s">
        <v>674</v>
      </c>
      <c r="AL9" t="s">
        <v>769</v>
      </c>
      <c r="AM9" t="s">
        <v>674</v>
      </c>
      <c r="AN9" t="s">
        <v>674</v>
      </c>
      <c r="AO9" t="s">
        <v>674</v>
      </c>
      <c r="AP9" t="s">
        <v>674</v>
      </c>
      <c r="AQ9" t="s">
        <v>674</v>
      </c>
      <c r="AR9" t="s">
        <v>674</v>
      </c>
      <c r="AS9" t="s">
        <v>674</v>
      </c>
      <c r="AT9" t="s">
        <v>674</v>
      </c>
      <c r="AU9" t="s">
        <v>674</v>
      </c>
      <c r="AV9" t="s">
        <v>674</v>
      </c>
      <c r="AW9" t="s">
        <v>674</v>
      </c>
      <c r="AX9" t="s">
        <v>674</v>
      </c>
      <c r="AY9" t="s">
        <v>674</v>
      </c>
      <c r="AZ9" t="s">
        <v>674</v>
      </c>
      <c r="BA9" t="s">
        <v>674</v>
      </c>
      <c r="BB9" t="s">
        <v>674</v>
      </c>
      <c r="BC9" t="s">
        <v>674</v>
      </c>
      <c r="BD9" t="s">
        <v>674</v>
      </c>
      <c r="BE9" t="s">
        <v>674</v>
      </c>
      <c r="BF9" t="s">
        <v>674</v>
      </c>
      <c r="BG9" t="s">
        <v>674</v>
      </c>
      <c r="BH9" t="s">
        <v>674</v>
      </c>
      <c r="BI9" t="s">
        <v>674</v>
      </c>
      <c r="BJ9" t="s">
        <v>674</v>
      </c>
      <c r="BK9" t="s">
        <v>674</v>
      </c>
      <c r="BL9" t="s">
        <v>674</v>
      </c>
      <c r="BM9" t="s">
        <v>674</v>
      </c>
      <c r="BN9" t="s">
        <v>674</v>
      </c>
      <c r="BO9" t="s">
        <v>674</v>
      </c>
      <c r="BP9" t="s">
        <v>674</v>
      </c>
      <c r="BQ9" t="s">
        <v>674</v>
      </c>
      <c r="BR9" t="s">
        <v>674</v>
      </c>
      <c r="BS9" t="s">
        <v>674</v>
      </c>
      <c r="BT9" t="s">
        <v>761</v>
      </c>
      <c r="BU9" t="s">
        <v>674</v>
      </c>
      <c r="BV9" t="s">
        <v>674</v>
      </c>
      <c r="BW9" t="s">
        <v>674</v>
      </c>
      <c r="BX9" t="s">
        <v>674</v>
      </c>
      <c r="BY9" t="s">
        <v>674</v>
      </c>
      <c r="BZ9" t="s">
        <v>674</v>
      </c>
      <c r="CA9" t="s">
        <v>674</v>
      </c>
      <c r="CB9" t="s">
        <v>674</v>
      </c>
      <c r="CC9" t="s">
        <v>674</v>
      </c>
      <c r="CD9" t="s">
        <v>674</v>
      </c>
      <c r="CE9" t="s">
        <v>674</v>
      </c>
      <c r="CF9" t="s">
        <v>674</v>
      </c>
      <c r="CG9" t="s">
        <v>674</v>
      </c>
      <c r="CH9" t="s">
        <v>674</v>
      </c>
      <c r="CI9" t="s">
        <v>674</v>
      </c>
    </row>
    <row r="10" spans="1:87" x14ac:dyDescent="0.25">
      <c r="A10" t="s">
        <v>715</v>
      </c>
      <c r="B10" t="s">
        <v>88</v>
      </c>
      <c r="C10">
        <v>2025</v>
      </c>
      <c r="D10" t="s">
        <v>716</v>
      </c>
      <c r="E10" t="s">
        <v>717</v>
      </c>
      <c r="F10" t="s">
        <v>674</v>
      </c>
      <c r="G10" t="s">
        <v>674</v>
      </c>
      <c r="H10" t="s">
        <v>718</v>
      </c>
      <c r="I10" t="s">
        <v>719</v>
      </c>
      <c r="J10" t="s">
        <v>720</v>
      </c>
      <c r="K10" t="s">
        <v>721</v>
      </c>
      <c r="L10" t="s">
        <v>722</v>
      </c>
      <c r="M10" s="1">
        <v>46274.898217592592</v>
      </c>
      <c r="N10" s="1">
        <v>46283.840312499997</v>
      </c>
      <c r="O10" s="1">
        <v>46274.898217592592</v>
      </c>
      <c r="P10" t="s">
        <v>674</v>
      </c>
      <c r="Q10" t="s">
        <v>674</v>
      </c>
      <c r="T10" t="s">
        <v>674</v>
      </c>
      <c r="U10" t="s">
        <v>674</v>
      </c>
      <c r="V10" t="s">
        <v>674</v>
      </c>
      <c r="W10" t="s">
        <v>674</v>
      </c>
      <c r="X10" t="s">
        <v>674</v>
      </c>
      <c r="Y10" t="s">
        <v>674</v>
      </c>
      <c r="Z10" t="s">
        <v>674</v>
      </c>
      <c r="AA10" t="s">
        <v>723</v>
      </c>
      <c r="AB10" t="s">
        <v>674</v>
      </c>
      <c r="AC10" t="s">
        <v>97</v>
      </c>
      <c r="AD10" t="s">
        <v>724</v>
      </c>
      <c r="AE10" t="s">
        <v>674</v>
      </c>
      <c r="AF10" t="s">
        <v>674</v>
      </c>
      <c r="AG10" t="s">
        <v>674</v>
      </c>
      <c r="AH10" t="s">
        <v>725</v>
      </c>
      <c r="AJ10" t="s">
        <v>674</v>
      </c>
      <c r="AK10" t="s">
        <v>674</v>
      </c>
      <c r="AL10" t="s">
        <v>726</v>
      </c>
      <c r="AM10" t="s">
        <v>674</v>
      </c>
      <c r="AN10" t="s">
        <v>674</v>
      </c>
      <c r="AO10" t="s">
        <v>1081</v>
      </c>
      <c r="AP10" t="s">
        <v>674</v>
      </c>
      <c r="AQ10" t="s">
        <v>674</v>
      </c>
      <c r="AR10" t="s">
        <v>674</v>
      </c>
      <c r="AS10" t="s">
        <v>674</v>
      </c>
      <c r="AT10" t="s">
        <v>674</v>
      </c>
      <c r="AU10" t="s">
        <v>674</v>
      </c>
      <c r="AV10" t="s">
        <v>674</v>
      </c>
      <c r="AW10" t="s">
        <v>674</v>
      </c>
      <c r="AX10" t="s">
        <v>674</v>
      </c>
      <c r="AY10" t="s">
        <v>674</v>
      </c>
      <c r="AZ10" t="s">
        <v>674</v>
      </c>
      <c r="BA10" t="s">
        <v>674</v>
      </c>
      <c r="BB10" t="s">
        <v>674</v>
      </c>
      <c r="BC10" t="s">
        <v>674</v>
      </c>
      <c r="BD10" t="s">
        <v>674</v>
      </c>
      <c r="BE10" t="s">
        <v>674</v>
      </c>
      <c r="BF10" t="s">
        <v>674</v>
      </c>
      <c r="BG10" t="s">
        <v>674</v>
      </c>
      <c r="BH10" t="s">
        <v>674</v>
      </c>
      <c r="BI10" t="s">
        <v>674</v>
      </c>
      <c r="BJ10" t="s">
        <v>674</v>
      </c>
      <c r="BK10" t="s">
        <v>674</v>
      </c>
      <c r="BL10" t="s">
        <v>674</v>
      </c>
      <c r="BM10" t="s">
        <v>674</v>
      </c>
      <c r="BN10" t="s">
        <v>674</v>
      </c>
      <c r="BO10" t="s">
        <v>674</v>
      </c>
      <c r="BP10" t="s">
        <v>674</v>
      </c>
      <c r="BQ10" t="s">
        <v>674</v>
      </c>
      <c r="BR10" t="s">
        <v>674</v>
      </c>
      <c r="BS10" t="s">
        <v>674</v>
      </c>
      <c r="BT10" t="s">
        <v>674</v>
      </c>
      <c r="BU10" t="s">
        <v>674</v>
      </c>
      <c r="BV10" t="s">
        <v>674</v>
      </c>
      <c r="BW10" t="s">
        <v>674</v>
      </c>
      <c r="BX10" t="s">
        <v>674</v>
      </c>
      <c r="BY10" t="s">
        <v>674</v>
      </c>
      <c r="BZ10" t="s">
        <v>674</v>
      </c>
      <c r="CA10" t="s">
        <v>674</v>
      </c>
      <c r="CB10" t="s">
        <v>674</v>
      </c>
      <c r="CC10" t="s">
        <v>674</v>
      </c>
      <c r="CD10" t="s">
        <v>674</v>
      </c>
      <c r="CE10" t="s">
        <v>674</v>
      </c>
      <c r="CF10" t="s">
        <v>674</v>
      </c>
      <c r="CG10" t="s">
        <v>674</v>
      </c>
      <c r="CH10" t="s">
        <v>674</v>
      </c>
      <c r="CI10" t="s">
        <v>674</v>
      </c>
    </row>
    <row r="11" spans="1:87" x14ac:dyDescent="0.25">
      <c r="A11" t="s">
        <v>847</v>
      </c>
      <c r="B11" t="s">
        <v>126</v>
      </c>
      <c r="C11">
        <v>2016</v>
      </c>
      <c r="D11" t="s">
        <v>848</v>
      </c>
      <c r="E11" t="s">
        <v>849</v>
      </c>
      <c r="F11" t="s">
        <v>850</v>
      </c>
      <c r="G11" t="s">
        <v>851</v>
      </c>
      <c r="H11" t="s">
        <v>674</v>
      </c>
      <c r="I11" t="s">
        <v>852</v>
      </c>
      <c r="J11" t="s">
        <v>853</v>
      </c>
      <c r="K11" t="s">
        <v>854</v>
      </c>
      <c r="L11" t="s">
        <v>855</v>
      </c>
      <c r="M11" s="1">
        <v>46274.900092592594</v>
      </c>
      <c r="N11" s="1">
        <v>46283.839918981481</v>
      </c>
      <c r="O11" s="1">
        <v>46274.900092592594</v>
      </c>
      <c r="P11" t="s">
        <v>856</v>
      </c>
      <c r="Q11" t="s">
        <v>674</v>
      </c>
      <c r="T11" t="s">
        <v>674</v>
      </c>
      <c r="U11" t="s">
        <v>674</v>
      </c>
      <c r="V11" t="s">
        <v>674</v>
      </c>
      <c r="W11" t="s">
        <v>674</v>
      </c>
      <c r="X11" t="s">
        <v>674</v>
      </c>
      <c r="Y11" t="s">
        <v>674</v>
      </c>
      <c r="Z11" t="s">
        <v>674</v>
      </c>
      <c r="AA11" t="s">
        <v>133</v>
      </c>
      <c r="AB11" t="s">
        <v>857</v>
      </c>
      <c r="AC11" t="s">
        <v>97</v>
      </c>
      <c r="AD11" t="s">
        <v>674</v>
      </c>
      <c r="AE11" t="s">
        <v>674</v>
      </c>
      <c r="AF11" t="s">
        <v>674</v>
      </c>
      <c r="AG11" t="s">
        <v>674</v>
      </c>
      <c r="AH11" t="s">
        <v>99</v>
      </c>
      <c r="AJ11" t="s">
        <v>674</v>
      </c>
      <c r="AK11" t="s">
        <v>674</v>
      </c>
      <c r="AL11" t="s">
        <v>858</v>
      </c>
      <c r="AM11" t="s">
        <v>674</v>
      </c>
      <c r="AN11" t="s">
        <v>674</v>
      </c>
      <c r="AO11" t="s">
        <v>674</v>
      </c>
      <c r="AP11" t="s">
        <v>674</v>
      </c>
      <c r="AQ11" t="s">
        <v>674</v>
      </c>
      <c r="AR11" t="s">
        <v>674</v>
      </c>
      <c r="AS11" t="s">
        <v>674</v>
      </c>
      <c r="AT11" t="s">
        <v>674</v>
      </c>
      <c r="AU11" t="s">
        <v>674</v>
      </c>
      <c r="AV11" t="s">
        <v>674</v>
      </c>
      <c r="AW11" t="s">
        <v>674</v>
      </c>
      <c r="AX11" t="s">
        <v>674</v>
      </c>
      <c r="AY11" t="s">
        <v>674</v>
      </c>
      <c r="AZ11" t="s">
        <v>674</v>
      </c>
      <c r="BA11" t="s">
        <v>674</v>
      </c>
      <c r="BB11" t="s">
        <v>674</v>
      </c>
      <c r="BC11" t="s">
        <v>674</v>
      </c>
      <c r="BD11" t="s">
        <v>674</v>
      </c>
      <c r="BE11" t="s">
        <v>674</v>
      </c>
      <c r="BF11" t="s">
        <v>674</v>
      </c>
      <c r="BG11" t="s">
        <v>674</v>
      </c>
      <c r="BH11" t="s">
        <v>674</v>
      </c>
      <c r="BI11" t="s">
        <v>674</v>
      </c>
      <c r="BJ11" t="s">
        <v>674</v>
      </c>
      <c r="BK11" t="s">
        <v>674</v>
      </c>
      <c r="BL11" t="s">
        <v>674</v>
      </c>
      <c r="BM11" t="s">
        <v>674</v>
      </c>
      <c r="BN11" t="s">
        <v>674</v>
      </c>
      <c r="BO11" t="s">
        <v>674</v>
      </c>
      <c r="BP11" t="s">
        <v>674</v>
      </c>
      <c r="BQ11" t="s">
        <v>674</v>
      </c>
      <c r="BR11" t="s">
        <v>674</v>
      </c>
      <c r="BS11" t="s">
        <v>674</v>
      </c>
      <c r="BT11" t="s">
        <v>850</v>
      </c>
      <c r="BU11" t="s">
        <v>674</v>
      </c>
      <c r="BV11" t="s">
        <v>674</v>
      </c>
      <c r="BW11" t="s">
        <v>674</v>
      </c>
      <c r="BX11" t="s">
        <v>674</v>
      </c>
      <c r="BY11" t="s">
        <v>674</v>
      </c>
      <c r="BZ11" t="s">
        <v>674</v>
      </c>
      <c r="CA11" t="s">
        <v>674</v>
      </c>
      <c r="CB11" t="s">
        <v>674</v>
      </c>
      <c r="CC11" t="s">
        <v>674</v>
      </c>
      <c r="CD11" t="s">
        <v>674</v>
      </c>
      <c r="CE11" t="s">
        <v>674</v>
      </c>
      <c r="CF11" t="s">
        <v>674</v>
      </c>
      <c r="CG11" t="s">
        <v>674</v>
      </c>
      <c r="CH11" t="s">
        <v>674</v>
      </c>
      <c r="CI11" t="s">
        <v>674</v>
      </c>
    </row>
    <row r="12" spans="1:87" x14ac:dyDescent="0.25">
      <c r="A12" t="s">
        <v>782</v>
      </c>
      <c r="B12" t="s">
        <v>126</v>
      </c>
      <c r="C12">
        <v>2015</v>
      </c>
      <c r="D12" t="s">
        <v>729</v>
      </c>
      <c r="E12" t="s">
        <v>783</v>
      </c>
      <c r="F12" t="s">
        <v>784</v>
      </c>
      <c r="G12" t="s">
        <v>674</v>
      </c>
      <c r="H12" t="s">
        <v>674</v>
      </c>
      <c r="I12" t="s">
        <v>785</v>
      </c>
      <c r="J12" t="s">
        <v>786</v>
      </c>
      <c r="K12" t="s">
        <v>787</v>
      </c>
      <c r="L12" t="s">
        <v>788</v>
      </c>
      <c r="M12" s="1">
        <v>46274.899699074071</v>
      </c>
      <c r="N12" s="1">
        <v>46283.838773148149</v>
      </c>
      <c r="O12" s="1">
        <v>46274.899699074071</v>
      </c>
      <c r="P12" t="s">
        <v>756</v>
      </c>
      <c r="Q12" t="s">
        <v>674</v>
      </c>
      <c r="T12" t="s">
        <v>674</v>
      </c>
      <c r="U12" t="s">
        <v>674</v>
      </c>
      <c r="V12" t="s">
        <v>674</v>
      </c>
      <c r="W12" t="s">
        <v>674</v>
      </c>
      <c r="X12" t="s">
        <v>674</v>
      </c>
      <c r="Y12" t="s">
        <v>674</v>
      </c>
      <c r="Z12" t="s">
        <v>674</v>
      </c>
      <c r="AA12" t="s">
        <v>674</v>
      </c>
      <c r="AB12" t="s">
        <v>674</v>
      </c>
      <c r="AC12" t="s">
        <v>674</v>
      </c>
      <c r="AD12" t="s">
        <v>674</v>
      </c>
      <c r="AE12" t="s">
        <v>674</v>
      </c>
      <c r="AF12" t="s">
        <v>674</v>
      </c>
      <c r="AG12" t="s">
        <v>674</v>
      </c>
      <c r="AH12" t="s">
        <v>789</v>
      </c>
      <c r="AJ12" t="s">
        <v>790</v>
      </c>
      <c r="AK12" t="s">
        <v>674</v>
      </c>
      <c r="AL12" t="s">
        <v>791</v>
      </c>
      <c r="AM12" t="s">
        <v>674</v>
      </c>
      <c r="AN12" t="s">
        <v>674</v>
      </c>
      <c r="AO12" t="s">
        <v>1082</v>
      </c>
      <c r="AP12" t="s">
        <v>674</v>
      </c>
      <c r="AQ12" t="s">
        <v>674</v>
      </c>
      <c r="AR12" t="s">
        <v>674</v>
      </c>
      <c r="AS12" t="s">
        <v>674</v>
      </c>
      <c r="AT12" t="s">
        <v>674</v>
      </c>
      <c r="AU12" t="s">
        <v>674</v>
      </c>
      <c r="AV12" t="s">
        <v>674</v>
      </c>
      <c r="AW12" t="s">
        <v>674</v>
      </c>
      <c r="AX12" t="s">
        <v>674</v>
      </c>
      <c r="AY12" t="s">
        <v>674</v>
      </c>
      <c r="AZ12" t="s">
        <v>674</v>
      </c>
      <c r="BA12" t="s">
        <v>674</v>
      </c>
      <c r="BB12" t="s">
        <v>674</v>
      </c>
      <c r="BC12" t="s">
        <v>674</v>
      </c>
      <c r="BD12" t="s">
        <v>674</v>
      </c>
      <c r="BE12" t="s">
        <v>674</v>
      </c>
      <c r="BF12" t="s">
        <v>674</v>
      </c>
      <c r="BG12" t="s">
        <v>674</v>
      </c>
      <c r="BH12" t="s">
        <v>674</v>
      </c>
      <c r="BI12" t="s">
        <v>674</v>
      </c>
      <c r="BJ12" t="s">
        <v>674</v>
      </c>
      <c r="BK12" t="s">
        <v>674</v>
      </c>
      <c r="BL12" t="s">
        <v>674</v>
      </c>
      <c r="BM12" t="s">
        <v>674</v>
      </c>
      <c r="BN12" t="s">
        <v>674</v>
      </c>
      <c r="BO12" t="s">
        <v>674</v>
      </c>
      <c r="BP12" t="s">
        <v>674</v>
      </c>
      <c r="BQ12" t="s">
        <v>674</v>
      </c>
      <c r="BR12" t="s">
        <v>674</v>
      </c>
      <c r="BS12" t="s">
        <v>674</v>
      </c>
      <c r="BT12" t="s">
        <v>674</v>
      </c>
      <c r="BU12" t="s">
        <v>674</v>
      </c>
      <c r="BV12" t="s">
        <v>674</v>
      </c>
      <c r="BW12" t="s">
        <v>674</v>
      </c>
      <c r="BX12" t="s">
        <v>674</v>
      </c>
      <c r="BY12" t="s">
        <v>674</v>
      </c>
      <c r="BZ12" t="s">
        <v>674</v>
      </c>
      <c r="CA12" t="s">
        <v>674</v>
      </c>
      <c r="CB12" t="s">
        <v>674</v>
      </c>
      <c r="CC12" t="s">
        <v>674</v>
      </c>
      <c r="CD12" t="s">
        <v>674</v>
      </c>
      <c r="CE12" t="s">
        <v>674</v>
      </c>
      <c r="CF12" t="s">
        <v>674</v>
      </c>
      <c r="CG12" t="s">
        <v>674</v>
      </c>
      <c r="CH12" t="s">
        <v>674</v>
      </c>
      <c r="CI12" t="s">
        <v>674</v>
      </c>
    </row>
    <row r="13" spans="1:87" x14ac:dyDescent="0.25">
      <c r="A13" t="s">
        <v>838</v>
      </c>
      <c r="B13" t="s">
        <v>88</v>
      </c>
      <c r="C13">
        <v>2013</v>
      </c>
      <c r="D13" t="s">
        <v>839</v>
      </c>
      <c r="E13" t="s">
        <v>840</v>
      </c>
      <c r="F13" t="s">
        <v>115</v>
      </c>
      <c r="G13" t="s">
        <v>674</v>
      </c>
      <c r="H13" t="s">
        <v>116</v>
      </c>
      <c r="I13" t="s">
        <v>841</v>
      </c>
      <c r="J13" t="s">
        <v>842</v>
      </c>
      <c r="K13" t="s">
        <v>843</v>
      </c>
      <c r="L13" t="s">
        <v>844</v>
      </c>
      <c r="M13" s="1">
        <v>46274.900034722225</v>
      </c>
      <c r="N13" s="1">
        <v>46283.837731481479</v>
      </c>
      <c r="O13" s="1">
        <v>46274.900034722225</v>
      </c>
      <c r="P13" t="s">
        <v>845</v>
      </c>
      <c r="Q13" t="s">
        <v>674</v>
      </c>
      <c r="R13">
        <v>8</v>
      </c>
      <c r="S13">
        <v>60</v>
      </c>
      <c r="T13" t="s">
        <v>674</v>
      </c>
      <c r="U13" t="s">
        <v>121</v>
      </c>
      <c r="V13" t="s">
        <v>674</v>
      </c>
      <c r="W13" t="s">
        <v>674</v>
      </c>
      <c r="X13" t="s">
        <v>674</v>
      </c>
      <c r="Y13" t="s">
        <v>674</v>
      </c>
      <c r="Z13" t="s">
        <v>674</v>
      </c>
      <c r="AA13" t="s">
        <v>674</v>
      </c>
      <c r="AB13" t="s">
        <v>674</v>
      </c>
      <c r="AC13" t="s">
        <v>97</v>
      </c>
      <c r="AD13" t="s">
        <v>122</v>
      </c>
      <c r="AE13" t="s">
        <v>674</v>
      </c>
      <c r="AF13" t="s">
        <v>674</v>
      </c>
      <c r="AG13" t="s">
        <v>674</v>
      </c>
      <c r="AH13" t="s">
        <v>99</v>
      </c>
      <c r="AJ13" t="s">
        <v>674</v>
      </c>
      <c r="AK13" t="s">
        <v>674</v>
      </c>
      <c r="AL13" t="s">
        <v>846</v>
      </c>
      <c r="AM13" t="s">
        <v>674</v>
      </c>
      <c r="AN13" t="s">
        <v>674</v>
      </c>
      <c r="AO13" t="s">
        <v>674</v>
      </c>
      <c r="AP13" t="s">
        <v>674</v>
      </c>
      <c r="AQ13" t="s">
        <v>674</v>
      </c>
      <c r="AR13" t="s">
        <v>674</v>
      </c>
      <c r="AS13" t="s">
        <v>674</v>
      </c>
      <c r="AT13" t="s">
        <v>674</v>
      </c>
      <c r="AU13" t="s">
        <v>674</v>
      </c>
      <c r="AV13" t="s">
        <v>674</v>
      </c>
      <c r="AW13" t="s">
        <v>674</v>
      </c>
      <c r="AX13" t="s">
        <v>674</v>
      </c>
      <c r="AY13" t="s">
        <v>674</v>
      </c>
      <c r="AZ13" t="s">
        <v>674</v>
      </c>
      <c r="BA13" t="s">
        <v>674</v>
      </c>
      <c r="BB13" t="s">
        <v>674</v>
      </c>
      <c r="BC13" t="s">
        <v>674</v>
      </c>
      <c r="BD13" t="s">
        <v>674</v>
      </c>
      <c r="BE13" t="s">
        <v>674</v>
      </c>
      <c r="BF13" t="s">
        <v>674</v>
      </c>
      <c r="BG13" t="s">
        <v>674</v>
      </c>
      <c r="BH13" t="s">
        <v>674</v>
      </c>
      <c r="BI13" t="s">
        <v>674</v>
      </c>
      <c r="BJ13" t="s">
        <v>674</v>
      </c>
      <c r="BK13" t="s">
        <v>674</v>
      </c>
      <c r="BL13" t="s">
        <v>674</v>
      </c>
      <c r="BM13" t="s">
        <v>674</v>
      </c>
      <c r="BN13" t="s">
        <v>674</v>
      </c>
      <c r="BO13" t="s">
        <v>674</v>
      </c>
      <c r="BP13" t="s">
        <v>674</v>
      </c>
      <c r="BQ13" t="s">
        <v>674</v>
      </c>
      <c r="BR13" t="s">
        <v>674</v>
      </c>
      <c r="BS13" t="s">
        <v>674</v>
      </c>
      <c r="BT13" t="s">
        <v>674</v>
      </c>
      <c r="BU13" t="s">
        <v>674</v>
      </c>
      <c r="BV13" t="s">
        <v>674</v>
      </c>
      <c r="BW13" t="s">
        <v>674</v>
      </c>
      <c r="BX13" t="s">
        <v>674</v>
      </c>
      <c r="BY13" t="s">
        <v>674</v>
      </c>
      <c r="BZ13" t="s">
        <v>674</v>
      </c>
      <c r="CA13" t="s">
        <v>674</v>
      </c>
      <c r="CB13" t="s">
        <v>674</v>
      </c>
      <c r="CC13" t="s">
        <v>674</v>
      </c>
      <c r="CD13" t="s">
        <v>674</v>
      </c>
      <c r="CE13" t="s">
        <v>674</v>
      </c>
      <c r="CF13" t="s">
        <v>674</v>
      </c>
      <c r="CG13" t="s">
        <v>674</v>
      </c>
      <c r="CH13" t="s">
        <v>674</v>
      </c>
      <c r="CI13" t="s">
        <v>674</v>
      </c>
    </row>
    <row r="14" spans="1:87" x14ac:dyDescent="0.25">
      <c r="A14" t="s">
        <v>728</v>
      </c>
      <c r="B14" t="s">
        <v>88</v>
      </c>
      <c r="C14">
        <v>2015</v>
      </c>
      <c r="D14" t="s">
        <v>729</v>
      </c>
      <c r="E14" t="s">
        <v>730</v>
      </c>
      <c r="F14" t="s">
        <v>115</v>
      </c>
      <c r="G14" t="s">
        <v>674</v>
      </c>
      <c r="H14" t="s">
        <v>116</v>
      </c>
      <c r="I14" t="s">
        <v>731</v>
      </c>
      <c r="J14" t="s">
        <v>732</v>
      </c>
      <c r="K14" t="s">
        <v>733</v>
      </c>
      <c r="L14" t="s">
        <v>734</v>
      </c>
      <c r="M14" s="1">
        <v>46274.898888888885</v>
      </c>
      <c r="N14" s="1">
        <v>46283.837534722225</v>
      </c>
      <c r="O14" s="1">
        <v>46274.898888888885</v>
      </c>
      <c r="P14" t="s">
        <v>735</v>
      </c>
      <c r="Q14" t="s">
        <v>674</v>
      </c>
      <c r="R14">
        <v>11</v>
      </c>
      <c r="S14">
        <v>62</v>
      </c>
      <c r="T14" t="s">
        <v>674</v>
      </c>
      <c r="U14" t="s">
        <v>121</v>
      </c>
      <c r="V14" t="s">
        <v>674</v>
      </c>
      <c r="W14" t="s">
        <v>674</v>
      </c>
      <c r="X14" t="s">
        <v>674</v>
      </c>
      <c r="Y14" t="s">
        <v>674</v>
      </c>
      <c r="Z14" t="s">
        <v>674</v>
      </c>
      <c r="AA14" t="s">
        <v>674</v>
      </c>
      <c r="AB14" t="s">
        <v>674</v>
      </c>
      <c r="AC14" t="s">
        <v>97</v>
      </c>
      <c r="AD14" t="s">
        <v>122</v>
      </c>
      <c r="AE14" t="s">
        <v>674</v>
      </c>
      <c r="AF14" t="s">
        <v>674</v>
      </c>
      <c r="AG14" t="s">
        <v>674</v>
      </c>
      <c r="AH14" t="s">
        <v>99</v>
      </c>
      <c r="AJ14" t="s">
        <v>674</v>
      </c>
      <c r="AK14" t="s">
        <v>674</v>
      </c>
      <c r="AL14" t="s">
        <v>736</v>
      </c>
      <c r="AM14" t="s">
        <v>674</v>
      </c>
      <c r="AN14" t="s">
        <v>674</v>
      </c>
      <c r="AO14" t="s">
        <v>674</v>
      </c>
      <c r="AP14" t="s">
        <v>674</v>
      </c>
      <c r="AQ14" t="s">
        <v>674</v>
      </c>
      <c r="AR14" t="s">
        <v>674</v>
      </c>
      <c r="AS14" t="s">
        <v>674</v>
      </c>
      <c r="AT14" t="s">
        <v>674</v>
      </c>
      <c r="AU14" t="s">
        <v>674</v>
      </c>
      <c r="AV14" t="s">
        <v>674</v>
      </c>
      <c r="AW14" t="s">
        <v>674</v>
      </c>
      <c r="AX14" t="s">
        <v>674</v>
      </c>
      <c r="AY14" t="s">
        <v>674</v>
      </c>
      <c r="AZ14" t="s">
        <v>674</v>
      </c>
      <c r="BA14" t="s">
        <v>674</v>
      </c>
      <c r="BB14" t="s">
        <v>674</v>
      </c>
      <c r="BC14" t="s">
        <v>674</v>
      </c>
      <c r="BD14" t="s">
        <v>674</v>
      </c>
      <c r="BE14" t="s">
        <v>674</v>
      </c>
      <c r="BF14" t="s">
        <v>674</v>
      </c>
      <c r="BG14" t="s">
        <v>674</v>
      </c>
      <c r="BH14" t="s">
        <v>674</v>
      </c>
      <c r="BI14" t="s">
        <v>674</v>
      </c>
      <c r="BJ14" t="s">
        <v>674</v>
      </c>
      <c r="BK14" t="s">
        <v>674</v>
      </c>
      <c r="BL14" t="s">
        <v>674</v>
      </c>
      <c r="BM14" t="s">
        <v>674</v>
      </c>
      <c r="BN14" t="s">
        <v>674</v>
      </c>
      <c r="BO14" t="s">
        <v>674</v>
      </c>
      <c r="BP14" t="s">
        <v>674</v>
      </c>
      <c r="BQ14" t="s">
        <v>674</v>
      </c>
      <c r="BR14" t="s">
        <v>674</v>
      </c>
      <c r="BS14" t="s">
        <v>674</v>
      </c>
      <c r="BT14" t="s">
        <v>674</v>
      </c>
      <c r="BU14" t="s">
        <v>674</v>
      </c>
      <c r="BV14" t="s">
        <v>674</v>
      </c>
      <c r="BW14" t="s">
        <v>674</v>
      </c>
      <c r="BX14" t="s">
        <v>674</v>
      </c>
      <c r="BY14" t="s">
        <v>674</v>
      </c>
      <c r="BZ14" t="s">
        <v>674</v>
      </c>
      <c r="CA14" t="s">
        <v>674</v>
      </c>
      <c r="CB14" t="s">
        <v>674</v>
      </c>
      <c r="CC14" t="s">
        <v>674</v>
      </c>
      <c r="CD14" t="s">
        <v>674</v>
      </c>
      <c r="CE14" t="s">
        <v>674</v>
      </c>
      <c r="CF14" t="s">
        <v>674</v>
      </c>
      <c r="CG14" t="s">
        <v>674</v>
      </c>
      <c r="CH14" t="s">
        <v>674</v>
      </c>
      <c r="CI14" t="s">
        <v>674</v>
      </c>
    </row>
    <row r="15" spans="1:87" x14ac:dyDescent="0.25">
      <c r="A15" t="s">
        <v>996</v>
      </c>
      <c r="B15" t="s">
        <v>126</v>
      </c>
      <c r="C15">
        <v>2024</v>
      </c>
      <c r="D15" t="s">
        <v>997</v>
      </c>
      <c r="E15" t="s">
        <v>998</v>
      </c>
      <c r="F15" t="s">
        <v>999</v>
      </c>
      <c r="G15" t="s">
        <v>1000</v>
      </c>
      <c r="H15" t="s">
        <v>674</v>
      </c>
      <c r="I15" t="s">
        <v>1001</v>
      </c>
      <c r="J15" t="s">
        <v>1002</v>
      </c>
      <c r="K15" t="s">
        <v>1003</v>
      </c>
      <c r="L15" t="s">
        <v>1004</v>
      </c>
      <c r="M15" s="1">
        <v>46276.556180555555</v>
      </c>
      <c r="N15" s="1">
        <v>46281.582731481481</v>
      </c>
      <c r="O15" s="1">
        <v>46276.556180555555</v>
      </c>
      <c r="P15" t="s">
        <v>1005</v>
      </c>
      <c r="Q15" t="s">
        <v>674</v>
      </c>
      <c r="T15" t="s">
        <v>674</v>
      </c>
      <c r="U15" t="s">
        <v>674</v>
      </c>
      <c r="V15" t="s">
        <v>674</v>
      </c>
      <c r="W15" t="s">
        <v>674</v>
      </c>
      <c r="X15" t="s">
        <v>674</v>
      </c>
      <c r="Y15" t="s">
        <v>674</v>
      </c>
      <c r="Z15" t="s">
        <v>674</v>
      </c>
      <c r="AA15" t="s">
        <v>133</v>
      </c>
      <c r="AB15" t="s">
        <v>1006</v>
      </c>
      <c r="AC15" t="s">
        <v>97</v>
      </c>
      <c r="AD15" t="s">
        <v>135</v>
      </c>
      <c r="AE15" t="s">
        <v>674</v>
      </c>
      <c r="AF15" t="s">
        <v>674</v>
      </c>
      <c r="AG15" t="s">
        <v>674</v>
      </c>
      <c r="AH15" t="s">
        <v>99</v>
      </c>
      <c r="AJ15" t="s">
        <v>674</v>
      </c>
      <c r="AK15" t="s">
        <v>674</v>
      </c>
      <c r="AL15" t="s">
        <v>1007</v>
      </c>
      <c r="AM15" t="s">
        <v>674</v>
      </c>
      <c r="AN15" t="s">
        <v>674</v>
      </c>
      <c r="AO15" t="s">
        <v>674</v>
      </c>
      <c r="AP15" t="s">
        <v>674</v>
      </c>
      <c r="AQ15" t="s">
        <v>674</v>
      </c>
      <c r="AR15" t="s">
        <v>674</v>
      </c>
      <c r="AS15" t="s">
        <v>674</v>
      </c>
      <c r="AT15" t="s">
        <v>674</v>
      </c>
      <c r="AU15" t="s">
        <v>674</v>
      </c>
      <c r="AV15" t="s">
        <v>674</v>
      </c>
      <c r="AW15" t="s">
        <v>674</v>
      </c>
      <c r="AX15" t="s">
        <v>674</v>
      </c>
      <c r="AY15" t="s">
        <v>674</v>
      </c>
      <c r="AZ15" t="s">
        <v>674</v>
      </c>
      <c r="BA15" t="s">
        <v>674</v>
      </c>
      <c r="BB15" t="s">
        <v>674</v>
      </c>
      <c r="BC15" t="s">
        <v>674</v>
      </c>
      <c r="BD15" t="s">
        <v>674</v>
      </c>
      <c r="BE15" t="s">
        <v>674</v>
      </c>
      <c r="BF15" t="s">
        <v>674</v>
      </c>
      <c r="BG15" t="s">
        <v>674</v>
      </c>
      <c r="BH15" t="s">
        <v>674</v>
      </c>
      <c r="BI15" t="s">
        <v>674</v>
      </c>
      <c r="BJ15" t="s">
        <v>674</v>
      </c>
      <c r="BK15" t="s">
        <v>674</v>
      </c>
      <c r="BL15" t="s">
        <v>674</v>
      </c>
      <c r="BM15" t="s">
        <v>674</v>
      </c>
      <c r="BN15" t="s">
        <v>674</v>
      </c>
      <c r="BO15" t="s">
        <v>674</v>
      </c>
      <c r="BP15" t="s">
        <v>674</v>
      </c>
      <c r="BQ15" t="s">
        <v>674</v>
      </c>
      <c r="BR15" t="s">
        <v>674</v>
      </c>
      <c r="BS15" t="s">
        <v>674</v>
      </c>
      <c r="BT15" t="s">
        <v>999</v>
      </c>
      <c r="BU15" t="s">
        <v>674</v>
      </c>
      <c r="BV15" t="s">
        <v>674</v>
      </c>
      <c r="BW15" t="s">
        <v>674</v>
      </c>
      <c r="BX15" t="s">
        <v>674</v>
      </c>
      <c r="BY15" t="s">
        <v>674</v>
      </c>
      <c r="BZ15" t="s">
        <v>674</v>
      </c>
      <c r="CA15" t="s">
        <v>674</v>
      </c>
      <c r="CB15" t="s">
        <v>674</v>
      </c>
      <c r="CC15" t="s">
        <v>674</v>
      </c>
      <c r="CD15" t="s">
        <v>674</v>
      </c>
      <c r="CE15" t="s">
        <v>674</v>
      </c>
      <c r="CF15" t="s">
        <v>674</v>
      </c>
      <c r="CG15" t="s">
        <v>674</v>
      </c>
      <c r="CH15" t="s">
        <v>674</v>
      </c>
      <c r="CI15" t="s">
        <v>674</v>
      </c>
    </row>
    <row r="16" spans="1:87" x14ac:dyDescent="0.25">
      <c r="A16" t="s">
        <v>737</v>
      </c>
      <c r="B16" t="s">
        <v>88</v>
      </c>
      <c r="C16">
        <v>2025</v>
      </c>
      <c r="D16" t="s">
        <v>738</v>
      </c>
      <c r="E16" t="s">
        <v>739</v>
      </c>
      <c r="F16" t="s">
        <v>499</v>
      </c>
      <c r="G16" t="s">
        <v>674</v>
      </c>
      <c r="H16" t="s">
        <v>500</v>
      </c>
      <c r="I16" t="s">
        <v>740</v>
      </c>
      <c r="J16" t="s">
        <v>741</v>
      </c>
      <c r="K16" t="s">
        <v>742</v>
      </c>
      <c r="L16" t="s">
        <v>743</v>
      </c>
      <c r="M16" s="1">
        <v>46274.899074074077</v>
      </c>
      <c r="N16" s="1">
        <v>46281.523460648146</v>
      </c>
      <c r="O16" s="1">
        <v>46274.899074074077</v>
      </c>
      <c r="P16" t="s">
        <v>744</v>
      </c>
      <c r="Q16" t="s">
        <v>674</v>
      </c>
      <c r="R16">
        <v>12</v>
      </c>
      <c r="S16">
        <v>40</v>
      </c>
      <c r="T16" t="s">
        <v>674</v>
      </c>
      <c r="U16" t="s">
        <v>505</v>
      </c>
      <c r="V16" t="s">
        <v>745</v>
      </c>
      <c r="W16" t="s">
        <v>674</v>
      </c>
      <c r="X16" t="s">
        <v>674</v>
      </c>
      <c r="Y16" t="s">
        <v>674</v>
      </c>
      <c r="Z16" t="s">
        <v>674</v>
      </c>
      <c r="AA16" t="s">
        <v>674</v>
      </c>
      <c r="AB16" t="s">
        <v>674</v>
      </c>
      <c r="AC16" t="s">
        <v>97</v>
      </c>
      <c r="AD16" t="s">
        <v>122</v>
      </c>
      <c r="AE16" t="s">
        <v>674</v>
      </c>
      <c r="AF16" t="s">
        <v>674</v>
      </c>
      <c r="AG16" t="s">
        <v>674</v>
      </c>
      <c r="AH16" t="s">
        <v>99</v>
      </c>
      <c r="AJ16" t="s">
        <v>674</v>
      </c>
      <c r="AK16" t="s">
        <v>674</v>
      </c>
      <c r="AL16" t="s">
        <v>746</v>
      </c>
      <c r="AM16" t="s">
        <v>674</v>
      </c>
      <c r="AN16" t="s">
        <v>674</v>
      </c>
      <c r="AO16" t="s">
        <v>674</v>
      </c>
      <c r="AP16" t="s">
        <v>674</v>
      </c>
      <c r="AQ16" t="s">
        <v>674</v>
      </c>
      <c r="AR16" t="s">
        <v>674</v>
      </c>
      <c r="AS16" t="s">
        <v>674</v>
      </c>
      <c r="AT16" t="s">
        <v>674</v>
      </c>
      <c r="AU16" t="s">
        <v>674</v>
      </c>
      <c r="AV16" t="s">
        <v>674</v>
      </c>
      <c r="AW16" t="s">
        <v>674</v>
      </c>
      <c r="AX16" t="s">
        <v>674</v>
      </c>
      <c r="AY16" t="s">
        <v>674</v>
      </c>
      <c r="AZ16" t="s">
        <v>674</v>
      </c>
      <c r="BA16" t="s">
        <v>674</v>
      </c>
      <c r="BB16" t="s">
        <v>674</v>
      </c>
      <c r="BC16" t="s">
        <v>674</v>
      </c>
      <c r="BD16" t="s">
        <v>674</v>
      </c>
      <c r="BE16" t="s">
        <v>674</v>
      </c>
      <c r="BF16" t="s">
        <v>674</v>
      </c>
      <c r="BG16" t="s">
        <v>674</v>
      </c>
      <c r="BH16" t="s">
        <v>674</v>
      </c>
      <c r="BI16" t="s">
        <v>674</v>
      </c>
      <c r="BJ16" t="s">
        <v>674</v>
      </c>
      <c r="BK16" t="s">
        <v>674</v>
      </c>
      <c r="BL16" t="s">
        <v>674</v>
      </c>
      <c r="BM16" t="s">
        <v>674</v>
      </c>
      <c r="BN16" t="s">
        <v>674</v>
      </c>
      <c r="BO16" t="s">
        <v>674</v>
      </c>
      <c r="BP16" t="s">
        <v>674</v>
      </c>
      <c r="BQ16" t="s">
        <v>674</v>
      </c>
      <c r="BR16" t="s">
        <v>674</v>
      </c>
      <c r="BS16" t="s">
        <v>674</v>
      </c>
      <c r="BT16" t="s">
        <v>674</v>
      </c>
      <c r="BU16" t="s">
        <v>674</v>
      </c>
      <c r="BV16" t="s">
        <v>674</v>
      </c>
      <c r="BW16" t="s">
        <v>674</v>
      </c>
      <c r="BX16" t="s">
        <v>674</v>
      </c>
      <c r="BY16" t="s">
        <v>674</v>
      </c>
      <c r="BZ16" t="s">
        <v>674</v>
      </c>
      <c r="CA16" t="s">
        <v>674</v>
      </c>
      <c r="CB16" t="s">
        <v>674</v>
      </c>
      <c r="CC16" t="s">
        <v>674</v>
      </c>
      <c r="CD16" t="s">
        <v>674</v>
      </c>
      <c r="CE16" t="s">
        <v>674</v>
      </c>
      <c r="CF16" t="s">
        <v>674</v>
      </c>
      <c r="CG16" t="s">
        <v>674</v>
      </c>
      <c r="CH16" t="s">
        <v>674</v>
      </c>
      <c r="CI16" t="s">
        <v>674</v>
      </c>
    </row>
    <row r="17" spans="1:87" x14ac:dyDescent="0.25">
      <c r="A17" t="s">
        <v>747</v>
      </c>
      <c r="B17" t="s">
        <v>126</v>
      </c>
      <c r="C17">
        <v>2023</v>
      </c>
      <c r="D17" t="s">
        <v>748</v>
      </c>
      <c r="E17" t="s">
        <v>749</v>
      </c>
      <c r="F17" t="s">
        <v>750</v>
      </c>
      <c r="G17" t="s">
        <v>751</v>
      </c>
      <c r="H17" t="s">
        <v>674</v>
      </c>
      <c r="I17" t="s">
        <v>752</v>
      </c>
      <c r="J17" t="s">
        <v>753</v>
      </c>
      <c r="K17" t="s">
        <v>754</v>
      </c>
      <c r="L17" t="s">
        <v>755</v>
      </c>
      <c r="M17" s="1">
        <v>46274.899201388886</v>
      </c>
      <c r="N17" s="1">
        <v>46281.522916666669</v>
      </c>
      <c r="O17" s="1">
        <v>46274.899201388886</v>
      </c>
      <c r="P17" t="s">
        <v>756</v>
      </c>
      <c r="Q17" t="s">
        <v>674</v>
      </c>
      <c r="T17" t="s">
        <v>674</v>
      </c>
      <c r="U17" t="s">
        <v>674</v>
      </c>
      <c r="V17" t="s">
        <v>674</v>
      </c>
      <c r="W17" t="s">
        <v>674</v>
      </c>
      <c r="X17" t="s">
        <v>674</v>
      </c>
      <c r="Y17" t="s">
        <v>674</v>
      </c>
      <c r="Z17" t="s">
        <v>674</v>
      </c>
      <c r="AA17" t="s">
        <v>133</v>
      </c>
      <c r="AB17" t="s">
        <v>757</v>
      </c>
      <c r="AC17" t="s">
        <v>97</v>
      </c>
      <c r="AD17" t="s">
        <v>135</v>
      </c>
      <c r="AE17" t="s">
        <v>674</v>
      </c>
      <c r="AF17" t="s">
        <v>674</v>
      </c>
      <c r="AG17" t="s">
        <v>674</v>
      </c>
      <c r="AH17" t="s">
        <v>99</v>
      </c>
      <c r="AJ17" t="s">
        <v>674</v>
      </c>
      <c r="AK17" t="s">
        <v>674</v>
      </c>
      <c r="AL17" t="s">
        <v>758</v>
      </c>
      <c r="AM17" t="s">
        <v>674</v>
      </c>
      <c r="AN17" t="s">
        <v>674</v>
      </c>
      <c r="AO17" t="s">
        <v>674</v>
      </c>
      <c r="AP17" t="s">
        <v>674</v>
      </c>
      <c r="AQ17" t="s">
        <v>674</v>
      </c>
      <c r="AR17" t="s">
        <v>674</v>
      </c>
      <c r="AS17" t="s">
        <v>674</v>
      </c>
      <c r="AT17" t="s">
        <v>674</v>
      </c>
      <c r="AU17" t="s">
        <v>674</v>
      </c>
      <c r="AV17" t="s">
        <v>674</v>
      </c>
      <c r="AW17" t="s">
        <v>674</v>
      </c>
      <c r="AX17" t="s">
        <v>674</v>
      </c>
      <c r="AY17" t="s">
        <v>674</v>
      </c>
      <c r="AZ17" t="s">
        <v>674</v>
      </c>
      <c r="BA17" t="s">
        <v>674</v>
      </c>
      <c r="BB17" t="s">
        <v>674</v>
      </c>
      <c r="BC17" t="s">
        <v>674</v>
      </c>
      <c r="BD17" t="s">
        <v>674</v>
      </c>
      <c r="BE17" t="s">
        <v>674</v>
      </c>
      <c r="BF17" t="s">
        <v>674</v>
      </c>
      <c r="BG17" t="s">
        <v>674</v>
      </c>
      <c r="BH17" t="s">
        <v>674</v>
      </c>
      <c r="BI17" t="s">
        <v>674</v>
      </c>
      <c r="BJ17" t="s">
        <v>674</v>
      </c>
      <c r="BK17" t="s">
        <v>674</v>
      </c>
      <c r="BL17" t="s">
        <v>674</v>
      </c>
      <c r="BM17" t="s">
        <v>674</v>
      </c>
      <c r="BN17" t="s">
        <v>674</v>
      </c>
      <c r="BO17" t="s">
        <v>674</v>
      </c>
      <c r="BP17" t="s">
        <v>674</v>
      </c>
      <c r="BQ17" t="s">
        <v>674</v>
      </c>
      <c r="BR17" t="s">
        <v>674</v>
      </c>
      <c r="BS17" t="s">
        <v>674</v>
      </c>
      <c r="BT17" t="s">
        <v>750</v>
      </c>
      <c r="BU17" t="s">
        <v>674</v>
      </c>
      <c r="BV17" t="s">
        <v>674</v>
      </c>
      <c r="BW17" t="s">
        <v>674</v>
      </c>
      <c r="BX17" t="s">
        <v>674</v>
      </c>
      <c r="BY17" t="s">
        <v>674</v>
      </c>
      <c r="BZ17" t="s">
        <v>674</v>
      </c>
      <c r="CA17" t="s">
        <v>674</v>
      </c>
      <c r="CB17" t="s">
        <v>674</v>
      </c>
      <c r="CC17" t="s">
        <v>674</v>
      </c>
      <c r="CD17" t="s">
        <v>674</v>
      </c>
      <c r="CE17" t="s">
        <v>674</v>
      </c>
      <c r="CF17" t="s">
        <v>674</v>
      </c>
      <c r="CG17" t="s">
        <v>674</v>
      </c>
      <c r="CH17" t="s">
        <v>674</v>
      </c>
      <c r="CI17" t="s">
        <v>674</v>
      </c>
    </row>
    <row r="18" spans="1:87" x14ac:dyDescent="0.25">
      <c r="A18" t="s">
        <v>899</v>
      </c>
      <c r="B18" t="s">
        <v>103</v>
      </c>
      <c r="C18">
        <v>2004</v>
      </c>
      <c r="D18" t="s">
        <v>900</v>
      </c>
      <c r="E18" t="s">
        <v>901</v>
      </c>
      <c r="F18" t="s">
        <v>674</v>
      </c>
      <c r="G18" t="s">
        <v>674</v>
      </c>
      <c r="H18" t="s">
        <v>674</v>
      </c>
      <c r="I18" t="s">
        <v>902</v>
      </c>
      <c r="J18" t="s">
        <v>903</v>
      </c>
      <c r="K18" t="s">
        <v>904</v>
      </c>
      <c r="L18" t="s">
        <v>905</v>
      </c>
      <c r="M18" s="1">
        <v>46274.90053240741</v>
      </c>
      <c r="N18" s="1">
        <v>46281.520995370367</v>
      </c>
      <c r="O18" s="1">
        <v>46274.90053240741</v>
      </c>
      <c r="P18" t="s">
        <v>674</v>
      </c>
      <c r="Q18" t="s">
        <v>674</v>
      </c>
      <c r="T18" t="s">
        <v>674</v>
      </c>
      <c r="U18" t="s">
        <v>674</v>
      </c>
      <c r="V18" t="s">
        <v>674</v>
      </c>
      <c r="W18" t="s">
        <v>674</v>
      </c>
      <c r="X18" t="s">
        <v>674</v>
      </c>
      <c r="Y18" t="s">
        <v>674</v>
      </c>
      <c r="Z18" t="s">
        <v>674</v>
      </c>
      <c r="AA18" t="s">
        <v>906</v>
      </c>
      <c r="AB18" t="s">
        <v>674</v>
      </c>
      <c r="AC18" t="s">
        <v>710</v>
      </c>
      <c r="AD18" t="s">
        <v>907</v>
      </c>
      <c r="AE18" t="s">
        <v>908</v>
      </c>
      <c r="AF18" t="s">
        <v>674</v>
      </c>
      <c r="AG18" t="s">
        <v>674</v>
      </c>
      <c r="AH18" t="s">
        <v>99</v>
      </c>
      <c r="AJ18" t="s">
        <v>674</v>
      </c>
      <c r="AK18" t="s">
        <v>674</v>
      </c>
      <c r="AL18" t="s">
        <v>909</v>
      </c>
      <c r="AM18" t="s">
        <v>674</v>
      </c>
      <c r="AN18" t="s">
        <v>674</v>
      </c>
      <c r="AO18" t="s">
        <v>674</v>
      </c>
      <c r="AP18" t="s">
        <v>674</v>
      </c>
      <c r="AQ18" t="s">
        <v>674</v>
      </c>
      <c r="AR18" t="s">
        <v>674</v>
      </c>
      <c r="AS18" t="s">
        <v>674</v>
      </c>
      <c r="AT18" t="s">
        <v>674</v>
      </c>
      <c r="AU18" t="s">
        <v>674</v>
      </c>
      <c r="AV18" t="s">
        <v>674</v>
      </c>
      <c r="AW18" t="s">
        <v>674</v>
      </c>
      <c r="AX18" t="s">
        <v>674</v>
      </c>
      <c r="AY18" t="s">
        <v>674</v>
      </c>
      <c r="AZ18" t="s">
        <v>674</v>
      </c>
      <c r="BA18" t="s">
        <v>674</v>
      </c>
      <c r="BB18" t="s">
        <v>674</v>
      </c>
      <c r="BC18" t="s">
        <v>674</v>
      </c>
      <c r="BD18" t="s">
        <v>674</v>
      </c>
      <c r="BE18" t="s">
        <v>674</v>
      </c>
      <c r="BF18" t="s">
        <v>674</v>
      </c>
      <c r="BG18" t="s">
        <v>674</v>
      </c>
      <c r="BH18" t="s">
        <v>674</v>
      </c>
      <c r="BI18" t="s">
        <v>674</v>
      </c>
      <c r="BJ18" t="s">
        <v>674</v>
      </c>
      <c r="BK18" t="s">
        <v>674</v>
      </c>
      <c r="BL18" t="s">
        <v>674</v>
      </c>
      <c r="BM18" t="s">
        <v>674</v>
      </c>
      <c r="BN18" t="s">
        <v>674</v>
      </c>
      <c r="BO18" t="s">
        <v>674</v>
      </c>
      <c r="BP18" t="s">
        <v>674</v>
      </c>
      <c r="BQ18" t="s">
        <v>674</v>
      </c>
      <c r="BR18" t="s">
        <v>674</v>
      </c>
      <c r="BS18" t="s">
        <v>674</v>
      </c>
      <c r="BT18" t="s">
        <v>674</v>
      </c>
      <c r="BU18" t="s">
        <v>674</v>
      </c>
      <c r="BV18" t="s">
        <v>674</v>
      </c>
      <c r="BW18" t="s">
        <v>674</v>
      </c>
      <c r="BX18" t="s">
        <v>674</v>
      </c>
      <c r="BY18" t="s">
        <v>674</v>
      </c>
      <c r="BZ18" t="s">
        <v>674</v>
      </c>
      <c r="CA18" t="s">
        <v>674</v>
      </c>
      <c r="CB18" t="s">
        <v>674</v>
      </c>
      <c r="CC18" t="s">
        <v>674</v>
      </c>
      <c r="CD18" t="s">
        <v>674</v>
      </c>
      <c r="CE18" t="s">
        <v>674</v>
      </c>
      <c r="CF18" t="s">
        <v>674</v>
      </c>
      <c r="CG18" t="s">
        <v>674</v>
      </c>
      <c r="CH18" t="s">
        <v>674</v>
      </c>
      <c r="CI18" t="s">
        <v>674</v>
      </c>
    </row>
    <row r="19" spans="1:87" x14ac:dyDescent="0.25">
      <c r="A19" t="s">
        <v>1040</v>
      </c>
      <c r="B19" t="s">
        <v>88</v>
      </c>
      <c r="C19">
        <v>2022</v>
      </c>
      <c r="D19" t="s">
        <v>1041</v>
      </c>
      <c r="E19" t="s">
        <v>1042</v>
      </c>
      <c r="F19" t="s">
        <v>1043</v>
      </c>
      <c r="G19" t="s">
        <v>674</v>
      </c>
      <c r="H19" t="s">
        <v>1044</v>
      </c>
      <c r="I19" t="s">
        <v>1045</v>
      </c>
      <c r="J19" t="s">
        <v>1046</v>
      </c>
      <c r="K19" t="s">
        <v>1047</v>
      </c>
      <c r="L19" t="s">
        <v>1048</v>
      </c>
      <c r="M19" s="1">
        <v>46276.556423611109</v>
      </c>
      <c r="N19" s="1">
        <v>46276.556446759256</v>
      </c>
      <c r="O19" s="1">
        <v>46276.556423611109</v>
      </c>
      <c r="P19" t="s">
        <v>1049</v>
      </c>
      <c r="Q19" t="s">
        <v>674</v>
      </c>
      <c r="R19">
        <v>4</v>
      </c>
      <c r="S19">
        <v>2022</v>
      </c>
      <c r="T19" t="s">
        <v>674</v>
      </c>
      <c r="U19" t="s">
        <v>1050</v>
      </c>
      <c r="V19" t="s">
        <v>674</v>
      </c>
      <c r="W19" t="s">
        <v>674</v>
      </c>
      <c r="X19" t="s">
        <v>674</v>
      </c>
      <c r="Y19" t="s">
        <v>674</v>
      </c>
      <c r="Z19" t="s">
        <v>674</v>
      </c>
      <c r="AA19" t="s">
        <v>674</v>
      </c>
      <c r="AB19" t="s">
        <v>674</v>
      </c>
      <c r="AC19" t="s">
        <v>97</v>
      </c>
      <c r="AD19" t="s">
        <v>674</v>
      </c>
      <c r="AE19" t="s">
        <v>674</v>
      </c>
      <c r="AF19" t="s">
        <v>674</v>
      </c>
      <c r="AG19" t="s">
        <v>674</v>
      </c>
      <c r="AH19" t="s">
        <v>99</v>
      </c>
      <c r="AJ19" t="s">
        <v>674</v>
      </c>
      <c r="AK19" t="s">
        <v>674</v>
      </c>
      <c r="AL19" t="s">
        <v>1051</v>
      </c>
      <c r="AM19" t="s">
        <v>674</v>
      </c>
      <c r="AN19" t="s">
        <v>674</v>
      </c>
      <c r="AO19" t="s">
        <v>712</v>
      </c>
      <c r="AP19" t="s">
        <v>674</v>
      </c>
      <c r="AQ19" t="s">
        <v>674</v>
      </c>
      <c r="AR19" t="s">
        <v>674</v>
      </c>
      <c r="AS19" t="s">
        <v>674</v>
      </c>
      <c r="AT19" t="s">
        <v>674</v>
      </c>
      <c r="AU19" t="s">
        <v>674</v>
      </c>
      <c r="AV19" t="s">
        <v>674</v>
      </c>
      <c r="AW19" t="s">
        <v>674</v>
      </c>
      <c r="AX19" t="s">
        <v>674</v>
      </c>
      <c r="AY19" t="s">
        <v>674</v>
      </c>
      <c r="AZ19" t="s">
        <v>674</v>
      </c>
      <c r="BA19" t="s">
        <v>674</v>
      </c>
      <c r="BB19" t="s">
        <v>674</v>
      </c>
      <c r="BC19" t="s">
        <v>674</v>
      </c>
      <c r="BD19" t="s">
        <v>674</v>
      </c>
      <c r="BE19" t="s">
        <v>674</v>
      </c>
      <c r="BF19" t="s">
        <v>674</v>
      </c>
      <c r="BG19" t="s">
        <v>674</v>
      </c>
      <c r="BH19" t="s">
        <v>674</v>
      </c>
      <c r="BI19" t="s">
        <v>674</v>
      </c>
      <c r="BJ19" t="s">
        <v>674</v>
      </c>
      <c r="BK19" t="s">
        <v>674</v>
      </c>
      <c r="BL19" t="s">
        <v>674</v>
      </c>
      <c r="BM19" t="s">
        <v>674</v>
      </c>
      <c r="BN19" t="s">
        <v>674</v>
      </c>
      <c r="BO19" t="s">
        <v>674</v>
      </c>
      <c r="BP19" t="s">
        <v>674</v>
      </c>
      <c r="BQ19" t="s">
        <v>674</v>
      </c>
      <c r="BR19" t="s">
        <v>674</v>
      </c>
      <c r="BS19" t="s">
        <v>674</v>
      </c>
      <c r="BT19" t="s">
        <v>674</v>
      </c>
      <c r="BU19" t="s">
        <v>674</v>
      </c>
      <c r="BV19" t="s">
        <v>674</v>
      </c>
      <c r="BW19" t="s">
        <v>674</v>
      </c>
      <c r="BX19" t="s">
        <v>674</v>
      </c>
      <c r="BY19" t="s">
        <v>674</v>
      </c>
      <c r="BZ19" t="s">
        <v>674</v>
      </c>
      <c r="CA19" t="s">
        <v>674</v>
      </c>
      <c r="CB19" t="s">
        <v>674</v>
      </c>
      <c r="CC19" t="s">
        <v>674</v>
      </c>
      <c r="CD19" t="s">
        <v>674</v>
      </c>
      <c r="CE19" t="s">
        <v>674</v>
      </c>
      <c r="CF19" t="s">
        <v>674</v>
      </c>
      <c r="CG19" t="s">
        <v>674</v>
      </c>
      <c r="CH19" t="s">
        <v>674</v>
      </c>
      <c r="CI19" t="s">
        <v>674</v>
      </c>
    </row>
    <row r="20" spans="1:87" x14ac:dyDescent="0.25">
      <c r="A20" t="s">
        <v>1028</v>
      </c>
      <c r="B20" t="s">
        <v>126</v>
      </c>
      <c r="C20">
        <v>2025</v>
      </c>
      <c r="D20" t="s">
        <v>1029</v>
      </c>
      <c r="E20" t="s">
        <v>1030</v>
      </c>
      <c r="F20" t="s">
        <v>1031</v>
      </c>
      <c r="G20" t="s">
        <v>1032</v>
      </c>
      <c r="H20" t="s">
        <v>674</v>
      </c>
      <c r="I20" t="s">
        <v>1033</v>
      </c>
      <c r="J20" t="s">
        <v>1034</v>
      </c>
      <c r="K20" t="s">
        <v>1035</v>
      </c>
      <c r="L20" t="s">
        <v>1036</v>
      </c>
      <c r="M20" s="1">
        <v>46276.556377314817</v>
      </c>
      <c r="N20" s="1">
        <v>46276.556400462963</v>
      </c>
      <c r="O20" s="1">
        <v>46276.556377314817</v>
      </c>
      <c r="P20" t="s">
        <v>1037</v>
      </c>
      <c r="Q20" t="s">
        <v>674</v>
      </c>
      <c r="T20" t="s">
        <v>674</v>
      </c>
      <c r="U20" t="s">
        <v>674</v>
      </c>
      <c r="V20" t="s">
        <v>674</v>
      </c>
      <c r="W20" t="s">
        <v>674</v>
      </c>
      <c r="X20" t="s">
        <v>674</v>
      </c>
      <c r="Y20" t="s">
        <v>674</v>
      </c>
      <c r="Z20" t="s">
        <v>674</v>
      </c>
      <c r="AA20" t="s">
        <v>133</v>
      </c>
      <c r="AB20" t="s">
        <v>1038</v>
      </c>
      <c r="AC20" t="s">
        <v>97</v>
      </c>
      <c r="AD20" t="s">
        <v>135</v>
      </c>
      <c r="AE20" t="s">
        <v>674</v>
      </c>
      <c r="AF20" t="s">
        <v>674</v>
      </c>
      <c r="AG20" t="s">
        <v>674</v>
      </c>
      <c r="AH20" t="s">
        <v>99</v>
      </c>
      <c r="AJ20" t="s">
        <v>674</v>
      </c>
      <c r="AK20" t="s">
        <v>674</v>
      </c>
      <c r="AL20" t="s">
        <v>1039</v>
      </c>
      <c r="AM20" t="s">
        <v>674</v>
      </c>
      <c r="AN20" t="s">
        <v>674</v>
      </c>
      <c r="AO20" t="s">
        <v>712</v>
      </c>
      <c r="AP20" t="s">
        <v>674</v>
      </c>
      <c r="AQ20" t="s">
        <v>674</v>
      </c>
      <c r="AR20" t="s">
        <v>674</v>
      </c>
      <c r="AS20" t="s">
        <v>674</v>
      </c>
      <c r="AT20" t="s">
        <v>674</v>
      </c>
      <c r="AU20" t="s">
        <v>674</v>
      </c>
      <c r="AV20" t="s">
        <v>674</v>
      </c>
      <c r="AW20" t="s">
        <v>674</v>
      </c>
      <c r="AX20" t="s">
        <v>674</v>
      </c>
      <c r="AY20" t="s">
        <v>674</v>
      </c>
      <c r="AZ20" t="s">
        <v>674</v>
      </c>
      <c r="BA20" t="s">
        <v>674</v>
      </c>
      <c r="BB20" t="s">
        <v>674</v>
      </c>
      <c r="BC20" t="s">
        <v>674</v>
      </c>
      <c r="BD20" t="s">
        <v>674</v>
      </c>
      <c r="BE20" t="s">
        <v>674</v>
      </c>
      <c r="BF20" t="s">
        <v>674</v>
      </c>
      <c r="BG20" t="s">
        <v>674</v>
      </c>
      <c r="BH20" t="s">
        <v>674</v>
      </c>
      <c r="BI20" t="s">
        <v>674</v>
      </c>
      <c r="BJ20" t="s">
        <v>674</v>
      </c>
      <c r="BK20" t="s">
        <v>674</v>
      </c>
      <c r="BL20" t="s">
        <v>674</v>
      </c>
      <c r="BM20" t="s">
        <v>674</v>
      </c>
      <c r="BN20" t="s">
        <v>674</v>
      </c>
      <c r="BO20" t="s">
        <v>674</v>
      </c>
      <c r="BP20" t="s">
        <v>674</v>
      </c>
      <c r="BQ20" t="s">
        <v>674</v>
      </c>
      <c r="BR20" t="s">
        <v>674</v>
      </c>
      <c r="BS20" t="s">
        <v>674</v>
      </c>
      <c r="BT20" t="s">
        <v>1031</v>
      </c>
      <c r="BU20" t="s">
        <v>674</v>
      </c>
      <c r="BV20" t="s">
        <v>674</v>
      </c>
      <c r="BW20" t="s">
        <v>674</v>
      </c>
      <c r="BX20" t="s">
        <v>674</v>
      </c>
      <c r="BY20" t="s">
        <v>674</v>
      </c>
      <c r="BZ20" t="s">
        <v>674</v>
      </c>
      <c r="CA20" t="s">
        <v>674</v>
      </c>
      <c r="CB20" t="s">
        <v>674</v>
      </c>
      <c r="CC20" t="s">
        <v>674</v>
      </c>
      <c r="CD20" t="s">
        <v>674</v>
      </c>
      <c r="CE20" t="s">
        <v>674</v>
      </c>
      <c r="CF20" t="s">
        <v>674</v>
      </c>
      <c r="CG20" t="s">
        <v>674</v>
      </c>
      <c r="CH20" t="s">
        <v>674</v>
      </c>
      <c r="CI20" t="s">
        <v>674</v>
      </c>
    </row>
    <row r="21" spans="1:87" x14ac:dyDescent="0.25">
      <c r="A21" t="s">
        <v>1008</v>
      </c>
      <c r="B21" t="s">
        <v>88</v>
      </c>
      <c r="C21">
        <v>2025</v>
      </c>
      <c r="D21" t="s">
        <v>1009</v>
      </c>
      <c r="E21" t="s">
        <v>1010</v>
      </c>
      <c r="F21" t="s">
        <v>297</v>
      </c>
      <c r="G21" t="s">
        <v>674</v>
      </c>
      <c r="H21" t="s">
        <v>298</v>
      </c>
      <c r="I21" t="s">
        <v>1011</v>
      </c>
      <c r="J21" t="s">
        <v>1012</v>
      </c>
      <c r="K21" t="s">
        <v>1013</v>
      </c>
      <c r="L21" t="s">
        <v>1014</v>
      </c>
      <c r="M21" s="1">
        <v>46276.556273148148</v>
      </c>
      <c r="N21" s="1">
        <v>46276.556284722225</v>
      </c>
      <c r="O21" s="1">
        <v>46276.556273148148</v>
      </c>
      <c r="P21" t="s">
        <v>1015</v>
      </c>
      <c r="Q21" t="s">
        <v>674</v>
      </c>
      <c r="R21">
        <v>1</v>
      </c>
      <c r="S21">
        <v>15</v>
      </c>
      <c r="T21" t="s">
        <v>674</v>
      </c>
      <c r="U21" t="s">
        <v>302</v>
      </c>
      <c r="V21" t="s">
        <v>674</v>
      </c>
      <c r="W21" t="s">
        <v>674</v>
      </c>
      <c r="X21" t="s">
        <v>674</v>
      </c>
      <c r="Y21" t="s">
        <v>674</v>
      </c>
      <c r="Z21" t="s">
        <v>674</v>
      </c>
      <c r="AA21" t="s">
        <v>674</v>
      </c>
      <c r="AB21" t="s">
        <v>674</v>
      </c>
      <c r="AC21" t="s">
        <v>97</v>
      </c>
      <c r="AD21" t="s">
        <v>674</v>
      </c>
      <c r="AE21" t="s">
        <v>674</v>
      </c>
      <c r="AF21" t="s">
        <v>674</v>
      </c>
      <c r="AG21" t="s">
        <v>674</v>
      </c>
      <c r="AH21" t="s">
        <v>99</v>
      </c>
      <c r="AJ21" t="s">
        <v>674</v>
      </c>
      <c r="AK21" t="s">
        <v>674</v>
      </c>
      <c r="AL21" t="s">
        <v>1016</v>
      </c>
      <c r="AM21" t="s">
        <v>674</v>
      </c>
      <c r="AN21" t="s">
        <v>674</v>
      </c>
      <c r="AO21" t="s">
        <v>712</v>
      </c>
      <c r="AP21" t="s">
        <v>674</v>
      </c>
      <c r="AQ21" t="s">
        <v>674</v>
      </c>
      <c r="AR21" t="s">
        <v>674</v>
      </c>
      <c r="AS21" t="s">
        <v>674</v>
      </c>
      <c r="AT21" t="s">
        <v>674</v>
      </c>
      <c r="AU21" t="s">
        <v>674</v>
      </c>
      <c r="AV21" t="s">
        <v>674</v>
      </c>
      <c r="AW21" t="s">
        <v>674</v>
      </c>
      <c r="AX21" t="s">
        <v>674</v>
      </c>
      <c r="AY21" t="s">
        <v>674</v>
      </c>
      <c r="AZ21" t="s">
        <v>674</v>
      </c>
      <c r="BA21" t="s">
        <v>674</v>
      </c>
      <c r="BB21" t="s">
        <v>674</v>
      </c>
      <c r="BC21" t="s">
        <v>674</v>
      </c>
      <c r="BD21" t="s">
        <v>674</v>
      </c>
      <c r="BE21" t="s">
        <v>674</v>
      </c>
      <c r="BF21" t="s">
        <v>674</v>
      </c>
      <c r="BG21" t="s">
        <v>674</v>
      </c>
      <c r="BH21" t="s">
        <v>674</v>
      </c>
      <c r="BI21" t="s">
        <v>674</v>
      </c>
      <c r="BJ21" t="s">
        <v>674</v>
      </c>
      <c r="BK21" t="s">
        <v>674</v>
      </c>
      <c r="BL21" t="s">
        <v>674</v>
      </c>
      <c r="BM21" t="s">
        <v>674</v>
      </c>
      <c r="BN21" t="s">
        <v>674</v>
      </c>
      <c r="BO21" t="s">
        <v>674</v>
      </c>
      <c r="BP21" t="s">
        <v>674</v>
      </c>
      <c r="BQ21" t="s">
        <v>674</v>
      </c>
      <c r="BR21" t="s">
        <v>674</v>
      </c>
      <c r="BS21" t="s">
        <v>674</v>
      </c>
      <c r="BT21" t="s">
        <v>674</v>
      </c>
      <c r="BU21" t="s">
        <v>674</v>
      </c>
      <c r="BV21" t="s">
        <v>674</v>
      </c>
      <c r="BW21" t="s">
        <v>674</v>
      </c>
      <c r="BX21" t="s">
        <v>674</v>
      </c>
      <c r="BY21" t="s">
        <v>674</v>
      </c>
      <c r="BZ21" t="s">
        <v>674</v>
      </c>
      <c r="CA21" t="s">
        <v>674</v>
      </c>
      <c r="CB21" t="s">
        <v>674</v>
      </c>
      <c r="CC21" t="s">
        <v>674</v>
      </c>
      <c r="CD21" t="s">
        <v>674</v>
      </c>
      <c r="CE21" t="s">
        <v>674</v>
      </c>
      <c r="CF21" t="s">
        <v>674</v>
      </c>
      <c r="CG21" t="s">
        <v>674</v>
      </c>
      <c r="CH21" t="s">
        <v>674</v>
      </c>
      <c r="CI21" t="s">
        <v>674</v>
      </c>
    </row>
    <row r="22" spans="1:87" x14ac:dyDescent="0.25">
      <c r="A22" t="s">
        <v>987</v>
      </c>
      <c r="B22" t="s">
        <v>88</v>
      </c>
      <c r="C22">
        <v>2025</v>
      </c>
      <c r="D22" t="s">
        <v>988</v>
      </c>
      <c r="E22" t="s">
        <v>989</v>
      </c>
      <c r="F22" t="s">
        <v>499</v>
      </c>
      <c r="G22" t="s">
        <v>674</v>
      </c>
      <c r="H22" t="s">
        <v>500</v>
      </c>
      <c r="I22" t="s">
        <v>990</v>
      </c>
      <c r="J22" t="s">
        <v>991</v>
      </c>
      <c r="K22" t="s">
        <v>992</v>
      </c>
      <c r="L22" t="s">
        <v>993</v>
      </c>
      <c r="M22" s="1">
        <v>46276.55609953704</v>
      </c>
      <c r="N22" s="1">
        <v>46276.556122685186</v>
      </c>
      <c r="O22" s="1">
        <v>46276.55609953704</v>
      </c>
      <c r="P22" t="s">
        <v>994</v>
      </c>
      <c r="Q22" t="s">
        <v>674</v>
      </c>
      <c r="R22">
        <v>8</v>
      </c>
      <c r="S22">
        <v>40</v>
      </c>
      <c r="T22" t="s">
        <v>674</v>
      </c>
      <c r="U22" t="s">
        <v>505</v>
      </c>
      <c r="V22" t="s">
        <v>674</v>
      </c>
      <c r="W22" t="s">
        <v>674</v>
      </c>
      <c r="X22" t="s">
        <v>674</v>
      </c>
      <c r="Y22" t="s">
        <v>674</v>
      </c>
      <c r="Z22" t="s">
        <v>674</v>
      </c>
      <c r="AA22" t="s">
        <v>674</v>
      </c>
      <c r="AB22" t="s">
        <v>674</v>
      </c>
      <c r="AC22" t="s">
        <v>97</v>
      </c>
      <c r="AD22" t="s">
        <v>122</v>
      </c>
      <c r="AE22" t="s">
        <v>674</v>
      </c>
      <c r="AF22" t="s">
        <v>674</v>
      </c>
      <c r="AG22" t="s">
        <v>674</v>
      </c>
      <c r="AH22" t="s">
        <v>99</v>
      </c>
      <c r="AJ22" t="s">
        <v>674</v>
      </c>
      <c r="AK22" t="s">
        <v>674</v>
      </c>
      <c r="AL22" t="s">
        <v>995</v>
      </c>
      <c r="AM22" t="s">
        <v>674</v>
      </c>
      <c r="AN22" t="s">
        <v>674</v>
      </c>
      <c r="AO22" t="s">
        <v>712</v>
      </c>
      <c r="AP22" t="s">
        <v>674</v>
      </c>
      <c r="AQ22" t="s">
        <v>674</v>
      </c>
      <c r="AR22" t="s">
        <v>674</v>
      </c>
      <c r="AS22" t="s">
        <v>674</v>
      </c>
      <c r="AT22" t="s">
        <v>674</v>
      </c>
      <c r="AU22" t="s">
        <v>674</v>
      </c>
      <c r="AV22" t="s">
        <v>674</v>
      </c>
      <c r="AW22" t="s">
        <v>674</v>
      </c>
      <c r="AX22" t="s">
        <v>674</v>
      </c>
      <c r="AY22" t="s">
        <v>674</v>
      </c>
      <c r="AZ22" t="s">
        <v>674</v>
      </c>
      <c r="BA22" t="s">
        <v>674</v>
      </c>
      <c r="BB22" t="s">
        <v>674</v>
      </c>
      <c r="BC22" t="s">
        <v>674</v>
      </c>
      <c r="BD22" t="s">
        <v>674</v>
      </c>
      <c r="BE22" t="s">
        <v>674</v>
      </c>
      <c r="BF22" t="s">
        <v>674</v>
      </c>
      <c r="BG22" t="s">
        <v>674</v>
      </c>
      <c r="BH22" t="s">
        <v>674</v>
      </c>
      <c r="BI22" t="s">
        <v>674</v>
      </c>
      <c r="BJ22" t="s">
        <v>674</v>
      </c>
      <c r="BK22" t="s">
        <v>674</v>
      </c>
      <c r="BL22" t="s">
        <v>674</v>
      </c>
      <c r="BM22" t="s">
        <v>674</v>
      </c>
      <c r="BN22" t="s">
        <v>674</v>
      </c>
      <c r="BO22" t="s">
        <v>674</v>
      </c>
      <c r="BP22" t="s">
        <v>674</v>
      </c>
      <c r="BQ22" t="s">
        <v>674</v>
      </c>
      <c r="BR22" t="s">
        <v>674</v>
      </c>
      <c r="BS22" t="s">
        <v>674</v>
      </c>
      <c r="BT22" t="s">
        <v>674</v>
      </c>
      <c r="BU22" t="s">
        <v>674</v>
      </c>
      <c r="BV22" t="s">
        <v>674</v>
      </c>
      <c r="BW22" t="s">
        <v>674</v>
      </c>
      <c r="BX22" t="s">
        <v>674</v>
      </c>
      <c r="BY22" t="s">
        <v>674</v>
      </c>
      <c r="BZ22" t="s">
        <v>674</v>
      </c>
      <c r="CA22" t="s">
        <v>674</v>
      </c>
      <c r="CB22" t="s">
        <v>674</v>
      </c>
      <c r="CC22" t="s">
        <v>674</v>
      </c>
      <c r="CD22" t="s">
        <v>674</v>
      </c>
      <c r="CE22" t="s">
        <v>674</v>
      </c>
      <c r="CF22" t="s">
        <v>674</v>
      </c>
      <c r="CG22" t="s">
        <v>674</v>
      </c>
      <c r="CH22" t="s">
        <v>674</v>
      </c>
      <c r="CI22" t="s">
        <v>674</v>
      </c>
    </row>
    <row r="23" spans="1:87" x14ac:dyDescent="0.25">
      <c r="A23" t="s">
        <v>978</v>
      </c>
      <c r="B23" t="s">
        <v>88</v>
      </c>
      <c r="C23">
        <v>2019</v>
      </c>
      <c r="D23" t="s">
        <v>979</v>
      </c>
      <c r="E23" t="s">
        <v>980</v>
      </c>
      <c r="F23" t="s">
        <v>479</v>
      </c>
      <c r="G23" t="s">
        <v>674</v>
      </c>
      <c r="H23" t="s">
        <v>480</v>
      </c>
      <c r="I23" t="s">
        <v>981</v>
      </c>
      <c r="J23" t="s">
        <v>982</v>
      </c>
      <c r="K23" t="s">
        <v>983</v>
      </c>
      <c r="L23" t="s">
        <v>984</v>
      </c>
      <c r="M23" s="1">
        <v>46276.556030092594</v>
      </c>
      <c r="N23" s="1">
        <v>46276.556041666663</v>
      </c>
      <c r="O23" s="1">
        <v>46276.556030092594</v>
      </c>
      <c r="P23" t="s">
        <v>985</v>
      </c>
      <c r="Q23" t="s">
        <v>674</v>
      </c>
      <c r="R23">
        <v>1</v>
      </c>
      <c r="S23">
        <v>10</v>
      </c>
      <c r="T23" t="s">
        <v>674</v>
      </c>
      <c r="U23" t="s">
        <v>479</v>
      </c>
      <c r="V23" t="s">
        <v>674</v>
      </c>
      <c r="W23" t="s">
        <v>674</v>
      </c>
      <c r="X23" t="s">
        <v>674</v>
      </c>
      <c r="Y23" t="s">
        <v>674</v>
      </c>
      <c r="Z23" t="s">
        <v>674</v>
      </c>
      <c r="AA23" t="s">
        <v>674</v>
      </c>
      <c r="AB23" t="s">
        <v>674</v>
      </c>
      <c r="AC23" t="s">
        <v>97</v>
      </c>
      <c r="AD23" t="s">
        <v>674</v>
      </c>
      <c r="AE23" t="s">
        <v>674</v>
      </c>
      <c r="AF23" t="s">
        <v>674</v>
      </c>
      <c r="AG23" t="s">
        <v>674</v>
      </c>
      <c r="AH23" t="s">
        <v>99</v>
      </c>
      <c r="AJ23" t="s">
        <v>674</v>
      </c>
      <c r="AK23" t="s">
        <v>674</v>
      </c>
      <c r="AL23" t="s">
        <v>986</v>
      </c>
      <c r="AM23" t="s">
        <v>674</v>
      </c>
      <c r="AN23" t="s">
        <v>674</v>
      </c>
      <c r="AO23" t="s">
        <v>712</v>
      </c>
      <c r="AP23" t="s">
        <v>674</v>
      </c>
      <c r="AQ23" t="s">
        <v>674</v>
      </c>
      <c r="AR23" t="s">
        <v>674</v>
      </c>
      <c r="AS23" t="s">
        <v>674</v>
      </c>
      <c r="AT23" t="s">
        <v>674</v>
      </c>
      <c r="AU23" t="s">
        <v>674</v>
      </c>
      <c r="AV23" t="s">
        <v>674</v>
      </c>
      <c r="AW23" t="s">
        <v>674</v>
      </c>
      <c r="AX23" t="s">
        <v>674</v>
      </c>
      <c r="AY23" t="s">
        <v>674</v>
      </c>
      <c r="AZ23" t="s">
        <v>674</v>
      </c>
      <c r="BA23" t="s">
        <v>674</v>
      </c>
      <c r="BB23" t="s">
        <v>674</v>
      </c>
      <c r="BC23" t="s">
        <v>674</v>
      </c>
      <c r="BD23" t="s">
        <v>674</v>
      </c>
      <c r="BE23" t="s">
        <v>674</v>
      </c>
      <c r="BF23" t="s">
        <v>674</v>
      </c>
      <c r="BG23" t="s">
        <v>674</v>
      </c>
      <c r="BH23" t="s">
        <v>674</v>
      </c>
      <c r="BI23" t="s">
        <v>674</v>
      </c>
      <c r="BJ23" t="s">
        <v>674</v>
      </c>
      <c r="BK23" t="s">
        <v>674</v>
      </c>
      <c r="BL23" t="s">
        <v>674</v>
      </c>
      <c r="BM23" t="s">
        <v>674</v>
      </c>
      <c r="BN23" t="s">
        <v>674</v>
      </c>
      <c r="BO23" t="s">
        <v>674</v>
      </c>
      <c r="BP23" t="s">
        <v>674</v>
      </c>
      <c r="BQ23" t="s">
        <v>674</v>
      </c>
      <c r="BR23" t="s">
        <v>674</v>
      </c>
      <c r="BS23" t="s">
        <v>674</v>
      </c>
      <c r="BT23" t="s">
        <v>674</v>
      </c>
      <c r="BU23" t="s">
        <v>674</v>
      </c>
      <c r="BV23" t="s">
        <v>674</v>
      </c>
      <c r="BW23" t="s">
        <v>674</v>
      </c>
      <c r="BX23" t="s">
        <v>674</v>
      </c>
      <c r="BY23" t="s">
        <v>674</v>
      </c>
      <c r="BZ23" t="s">
        <v>674</v>
      </c>
      <c r="CA23" t="s">
        <v>674</v>
      </c>
      <c r="CB23" t="s">
        <v>674</v>
      </c>
      <c r="CC23" t="s">
        <v>674</v>
      </c>
      <c r="CD23" t="s">
        <v>674</v>
      </c>
      <c r="CE23" t="s">
        <v>674</v>
      </c>
      <c r="CF23" t="s">
        <v>674</v>
      </c>
      <c r="CG23" t="s">
        <v>674</v>
      </c>
      <c r="CH23" t="s">
        <v>674</v>
      </c>
      <c r="CI23" t="s">
        <v>674</v>
      </c>
    </row>
    <row r="24" spans="1:87" x14ac:dyDescent="0.25">
      <c r="A24" t="s">
        <v>889</v>
      </c>
      <c r="B24" t="s">
        <v>890</v>
      </c>
      <c r="C24">
        <v>2016</v>
      </c>
      <c r="D24" t="s">
        <v>891</v>
      </c>
      <c r="E24" t="s">
        <v>892</v>
      </c>
      <c r="F24" t="s">
        <v>674</v>
      </c>
      <c r="G24" t="s">
        <v>893</v>
      </c>
      <c r="H24" t="s">
        <v>674</v>
      </c>
      <c r="I24" t="s">
        <v>674</v>
      </c>
      <c r="J24" t="s">
        <v>674</v>
      </c>
      <c r="K24" t="s">
        <v>674</v>
      </c>
      <c r="L24" t="s">
        <v>894</v>
      </c>
      <c r="M24" s="1">
        <v>46274.900497685187</v>
      </c>
      <c r="N24" s="1">
        <v>46274.900497685187</v>
      </c>
      <c r="O24" s="1"/>
      <c r="P24" t="s">
        <v>674</v>
      </c>
      <c r="Q24" t="s">
        <v>674</v>
      </c>
      <c r="T24" t="s">
        <v>674</v>
      </c>
      <c r="U24" t="s">
        <v>674</v>
      </c>
      <c r="V24" t="s">
        <v>674</v>
      </c>
      <c r="W24" t="s">
        <v>895</v>
      </c>
      <c r="X24" t="s">
        <v>674</v>
      </c>
      <c r="Y24" t="s">
        <v>674</v>
      </c>
      <c r="Z24" t="s">
        <v>674</v>
      </c>
      <c r="AA24" t="s">
        <v>896</v>
      </c>
      <c r="AB24" t="s">
        <v>897</v>
      </c>
      <c r="AC24" t="s">
        <v>97</v>
      </c>
      <c r="AD24" t="s">
        <v>674</v>
      </c>
      <c r="AE24" t="s">
        <v>674</v>
      </c>
      <c r="AF24" t="s">
        <v>674</v>
      </c>
      <c r="AG24" t="s">
        <v>674</v>
      </c>
      <c r="AH24" t="s">
        <v>898</v>
      </c>
      <c r="AI24">
        <v>621312</v>
      </c>
      <c r="AJ24" t="s">
        <v>674</v>
      </c>
      <c r="AK24" t="s">
        <v>674</v>
      </c>
      <c r="AL24" t="s">
        <v>674</v>
      </c>
      <c r="AM24" t="s">
        <v>674</v>
      </c>
      <c r="AN24" t="s">
        <v>674</v>
      </c>
      <c r="AO24" t="s">
        <v>712</v>
      </c>
      <c r="AP24" t="s">
        <v>674</v>
      </c>
      <c r="AQ24" t="s">
        <v>674</v>
      </c>
      <c r="AR24" t="s">
        <v>674</v>
      </c>
      <c r="AS24" t="s">
        <v>674</v>
      </c>
      <c r="AT24" t="s">
        <v>674</v>
      </c>
      <c r="AU24" t="s">
        <v>674</v>
      </c>
      <c r="AV24" t="s">
        <v>674</v>
      </c>
      <c r="AW24" t="s">
        <v>674</v>
      </c>
      <c r="AX24" t="s">
        <v>674</v>
      </c>
      <c r="AY24" t="s">
        <v>674</v>
      </c>
      <c r="AZ24" t="s">
        <v>674</v>
      </c>
      <c r="BA24" t="s">
        <v>674</v>
      </c>
      <c r="BB24" t="s">
        <v>674</v>
      </c>
      <c r="BC24" t="s">
        <v>674</v>
      </c>
      <c r="BD24" t="s">
        <v>674</v>
      </c>
      <c r="BE24" t="s">
        <v>674</v>
      </c>
      <c r="BF24" t="s">
        <v>674</v>
      </c>
      <c r="BG24" t="s">
        <v>674</v>
      </c>
      <c r="BH24" t="s">
        <v>674</v>
      </c>
      <c r="BI24" t="s">
        <v>674</v>
      </c>
      <c r="BJ24" t="s">
        <v>674</v>
      </c>
      <c r="BK24" t="s">
        <v>674</v>
      </c>
      <c r="BL24" t="s">
        <v>674</v>
      </c>
      <c r="BM24" t="s">
        <v>674</v>
      </c>
      <c r="BN24" t="s">
        <v>674</v>
      </c>
      <c r="BO24" t="s">
        <v>674</v>
      </c>
      <c r="BP24" t="s">
        <v>674</v>
      </c>
      <c r="BQ24" t="s">
        <v>674</v>
      </c>
      <c r="BR24" t="s">
        <v>674</v>
      </c>
      <c r="BS24" t="s">
        <v>674</v>
      </c>
      <c r="BT24" t="s">
        <v>674</v>
      </c>
      <c r="BU24" t="s">
        <v>674</v>
      </c>
      <c r="BV24" t="s">
        <v>674</v>
      </c>
      <c r="BW24" t="s">
        <v>674</v>
      </c>
      <c r="BX24" t="s">
        <v>674</v>
      </c>
      <c r="BY24" t="s">
        <v>674</v>
      </c>
      <c r="BZ24" t="s">
        <v>674</v>
      </c>
      <c r="CA24" t="s">
        <v>674</v>
      </c>
      <c r="CB24" t="s">
        <v>674</v>
      </c>
      <c r="CC24" t="s">
        <v>674</v>
      </c>
      <c r="CD24" t="s">
        <v>674</v>
      </c>
      <c r="CE24" t="s">
        <v>674</v>
      </c>
      <c r="CF24" t="s">
        <v>674</v>
      </c>
      <c r="CG24" t="s">
        <v>674</v>
      </c>
      <c r="CH24" t="s">
        <v>674</v>
      </c>
      <c r="CI24" t="s">
        <v>674</v>
      </c>
    </row>
    <row r="25" spans="1:87" x14ac:dyDescent="0.25">
      <c r="A25" t="s">
        <v>877</v>
      </c>
      <c r="B25" t="s">
        <v>88</v>
      </c>
      <c r="D25" t="s">
        <v>871</v>
      </c>
      <c r="E25" t="s">
        <v>878</v>
      </c>
      <c r="F25" t="s">
        <v>674</v>
      </c>
      <c r="G25" t="s">
        <v>674</v>
      </c>
      <c r="H25" t="s">
        <v>674</v>
      </c>
      <c r="I25" t="s">
        <v>674</v>
      </c>
      <c r="J25" t="s">
        <v>674</v>
      </c>
      <c r="K25" t="s">
        <v>674</v>
      </c>
      <c r="L25" t="s">
        <v>674</v>
      </c>
      <c r="M25" s="1">
        <v>46274.900300925925</v>
      </c>
      <c r="N25" s="1">
        <v>46274.900300925925</v>
      </c>
      <c r="O25" s="1"/>
      <c r="P25" t="s">
        <v>674</v>
      </c>
      <c r="Q25" t="s">
        <v>674</v>
      </c>
      <c r="R25">
        <v>2</v>
      </c>
      <c r="T25" t="s">
        <v>674</v>
      </c>
      <c r="U25" t="s">
        <v>674</v>
      </c>
      <c r="V25" t="s">
        <v>674</v>
      </c>
      <c r="W25" t="s">
        <v>674</v>
      </c>
      <c r="X25" t="s">
        <v>674</v>
      </c>
      <c r="Y25" t="s">
        <v>674</v>
      </c>
      <c r="Z25" t="s">
        <v>674</v>
      </c>
      <c r="AA25" t="s">
        <v>674</v>
      </c>
      <c r="AB25" t="s">
        <v>674</v>
      </c>
      <c r="AC25" t="s">
        <v>710</v>
      </c>
      <c r="AD25" t="s">
        <v>674</v>
      </c>
      <c r="AE25" t="s">
        <v>674</v>
      </c>
      <c r="AF25" t="s">
        <v>674</v>
      </c>
      <c r="AG25" t="s">
        <v>674</v>
      </c>
      <c r="AH25" t="s">
        <v>163</v>
      </c>
      <c r="AJ25" t="s">
        <v>674</v>
      </c>
      <c r="AK25" t="s">
        <v>674</v>
      </c>
      <c r="AL25" t="s">
        <v>879</v>
      </c>
      <c r="AM25" t="s">
        <v>674</v>
      </c>
      <c r="AN25" t="s">
        <v>674</v>
      </c>
      <c r="AO25" t="s">
        <v>712</v>
      </c>
      <c r="AP25" t="s">
        <v>674</v>
      </c>
      <c r="AQ25" t="s">
        <v>674</v>
      </c>
      <c r="AR25" t="s">
        <v>674</v>
      </c>
      <c r="AS25" t="s">
        <v>674</v>
      </c>
      <c r="AT25" t="s">
        <v>674</v>
      </c>
      <c r="AU25" t="s">
        <v>674</v>
      </c>
      <c r="AV25" t="s">
        <v>674</v>
      </c>
      <c r="AW25" t="s">
        <v>674</v>
      </c>
      <c r="AX25" t="s">
        <v>674</v>
      </c>
      <c r="AY25" t="s">
        <v>674</v>
      </c>
      <c r="AZ25" t="s">
        <v>674</v>
      </c>
      <c r="BA25" t="s">
        <v>674</v>
      </c>
      <c r="BB25" t="s">
        <v>674</v>
      </c>
      <c r="BC25" t="s">
        <v>674</v>
      </c>
      <c r="BD25" t="s">
        <v>674</v>
      </c>
      <c r="BE25" t="s">
        <v>674</v>
      </c>
      <c r="BF25" t="s">
        <v>674</v>
      </c>
      <c r="BG25" t="s">
        <v>674</v>
      </c>
      <c r="BH25" t="s">
        <v>674</v>
      </c>
      <c r="BI25" t="s">
        <v>674</v>
      </c>
      <c r="BJ25" t="s">
        <v>674</v>
      </c>
      <c r="BK25" t="s">
        <v>674</v>
      </c>
      <c r="BL25" t="s">
        <v>674</v>
      </c>
      <c r="BM25" t="s">
        <v>674</v>
      </c>
      <c r="BN25" t="s">
        <v>674</v>
      </c>
      <c r="BO25" t="s">
        <v>674</v>
      </c>
      <c r="BP25" t="s">
        <v>674</v>
      </c>
      <c r="BQ25" t="s">
        <v>674</v>
      </c>
      <c r="BR25" t="s">
        <v>674</v>
      </c>
      <c r="BS25" t="s">
        <v>674</v>
      </c>
      <c r="BT25" t="s">
        <v>674</v>
      </c>
      <c r="BU25" t="s">
        <v>674</v>
      </c>
      <c r="BV25" t="s">
        <v>674</v>
      </c>
      <c r="BW25" t="s">
        <v>674</v>
      </c>
      <c r="BX25" t="s">
        <v>674</v>
      </c>
      <c r="BY25" t="s">
        <v>674</v>
      </c>
      <c r="BZ25" t="s">
        <v>674</v>
      </c>
      <c r="CA25" t="s">
        <v>674</v>
      </c>
      <c r="CB25" t="s">
        <v>674</v>
      </c>
      <c r="CC25" t="s">
        <v>674</v>
      </c>
      <c r="CD25" t="s">
        <v>674</v>
      </c>
      <c r="CE25" t="s">
        <v>674</v>
      </c>
      <c r="CF25" t="s">
        <v>674</v>
      </c>
      <c r="CG25" t="s">
        <v>674</v>
      </c>
      <c r="CH25" t="s">
        <v>674</v>
      </c>
      <c r="CI25" t="s">
        <v>674</v>
      </c>
    </row>
    <row r="26" spans="1:87" x14ac:dyDescent="0.25">
      <c r="A26" t="s">
        <v>874</v>
      </c>
      <c r="B26" t="s">
        <v>88</v>
      </c>
      <c r="D26" t="s">
        <v>871</v>
      </c>
      <c r="E26" t="s">
        <v>875</v>
      </c>
      <c r="F26" t="s">
        <v>674</v>
      </c>
      <c r="G26" t="s">
        <v>674</v>
      </c>
      <c r="H26" t="s">
        <v>674</v>
      </c>
      <c r="I26" t="s">
        <v>674</v>
      </c>
      <c r="J26" t="s">
        <v>674</v>
      </c>
      <c r="K26" t="s">
        <v>674</v>
      </c>
      <c r="L26" t="s">
        <v>674</v>
      </c>
      <c r="M26" s="1">
        <v>46274.900254629632</v>
      </c>
      <c r="N26" s="1">
        <v>46274.900266203702</v>
      </c>
      <c r="O26" s="1"/>
      <c r="P26" t="s">
        <v>674</v>
      </c>
      <c r="Q26" t="s">
        <v>674</v>
      </c>
      <c r="R26">
        <v>2</v>
      </c>
      <c r="T26" t="s">
        <v>674</v>
      </c>
      <c r="U26" t="s">
        <v>674</v>
      </c>
      <c r="V26" t="s">
        <v>674</v>
      </c>
      <c r="W26" t="s">
        <v>674</v>
      </c>
      <c r="X26" t="s">
        <v>674</v>
      </c>
      <c r="Y26" t="s">
        <v>674</v>
      </c>
      <c r="Z26" t="s">
        <v>674</v>
      </c>
      <c r="AA26" t="s">
        <v>674</v>
      </c>
      <c r="AB26" t="s">
        <v>674</v>
      </c>
      <c r="AC26" t="s">
        <v>710</v>
      </c>
      <c r="AD26" t="s">
        <v>674</v>
      </c>
      <c r="AE26" t="s">
        <v>674</v>
      </c>
      <c r="AF26" t="s">
        <v>674</v>
      </c>
      <c r="AG26" t="s">
        <v>674</v>
      </c>
      <c r="AH26" t="s">
        <v>163</v>
      </c>
      <c r="AJ26" t="s">
        <v>674</v>
      </c>
      <c r="AK26" t="s">
        <v>674</v>
      </c>
      <c r="AL26" t="s">
        <v>876</v>
      </c>
      <c r="AM26" t="s">
        <v>674</v>
      </c>
      <c r="AN26" t="s">
        <v>674</v>
      </c>
      <c r="AO26" t="s">
        <v>712</v>
      </c>
      <c r="AP26" t="s">
        <v>674</v>
      </c>
      <c r="AQ26" t="s">
        <v>674</v>
      </c>
      <c r="AR26" t="s">
        <v>674</v>
      </c>
      <c r="AS26" t="s">
        <v>674</v>
      </c>
      <c r="AT26" t="s">
        <v>674</v>
      </c>
      <c r="AU26" t="s">
        <v>674</v>
      </c>
      <c r="AV26" t="s">
        <v>674</v>
      </c>
      <c r="AW26" t="s">
        <v>674</v>
      </c>
      <c r="AX26" t="s">
        <v>674</v>
      </c>
      <c r="AY26" t="s">
        <v>674</v>
      </c>
      <c r="AZ26" t="s">
        <v>674</v>
      </c>
      <c r="BA26" t="s">
        <v>674</v>
      </c>
      <c r="BB26" t="s">
        <v>674</v>
      </c>
      <c r="BC26" t="s">
        <v>674</v>
      </c>
      <c r="BD26" t="s">
        <v>674</v>
      </c>
      <c r="BE26" t="s">
        <v>674</v>
      </c>
      <c r="BF26" t="s">
        <v>674</v>
      </c>
      <c r="BG26" t="s">
        <v>674</v>
      </c>
      <c r="BH26" t="s">
        <v>674</v>
      </c>
      <c r="BI26" t="s">
        <v>674</v>
      </c>
      <c r="BJ26" t="s">
        <v>674</v>
      </c>
      <c r="BK26" t="s">
        <v>674</v>
      </c>
      <c r="BL26" t="s">
        <v>674</v>
      </c>
      <c r="BM26" t="s">
        <v>674</v>
      </c>
      <c r="BN26" t="s">
        <v>674</v>
      </c>
      <c r="BO26" t="s">
        <v>674</v>
      </c>
      <c r="BP26" t="s">
        <v>674</v>
      </c>
      <c r="BQ26" t="s">
        <v>674</v>
      </c>
      <c r="BR26" t="s">
        <v>674</v>
      </c>
      <c r="BS26" t="s">
        <v>674</v>
      </c>
      <c r="BT26" t="s">
        <v>674</v>
      </c>
      <c r="BU26" t="s">
        <v>674</v>
      </c>
      <c r="BV26" t="s">
        <v>674</v>
      </c>
      <c r="BW26" t="s">
        <v>674</v>
      </c>
      <c r="BX26" t="s">
        <v>674</v>
      </c>
      <c r="BY26" t="s">
        <v>674</v>
      </c>
      <c r="BZ26" t="s">
        <v>674</v>
      </c>
      <c r="CA26" t="s">
        <v>674</v>
      </c>
      <c r="CB26" t="s">
        <v>674</v>
      </c>
      <c r="CC26" t="s">
        <v>674</v>
      </c>
      <c r="CD26" t="s">
        <v>674</v>
      </c>
      <c r="CE26" t="s">
        <v>674</v>
      </c>
      <c r="CF26" t="s">
        <v>674</v>
      </c>
      <c r="CG26" t="s">
        <v>674</v>
      </c>
      <c r="CH26" t="s">
        <v>674</v>
      </c>
      <c r="CI26" t="s">
        <v>674</v>
      </c>
    </row>
    <row r="27" spans="1:87" x14ac:dyDescent="0.25">
      <c r="A27" t="s">
        <v>870</v>
      </c>
      <c r="B27" t="s">
        <v>88</v>
      </c>
      <c r="D27" t="s">
        <v>871</v>
      </c>
      <c r="E27" t="s">
        <v>872</v>
      </c>
      <c r="F27" t="s">
        <v>674</v>
      </c>
      <c r="G27" t="s">
        <v>674</v>
      </c>
      <c r="H27" t="s">
        <v>674</v>
      </c>
      <c r="I27" t="s">
        <v>674</v>
      </c>
      <c r="J27" t="s">
        <v>674</v>
      </c>
      <c r="K27" t="s">
        <v>674</v>
      </c>
      <c r="L27" t="s">
        <v>674</v>
      </c>
      <c r="M27" s="1">
        <v>46274.900208333333</v>
      </c>
      <c r="N27" s="1">
        <v>46274.900208333333</v>
      </c>
      <c r="O27" s="1"/>
      <c r="P27" t="s">
        <v>674</v>
      </c>
      <c r="Q27" t="s">
        <v>674</v>
      </c>
      <c r="T27" t="s">
        <v>674</v>
      </c>
      <c r="U27" t="s">
        <v>674</v>
      </c>
      <c r="V27" t="s">
        <v>674</v>
      </c>
      <c r="W27" t="s">
        <v>674</v>
      </c>
      <c r="X27" t="s">
        <v>674</v>
      </c>
      <c r="Y27" t="s">
        <v>674</v>
      </c>
      <c r="Z27" t="s">
        <v>674</v>
      </c>
      <c r="AA27" t="s">
        <v>674</v>
      </c>
      <c r="AB27" t="s">
        <v>674</v>
      </c>
      <c r="AC27" t="s">
        <v>710</v>
      </c>
      <c r="AD27" t="s">
        <v>674</v>
      </c>
      <c r="AE27" t="s">
        <v>674</v>
      </c>
      <c r="AF27" t="s">
        <v>674</v>
      </c>
      <c r="AG27" t="s">
        <v>674</v>
      </c>
      <c r="AH27" t="s">
        <v>163</v>
      </c>
      <c r="AJ27" t="s">
        <v>674</v>
      </c>
      <c r="AK27" t="s">
        <v>674</v>
      </c>
      <c r="AL27" t="s">
        <v>873</v>
      </c>
      <c r="AM27" t="s">
        <v>674</v>
      </c>
      <c r="AN27" t="s">
        <v>674</v>
      </c>
      <c r="AO27" t="s">
        <v>712</v>
      </c>
      <c r="AP27" t="s">
        <v>674</v>
      </c>
      <c r="AQ27" t="s">
        <v>674</v>
      </c>
      <c r="AR27" t="s">
        <v>674</v>
      </c>
      <c r="AS27" t="s">
        <v>674</v>
      </c>
      <c r="AT27" t="s">
        <v>674</v>
      </c>
      <c r="AU27" t="s">
        <v>674</v>
      </c>
      <c r="AV27" t="s">
        <v>674</v>
      </c>
      <c r="AW27" t="s">
        <v>674</v>
      </c>
      <c r="AX27" t="s">
        <v>674</v>
      </c>
      <c r="AY27" t="s">
        <v>674</v>
      </c>
      <c r="AZ27" t="s">
        <v>674</v>
      </c>
      <c r="BA27" t="s">
        <v>674</v>
      </c>
      <c r="BB27" t="s">
        <v>674</v>
      </c>
      <c r="BC27" t="s">
        <v>674</v>
      </c>
      <c r="BD27" t="s">
        <v>674</v>
      </c>
      <c r="BE27" t="s">
        <v>674</v>
      </c>
      <c r="BF27" t="s">
        <v>674</v>
      </c>
      <c r="BG27" t="s">
        <v>674</v>
      </c>
      <c r="BH27" t="s">
        <v>674</v>
      </c>
      <c r="BI27" t="s">
        <v>674</v>
      </c>
      <c r="BJ27" t="s">
        <v>674</v>
      </c>
      <c r="BK27" t="s">
        <v>674</v>
      </c>
      <c r="BL27" t="s">
        <v>674</v>
      </c>
      <c r="BM27" t="s">
        <v>674</v>
      </c>
      <c r="BN27" t="s">
        <v>674</v>
      </c>
      <c r="BO27" t="s">
        <v>674</v>
      </c>
      <c r="BP27" t="s">
        <v>674</v>
      </c>
      <c r="BQ27" t="s">
        <v>674</v>
      </c>
      <c r="BR27" t="s">
        <v>674</v>
      </c>
      <c r="BS27" t="s">
        <v>674</v>
      </c>
      <c r="BT27" t="s">
        <v>674</v>
      </c>
      <c r="BU27" t="s">
        <v>674</v>
      </c>
      <c r="BV27" t="s">
        <v>674</v>
      </c>
      <c r="BW27" t="s">
        <v>674</v>
      </c>
      <c r="BX27" t="s">
        <v>674</v>
      </c>
      <c r="BY27" t="s">
        <v>674</v>
      </c>
      <c r="BZ27" t="s">
        <v>674</v>
      </c>
      <c r="CA27" t="s">
        <v>674</v>
      </c>
      <c r="CB27" t="s">
        <v>674</v>
      </c>
      <c r="CC27" t="s">
        <v>674</v>
      </c>
      <c r="CD27" t="s">
        <v>674</v>
      </c>
      <c r="CE27" t="s">
        <v>674</v>
      </c>
      <c r="CF27" t="s">
        <v>674</v>
      </c>
      <c r="CG27" t="s">
        <v>674</v>
      </c>
      <c r="CH27" t="s">
        <v>674</v>
      </c>
      <c r="CI27" t="s">
        <v>674</v>
      </c>
    </row>
    <row r="28" spans="1:87" x14ac:dyDescent="0.25">
      <c r="A28" t="s">
        <v>859</v>
      </c>
      <c r="B28" t="s">
        <v>88</v>
      </c>
      <c r="C28">
        <v>2016</v>
      </c>
      <c r="D28" t="s">
        <v>860</v>
      </c>
      <c r="E28" t="s">
        <v>861</v>
      </c>
      <c r="F28" t="s">
        <v>862</v>
      </c>
      <c r="G28" t="s">
        <v>674</v>
      </c>
      <c r="H28" t="s">
        <v>863</v>
      </c>
      <c r="I28" t="s">
        <v>864</v>
      </c>
      <c r="J28" t="s">
        <v>865</v>
      </c>
      <c r="K28" t="s">
        <v>674</v>
      </c>
      <c r="L28" t="s">
        <v>866</v>
      </c>
      <c r="M28" s="1">
        <v>46274.90016203704</v>
      </c>
      <c r="N28" s="1">
        <v>46274.900173611109</v>
      </c>
      <c r="O28" s="1">
        <v>46274.90016203704</v>
      </c>
      <c r="P28" t="s">
        <v>867</v>
      </c>
      <c r="Q28" t="s">
        <v>674</v>
      </c>
      <c r="R28">
        <v>12</v>
      </c>
      <c r="S28">
        <v>1</v>
      </c>
      <c r="T28" t="s">
        <v>674</v>
      </c>
      <c r="U28" t="s">
        <v>868</v>
      </c>
      <c r="V28" t="s">
        <v>674</v>
      </c>
      <c r="W28" t="s">
        <v>674</v>
      </c>
      <c r="X28" t="s">
        <v>674</v>
      </c>
      <c r="Y28" t="s">
        <v>674</v>
      </c>
      <c r="Z28" t="s">
        <v>674</v>
      </c>
      <c r="AA28" t="s">
        <v>674</v>
      </c>
      <c r="AB28" t="s">
        <v>674</v>
      </c>
      <c r="AC28" t="s">
        <v>97</v>
      </c>
      <c r="AD28" t="s">
        <v>674</v>
      </c>
      <c r="AE28" t="s">
        <v>674</v>
      </c>
      <c r="AF28" t="s">
        <v>674</v>
      </c>
      <c r="AG28" t="s">
        <v>674</v>
      </c>
      <c r="AH28" t="s">
        <v>99</v>
      </c>
      <c r="AJ28" t="s">
        <v>674</v>
      </c>
      <c r="AK28" t="s">
        <v>674</v>
      </c>
      <c r="AL28" t="s">
        <v>869</v>
      </c>
      <c r="AM28" t="s">
        <v>674</v>
      </c>
      <c r="AN28" t="s">
        <v>674</v>
      </c>
      <c r="AO28" t="s">
        <v>712</v>
      </c>
      <c r="AP28" t="s">
        <v>674</v>
      </c>
      <c r="AQ28" t="s">
        <v>674</v>
      </c>
      <c r="AR28" t="s">
        <v>674</v>
      </c>
      <c r="AS28" t="s">
        <v>674</v>
      </c>
      <c r="AT28" t="s">
        <v>674</v>
      </c>
      <c r="AU28" t="s">
        <v>674</v>
      </c>
      <c r="AV28" t="s">
        <v>674</v>
      </c>
      <c r="AW28" t="s">
        <v>674</v>
      </c>
      <c r="AX28" t="s">
        <v>674</v>
      </c>
      <c r="AY28" t="s">
        <v>674</v>
      </c>
      <c r="AZ28" t="s">
        <v>674</v>
      </c>
      <c r="BA28" t="s">
        <v>674</v>
      </c>
      <c r="BB28" t="s">
        <v>674</v>
      </c>
      <c r="BC28" t="s">
        <v>674</v>
      </c>
      <c r="BD28" t="s">
        <v>674</v>
      </c>
      <c r="BE28" t="s">
        <v>674</v>
      </c>
      <c r="BF28" t="s">
        <v>674</v>
      </c>
      <c r="BG28" t="s">
        <v>674</v>
      </c>
      <c r="BH28" t="s">
        <v>674</v>
      </c>
      <c r="BI28" t="s">
        <v>674</v>
      </c>
      <c r="BJ28" t="s">
        <v>674</v>
      </c>
      <c r="BK28" t="s">
        <v>674</v>
      </c>
      <c r="BL28" t="s">
        <v>674</v>
      </c>
      <c r="BM28" t="s">
        <v>674</v>
      </c>
      <c r="BN28" t="s">
        <v>674</v>
      </c>
      <c r="BO28" t="s">
        <v>674</v>
      </c>
      <c r="BP28" t="s">
        <v>674</v>
      </c>
      <c r="BQ28" t="s">
        <v>674</v>
      </c>
      <c r="BR28" t="s">
        <v>674</v>
      </c>
      <c r="BS28" t="s">
        <v>674</v>
      </c>
      <c r="BT28" t="s">
        <v>674</v>
      </c>
      <c r="BU28" t="s">
        <v>674</v>
      </c>
      <c r="BV28" t="s">
        <v>674</v>
      </c>
      <c r="BW28" t="s">
        <v>674</v>
      </c>
      <c r="BX28" t="s">
        <v>674</v>
      </c>
      <c r="BY28" t="s">
        <v>674</v>
      </c>
      <c r="BZ28" t="s">
        <v>674</v>
      </c>
      <c r="CA28" t="s">
        <v>674</v>
      </c>
      <c r="CB28" t="s">
        <v>674</v>
      </c>
      <c r="CC28" t="s">
        <v>674</v>
      </c>
      <c r="CD28" t="s">
        <v>674</v>
      </c>
      <c r="CE28" t="s">
        <v>674</v>
      </c>
      <c r="CF28" t="s">
        <v>674</v>
      </c>
      <c r="CG28" t="s">
        <v>674</v>
      </c>
      <c r="CH28" t="s">
        <v>674</v>
      </c>
      <c r="CI28" t="s">
        <v>674</v>
      </c>
    </row>
    <row r="29" spans="1:87" x14ac:dyDescent="0.25">
      <c r="A29" t="s">
        <v>825</v>
      </c>
      <c r="B29" t="s">
        <v>126</v>
      </c>
      <c r="C29">
        <v>2008</v>
      </c>
      <c r="D29" t="s">
        <v>826</v>
      </c>
      <c r="E29" t="s">
        <v>827</v>
      </c>
      <c r="F29" t="s">
        <v>828</v>
      </c>
      <c r="G29" t="s">
        <v>829</v>
      </c>
      <c r="H29" t="s">
        <v>674</v>
      </c>
      <c r="I29" t="s">
        <v>830</v>
      </c>
      <c r="J29" t="s">
        <v>831</v>
      </c>
      <c r="K29" t="s">
        <v>832</v>
      </c>
      <c r="L29" t="s">
        <v>833</v>
      </c>
      <c r="M29" s="1">
        <v>46274.899965277778</v>
      </c>
      <c r="N29" s="1">
        <v>46274.899976851855</v>
      </c>
      <c r="O29" s="1">
        <v>46274.899965277778</v>
      </c>
      <c r="P29" t="s">
        <v>834</v>
      </c>
      <c r="Q29" t="s">
        <v>674</v>
      </c>
      <c r="T29" t="s">
        <v>674</v>
      </c>
      <c r="U29" t="s">
        <v>674</v>
      </c>
      <c r="V29" t="s">
        <v>674</v>
      </c>
      <c r="W29" t="s">
        <v>674</v>
      </c>
      <c r="X29" t="s">
        <v>674</v>
      </c>
      <c r="Y29" t="s">
        <v>674</v>
      </c>
      <c r="Z29" t="s">
        <v>674</v>
      </c>
      <c r="AA29" t="s">
        <v>133</v>
      </c>
      <c r="AB29" t="s">
        <v>835</v>
      </c>
      <c r="AC29" t="s">
        <v>97</v>
      </c>
      <c r="AD29" t="s">
        <v>674</v>
      </c>
      <c r="AE29" t="s">
        <v>674</v>
      </c>
      <c r="AF29" t="s">
        <v>674</v>
      </c>
      <c r="AG29" t="s">
        <v>674</v>
      </c>
      <c r="AH29" t="s">
        <v>99</v>
      </c>
      <c r="AJ29" t="s">
        <v>674</v>
      </c>
      <c r="AK29" t="s">
        <v>674</v>
      </c>
      <c r="AL29" t="s">
        <v>836</v>
      </c>
      <c r="AM29" t="s">
        <v>674</v>
      </c>
      <c r="AN29" t="s">
        <v>674</v>
      </c>
      <c r="AO29" t="s">
        <v>712</v>
      </c>
      <c r="AP29" t="s">
        <v>674</v>
      </c>
      <c r="AQ29" t="s">
        <v>674</v>
      </c>
      <c r="AR29" t="s">
        <v>674</v>
      </c>
      <c r="AS29" t="s">
        <v>674</v>
      </c>
      <c r="AT29" t="s">
        <v>674</v>
      </c>
      <c r="AU29" t="s">
        <v>674</v>
      </c>
      <c r="AV29" t="s">
        <v>674</v>
      </c>
      <c r="AW29" t="s">
        <v>674</v>
      </c>
      <c r="AX29" t="s">
        <v>674</v>
      </c>
      <c r="AY29" t="s">
        <v>674</v>
      </c>
      <c r="AZ29" t="s">
        <v>674</v>
      </c>
      <c r="BA29" t="s">
        <v>674</v>
      </c>
      <c r="BB29" t="s">
        <v>674</v>
      </c>
      <c r="BC29" t="s">
        <v>674</v>
      </c>
      <c r="BD29" t="s">
        <v>674</v>
      </c>
      <c r="BE29" t="s">
        <v>674</v>
      </c>
      <c r="BF29" t="s">
        <v>674</v>
      </c>
      <c r="BG29" t="s">
        <v>674</v>
      </c>
      <c r="BH29" t="s">
        <v>674</v>
      </c>
      <c r="BI29" t="s">
        <v>674</v>
      </c>
      <c r="BJ29" t="s">
        <v>674</v>
      </c>
      <c r="BK29" t="s">
        <v>674</v>
      </c>
      <c r="BL29" t="s">
        <v>674</v>
      </c>
      <c r="BM29" t="s">
        <v>674</v>
      </c>
      <c r="BN29" t="s">
        <v>674</v>
      </c>
      <c r="BO29" t="s">
        <v>674</v>
      </c>
      <c r="BP29" t="s">
        <v>674</v>
      </c>
      <c r="BQ29" t="s">
        <v>674</v>
      </c>
      <c r="BR29" t="s">
        <v>674</v>
      </c>
      <c r="BS29" t="s">
        <v>674</v>
      </c>
      <c r="BT29" t="s">
        <v>837</v>
      </c>
      <c r="BU29" t="s">
        <v>674</v>
      </c>
      <c r="BV29" t="s">
        <v>674</v>
      </c>
      <c r="BW29" t="s">
        <v>674</v>
      </c>
      <c r="BX29" t="s">
        <v>674</v>
      </c>
      <c r="BY29" t="s">
        <v>674</v>
      </c>
      <c r="BZ29" t="s">
        <v>674</v>
      </c>
      <c r="CA29" t="s">
        <v>674</v>
      </c>
      <c r="CB29" t="s">
        <v>674</v>
      </c>
      <c r="CC29" t="s">
        <v>674</v>
      </c>
      <c r="CD29" t="s">
        <v>674</v>
      </c>
      <c r="CE29" t="s">
        <v>674</v>
      </c>
      <c r="CF29" t="s">
        <v>674</v>
      </c>
      <c r="CG29" t="s">
        <v>674</v>
      </c>
      <c r="CH29" t="s">
        <v>674</v>
      </c>
      <c r="CI29" t="s">
        <v>674</v>
      </c>
    </row>
    <row r="30" spans="1:87" x14ac:dyDescent="0.25">
      <c r="A30" t="s">
        <v>812</v>
      </c>
      <c r="B30" t="s">
        <v>126</v>
      </c>
      <c r="C30">
        <v>2009</v>
      </c>
      <c r="D30" t="s">
        <v>813</v>
      </c>
      <c r="E30" t="s">
        <v>814</v>
      </c>
      <c r="F30" t="s">
        <v>815</v>
      </c>
      <c r="G30" t="s">
        <v>816</v>
      </c>
      <c r="H30" t="s">
        <v>674</v>
      </c>
      <c r="I30" t="s">
        <v>817</v>
      </c>
      <c r="J30" t="s">
        <v>818</v>
      </c>
      <c r="K30" t="s">
        <v>819</v>
      </c>
      <c r="L30" t="s">
        <v>820</v>
      </c>
      <c r="M30" s="1">
        <v>46274.899895833332</v>
      </c>
      <c r="N30" s="1">
        <v>46274.899918981479</v>
      </c>
      <c r="O30" s="1">
        <v>46274.899895833332</v>
      </c>
      <c r="P30" t="s">
        <v>821</v>
      </c>
      <c r="Q30" t="s">
        <v>674</v>
      </c>
      <c r="T30" t="s">
        <v>674</v>
      </c>
      <c r="U30" t="s">
        <v>674</v>
      </c>
      <c r="V30" t="s">
        <v>674</v>
      </c>
      <c r="W30" t="s">
        <v>674</v>
      </c>
      <c r="X30" t="s">
        <v>674</v>
      </c>
      <c r="Y30" t="s">
        <v>674</v>
      </c>
      <c r="Z30" t="s">
        <v>674</v>
      </c>
      <c r="AA30" t="s">
        <v>133</v>
      </c>
      <c r="AB30" t="s">
        <v>822</v>
      </c>
      <c r="AC30" t="s">
        <v>97</v>
      </c>
      <c r="AD30" t="s">
        <v>674</v>
      </c>
      <c r="AE30" t="s">
        <v>674</v>
      </c>
      <c r="AF30" t="s">
        <v>674</v>
      </c>
      <c r="AG30" t="s">
        <v>674</v>
      </c>
      <c r="AH30" t="s">
        <v>99</v>
      </c>
      <c r="AJ30" t="s">
        <v>674</v>
      </c>
      <c r="AK30" t="s">
        <v>674</v>
      </c>
      <c r="AL30" t="s">
        <v>823</v>
      </c>
      <c r="AM30" t="s">
        <v>674</v>
      </c>
      <c r="AN30" t="s">
        <v>674</v>
      </c>
      <c r="AO30" t="s">
        <v>712</v>
      </c>
      <c r="AP30" t="s">
        <v>674</v>
      </c>
      <c r="AQ30" t="s">
        <v>674</v>
      </c>
      <c r="AR30" t="s">
        <v>674</v>
      </c>
      <c r="AS30" t="s">
        <v>674</v>
      </c>
      <c r="AT30" t="s">
        <v>674</v>
      </c>
      <c r="AU30" t="s">
        <v>674</v>
      </c>
      <c r="AV30" t="s">
        <v>674</v>
      </c>
      <c r="AW30" t="s">
        <v>674</v>
      </c>
      <c r="AX30" t="s">
        <v>674</v>
      </c>
      <c r="AY30" t="s">
        <v>674</v>
      </c>
      <c r="AZ30" t="s">
        <v>674</v>
      </c>
      <c r="BA30" t="s">
        <v>674</v>
      </c>
      <c r="BB30" t="s">
        <v>674</v>
      </c>
      <c r="BC30" t="s">
        <v>674</v>
      </c>
      <c r="BD30" t="s">
        <v>674</v>
      </c>
      <c r="BE30" t="s">
        <v>674</v>
      </c>
      <c r="BF30" t="s">
        <v>674</v>
      </c>
      <c r="BG30" t="s">
        <v>674</v>
      </c>
      <c r="BH30" t="s">
        <v>674</v>
      </c>
      <c r="BI30" t="s">
        <v>674</v>
      </c>
      <c r="BJ30" t="s">
        <v>674</v>
      </c>
      <c r="BK30" t="s">
        <v>674</v>
      </c>
      <c r="BL30" t="s">
        <v>674</v>
      </c>
      <c r="BM30" t="s">
        <v>674</v>
      </c>
      <c r="BN30" t="s">
        <v>674</v>
      </c>
      <c r="BO30" t="s">
        <v>674</v>
      </c>
      <c r="BP30" t="s">
        <v>674</v>
      </c>
      <c r="BQ30" t="s">
        <v>674</v>
      </c>
      <c r="BR30" t="s">
        <v>674</v>
      </c>
      <c r="BS30" t="s">
        <v>674</v>
      </c>
      <c r="BT30" t="s">
        <v>824</v>
      </c>
      <c r="BU30" t="s">
        <v>674</v>
      </c>
      <c r="BV30" t="s">
        <v>674</v>
      </c>
      <c r="BW30" t="s">
        <v>674</v>
      </c>
      <c r="BX30" t="s">
        <v>674</v>
      </c>
      <c r="BY30" t="s">
        <v>674</v>
      </c>
      <c r="BZ30" t="s">
        <v>674</v>
      </c>
      <c r="CA30" t="s">
        <v>674</v>
      </c>
      <c r="CB30" t="s">
        <v>674</v>
      </c>
      <c r="CC30" t="s">
        <v>674</v>
      </c>
      <c r="CD30" t="s">
        <v>674</v>
      </c>
      <c r="CE30" t="s">
        <v>674</v>
      </c>
      <c r="CF30" t="s">
        <v>674</v>
      </c>
      <c r="CG30" t="s">
        <v>674</v>
      </c>
      <c r="CH30" t="s">
        <v>674</v>
      </c>
      <c r="CI30" t="s">
        <v>674</v>
      </c>
    </row>
    <row r="31" spans="1:87" x14ac:dyDescent="0.25">
      <c r="A31" t="s">
        <v>801</v>
      </c>
      <c r="B31" t="s">
        <v>126</v>
      </c>
      <c r="C31">
        <v>2012</v>
      </c>
      <c r="D31" t="s">
        <v>802</v>
      </c>
      <c r="E31" t="s">
        <v>803</v>
      </c>
      <c r="F31" t="s">
        <v>804</v>
      </c>
      <c r="G31" t="s">
        <v>805</v>
      </c>
      <c r="H31" t="s">
        <v>674</v>
      </c>
      <c r="I31" t="s">
        <v>806</v>
      </c>
      <c r="J31" t="s">
        <v>807</v>
      </c>
      <c r="K31" t="s">
        <v>808</v>
      </c>
      <c r="L31" t="s">
        <v>809</v>
      </c>
      <c r="M31" s="1">
        <v>46274.899837962963</v>
      </c>
      <c r="N31" s="1">
        <v>46274.89984953704</v>
      </c>
      <c r="O31" s="1">
        <v>46274.899837962963</v>
      </c>
      <c r="P31" t="s">
        <v>756</v>
      </c>
      <c r="Q31" t="s">
        <v>674</v>
      </c>
      <c r="T31" t="s">
        <v>674</v>
      </c>
      <c r="U31" t="s">
        <v>674</v>
      </c>
      <c r="V31" t="s">
        <v>674</v>
      </c>
      <c r="W31" t="s">
        <v>674</v>
      </c>
      <c r="X31" t="s">
        <v>674</v>
      </c>
      <c r="Y31" t="s">
        <v>674</v>
      </c>
      <c r="Z31" t="s">
        <v>674</v>
      </c>
      <c r="AA31" t="s">
        <v>133</v>
      </c>
      <c r="AB31" t="s">
        <v>810</v>
      </c>
      <c r="AC31" t="s">
        <v>97</v>
      </c>
      <c r="AD31" t="s">
        <v>135</v>
      </c>
      <c r="AE31" t="s">
        <v>674</v>
      </c>
      <c r="AF31" t="s">
        <v>674</v>
      </c>
      <c r="AG31" t="s">
        <v>674</v>
      </c>
      <c r="AH31" t="s">
        <v>99</v>
      </c>
      <c r="AJ31" t="s">
        <v>674</v>
      </c>
      <c r="AK31" t="s">
        <v>674</v>
      </c>
      <c r="AL31" t="s">
        <v>811</v>
      </c>
      <c r="AM31" t="s">
        <v>674</v>
      </c>
      <c r="AN31" t="s">
        <v>674</v>
      </c>
      <c r="AO31" t="s">
        <v>712</v>
      </c>
      <c r="AP31" t="s">
        <v>674</v>
      </c>
      <c r="AQ31" t="s">
        <v>674</v>
      </c>
      <c r="AR31" t="s">
        <v>674</v>
      </c>
      <c r="AS31" t="s">
        <v>674</v>
      </c>
      <c r="AT31" t="s">
        <v>674</v>
      </c>
      <c r="AU31" t="s">
        <v>674</v>
      </c>
      <c r="AV31" t="s">
        <v>674</v>
      </c>
      <c r="AW31" t="s">
        <v>674</v>
      </c>
      <c r="AX31" t="s">
        <v>674</v>
      </c>
      <c r="AY31" t="s">
        <v>674</v>
      </c>
      <c r="AZ31" t="s">
        <v>674</v>
      </c>
      <c r="BA31" t="s">
        <v>674</v>
      </c>
      <c r="BB31" t="s">
        <v>674</v>
      </c>
      <c r="BC31" t="s">
        <v>674</v>
      </c>
      <c r="BD31" t="s">
        <v>674</v>
      </c>
      <c r="BE31" t="s">
        <v>674</v>
      </c>
      <c r="BF31" t="s">
        <v>674</v>
      </c>
      <c r="BG31" t="s">
        <v>674</v>
      </c>
      <c r="BH31" t="s">
        <v>674</v>
      </c>
      <c r="BI31" t="s">
        <v>674</v>
      </c>
      <c r="BJ31" t="s">
        <v>674</v>
      </c>
      <c r="BK31" t="s">
        <v>674</v>
      </c>
      <c r="BL31" t="s">
        <v>674</v>
      </c>
      <c r="BM31" t="s">
        <v>674</v>
      </c>
      <c r="BN31" t="s">
        <v>674</v>
      </c>
      <c r="BO31" t="s">
        <v>674</v>
      </c>
      <c r="BP31" t="s">
        <v>674</v>
      </c>
      <c r="BQ31" t="s">
        <v>674</v>
      </c>
      <c r="BR31" t="s">
        <v>674</v>
      </c>
      <c r="BS31" t="s">
        <v>674</v>
      </c>
      <c r="BT31" t="s">
        <v>804</v>
      </c>
      <c r="BU31" t="s">
        <v>674</v>
      </c>
      <c r="BV31" t="s">
        <v>674</v>
      </c>
      <c r="BW31" t="s">
        <v>674</v>
      </c>
      <c r="BX31" t="s">
        <v>674</v>
      </c>
      <c r="BY31" t="s">
        <v>674</v>
      </c>
      <c r="BZ31" t="s">
        <v>674</v>
      </c>
      <c r="CA31" t="s">
        <v>674</v>
      </c>
      <c r="CB31" t="s">
        <v>674</v>
      </c>
      <c r="CC31" t="s">
        <v>674</v>
      </c>
      <c r="CD31" t="s">
        <v>674</v>
      </c>
      <c r="CE31" t="s">
        <v>674</v>
      </c>
      <c r="CF31" t="s">
        <v>674</v>
      </c>
      <c r="CG31" t="s">
        <v>674</v>
      </c>
      <c r="CH31" t="s">
        <v>674</v>
      </c>
      <c r="CI31" t="s">
        <v>674</v>
      </c>
    </row>
    <row r="32" spans="1:87" x14ac:dyDescent="0.25">
      <c r="A32" t="s">
        <v>713</v>
      </c>
      <c r="B32" t="s">
        <v>88</v>
      </c>
      <c r="D32" t="s">
        <v>406</v>
      </c>
      <c r="E32" t="s">
        <v>407</v>
      </c>
      <c r="F32" t="s">
        <v>674</v>
      </c>
      <c r="G32" t="s">
        <v>674</v>
      </c>
      <c r="H32" t="s">
        <v>674</v>
      </c>
      <c r="I32" t="s">
        <v>674</v>
      </c>
      <c r="J32" t="s">
        <v>674</v>
      </c>
      <c r="K32" t="s">
        <v>408</v>
      </c>
      <c r="L32" t="s">
        <v>674</v>
      </c>
      <c r="M32" s="1">
        <v>46274.897893518515</v>
      </c>
      <c r="N32" s="1">
        <v>46274.897905092592</v>
      </c>
      <c r="O32" s="1"/>
      <c r="P32" t="s">
        <v>674</v>
      </c>
      <c r="Q32" t="s">
        <v>674</v>
      </c>
      <c r="T32" t="s">
        <v>674</v>
      </c>
      <c r="U32" t="s">
        <v>674</v>
      </c>
      <c r="V32" t="s">
        <v>674</v>
      </c>
      <c r="W32" t="s">
        <v>674</v>
      </c>
      <c r="X32" t="s">
        <v>674</v>
      </c>
      <c r="Y32" t="s">
        <v>674</v>
      </c>
      <c r="Z32" t="s">
        <v>674</v>
      </c>
      <c r="AA32" t="s">
        <v>674</v>
      </c>
      <c r="AB32" t="s">
        <v>674</v>
      </c>
      <c r="AC32" t="s">
        <v>97</v>
      </c>
      <c r="AD32" t="s">
        <v>674</v>
      </c>
      <c r="AE32" t="s">
        <v>674</v>
      </c>
      <c r="AF32" t="s">
        <v>674</v>
      </c>
      <c r="AG32" t="s">
        <v>674</v>
      </c>
      <c r="AH32" t="s">
        <v>163</v>
      </c>
      <c r="AJ32" t="s">
        <v>674</v>
      </c>
      <c r="AK32" t="s">
        <v>674</v>
      </c>
      <c r="AL32" t="s">
        <v>714</v>
      </c>
      <c r="AM32" t="s">
        <v>674</v>
      </c>
      <c r="AN32" t="s">
        <v>674</v>
      </c>
      <c r="AO32" t="s">
        <v>712</v>
      </c>
      <c r="AP32" t="s">
        <v>674</v>
      </c>
      <c r="AQ32" t="s">
        <v>674</v>
      </c>
      <c r="AR32" t="s">
        <v>674</v>
      </c>
      <c r="AS32" t="s">
        <v>674</v>
      </c>
      <c r="AT32" t="s">
        <v>674</v>
      </c>
      <c r="AU32" t="s">
        <v>674</v>
      </c>
      <c r="AV32" t="s">
        <v>674</v>
      </c>
      <c r="AW32" t="s">
        <v>674</v>
      </c>
      <c r="AX32" t="s">
        <v>674</v>
      </c>
      <c r="AY32" t="s">
        <v>674</v>
      </c>
      <c r="AZ32" t="s">
        <v>674</v>
      </c>
      <c r="BA32" t="s">
        <v>674</v>
      </c>
      <c r="BB32" t="s">
        <v>674</v>
      </c>
      <c r="BC32" t="s">
        <v>674</v>
      </c>
      <c r="BD32" t="s">
        <v>674</v>
      </c>
      <c r="BE32" t="s">
        <v>674</v>
      </c>
      <c r="BF32" t="s">
        <v>674</v>
      </c>
      <c r="BG32" t="s">
        <v>674</v>
      </c>
      <c r="BH32" t="s">
        <v>674</v>
      </c>
      <c r="BI32" t="s">
        <v>674</v>
      </c>
      <c r="BJ32" t="s">
        <v>674</v>
      </c>
      <c r="BK32" t="s">
        <v>674</v>
      </c>
      <c r="BL32" t="s">
        <v>674</v>
      </c>
      <c r="BM32" t="s">
        <v>674</v>
      </c>
      <c r="BN32" t="s">
        <v>674</v>
      </c>
      <c r="BO32" t="s">
        <v>674</v>
      </c>
      <c r="BP32" t="s">
        <v>674</v>
      </c>
      <c r="BQ32" t="s">
        <v>674</v>
      </c>
      <c r="BR32" t="s">
        <v>674</v>
      </c>
      <c r="BS32" t="s">
        <v>674</v>
      </c>
      <c r="BT32" t="s">
        <v>674</v>
      </c>
      <c r="BU32" t="s">
        <v>674</v>
      </c>
      <c r="BV32" t="s">
        <v>674</v>
      </c>
      <c r="BW32" t="s">
        <v>674</v>
      </c>
      <c r="BX32" t="s">
        <v>674</v>
      </c>
      <c r="BY32" t="s">
        <v>674</v>
      </c>
      <c r="BZ32" t="s">
        <v>674</v>
      </c>
      <c r="CA32" t="s">
        <v>674</v>
      </c>
      <c r="CB32" t="s">
        <v>674</v>
      </c>
      <c r="CC32" t="s">
        <v>674</v>
      </c>
      <c r="CD32" t="s">
        <v>674</v>
      </c>
      <c r="CE32" t="s">
        <v>674</v>
      </c>
      <c r="CF32" t="s">
        <v>674</v>
      </c>
      <c r="CG32" t="s">
        <v>674</v>
      </c>
      <c r="CH32" t="s">
        <v>674</v>
      </c>
      <c r="CI32" t="s">
        <v>674</v>
      </c>
    </row>
    <row r="33" spans="1:87" x14ac:dyDescent="0.25">
      <c r="A33" t="s">
        <v>699</v>
      </c>
      <c r="B33" t="s">
        <v>88</v>
      </c>
      <c r="C33">
        <v>2016</v>
      </c>
      <c r="D33" t="s">
        <v>700</v>
      </c>
      <c r="E33" t="s">
        <v>701</v>
      </c>
      <c r="F33" t="s">
        <v>702</v>
      </c>
      <c r="G33" t="s">
        <v>674</v>
      </c>
      <c r="H33" t="s">
        <v>703</v>
      </c>
      <c r="I33" t="s">
        <v>704</v>
      </c>
      <c r="J33" t="s">
        <v>705</v>
      </c>
      <c r="K33" t="s">
        <v>706</v>
      </c>
      <c r="L33" t="s">
        <v>707</v>
      </c>
      <c r="M33" s="1">
        <v>46274.897604166668</v>
      </c>
      <c r="N33" s="1">
        <v>46274.897650462961</v>
      </c>
      <c r="O33" s="1">
        <v>46274.897604166668</v>
      </c>
      <c r="P33" t="s">
        <v>708</v>
      </c>
      <c r="Q33" t="s">
        <v>674</v>
      </c>
      <c r="R33">
        <v>1</v>
      </c>
      <c r="S33">
        <v>12</v>
      </c>
      <c r="T33" t="s">
        <v>674</v>
      </c>
      <c r="U33" t="s">
        <v>702</v>
      </c>
      <c r="V33" t="s">
        <v>709</v>
      </c>
      <c r="W33" t="s">
        <v>674</v>
      </c>
      <c r="X33" t="s">
        <v>674</v>
      </c>
      <c r="Y33" t="s">
        <v>674</v>
      </c>
      <c r="Z33" t="s">
        <v>674</v>
      </c>
      <c r="AA33" t="s">
        <v>674</v>
      </c>
      <c r="AB33" t="s">
        <v>674</v>
      </c>
      <c r="AC33" t="s">
        <v>710</v>
      </c>
      <c r="AD33" t="s">
        <v>674</v>
      </c>
      <c r="AE33" t="s">
        <v>674</v>
      </c>
      <c r="AF33" t="s">
        <v>674</v>
      </c>
      <c r="AG33" t="s">
        <v>674</v>
      </c>
      <c r="AH33" t="s">
        <v>99</v>
      </c>
      <c r="AJ33" t="s">
        <v>674</v>
      </c>
      <c r="AK33" t="s">
        <v>674</v>
      </c>
      <c r="AL33" t="s">
        <v>711</v>
      </c>
      <c r="AM33" t="s">
        <v>674</v>
      </c>
      <c r="AN33" t="s">
        <v>674</v>
      </c>
      <c r="AO33" t="s">
        <v>712</v>
      </c>
      <c r="AP33" t="s">
        <v>674</v>
      </c>
      <c r="AQ33" t="s">
        <v>674</v>
      </c>
      <c r="AR33" t="s">
        <v>674</v>
      </c>
      <c r="AS33" t="s">
        <v>674</v>
      </c>
      <c r="AT33" t="s">
        <v>674</v>
      </c>
      <c r="AU33" t="s">
        <v>674</v>
      </c>
      <c r="AV33" t="s">
        <v>674</v>
      </c>
      <c r="AW33" t="s">
        <v>674</v>
      </c>
      <c r="AX33" t="s">
        <v>674</v>
      </c>
      <c r="AY33" t="s">
        <v>674</v>
      </c>
      <c r="AZ33" t="s">
        <v>674</v>
      </c>
      <c r="BA33" t="s">
        <v>674</v>
      </c>
      <c r="BB33" t="s">
        <v>674</v>
      </c>
      <c r="BC33" t="s">
        <v>674</v>
      </c>
      <c r="BD33" t="s">
        <v>674</v>
      </c>
      <c r="BE33" t="s">
        <v>674</v>
      </c>
      <c r="BF33" t="s">
        <v>674</v>
      </c>
      <c r="BG33" t="s">
        <v>674</v>
      </c>
      <c r="BH33" t="s">
        <v>674</v>
      </c>
      <c r="BI33" t="s">
        <v>674</v>
      </c>
      <c r="BJ33" t="s">
        <v>674</v>
      </c>
      <c r="BK33" t="s">
        <v>674</v>
      </c>
      <c r="BL33" t="s">
        <v>674</v>
      </c>
      <c r="BM33" t="s">
        <v>674</v>
      </c>
      <c r="BN33" t="s">
        <v>674</v>
      </c>
      <c r="BO33" t="s">
        <v>674</v>
      </c>
      <c r="BP33" t="s">
        <v>674</v>
      </c>
      <c r="BQ33" t="s">
        <v>674</v>
      </c>
      <c r="BR33" t="s">
        <v>674</v>
      </c>
      <c r="BS33" t="s">
        <v>674</v>
      </c>
      <c r="BT33" t="s">
        <v>674</v>
      </c>
      <c r="BU33" t="s">
        <v>674</v>
      </c>
      <c r="BV33" t="s">
        <v>674</v>
      </c>
      <c r="BW33" t="s">
        <v>674</v>
      </c>
      <c r="BX33" t="s">
        <v>674</v>
      </c>
      <c r="BY33" t="s">
        <v>674</v>
      </c>
      <c r="BZ33" t="s">
        <v>674</v>
      </c>
      <c r="CA33" t="s">
        <v>674</v>
      </c>
      <c r="CB33" t="s">
        <v>674</v>
      </c>
      <c r="CC33" t="s">
        <v>674</v>
      </c>
      <c r="CD33" t="s">
        <v>674</v>
      </c>
      <c r="CE33" t="s">
        <v>674</v>
      </c>
      <c r="CF33" t="s">
        <v>674</v>
      </c>
      <c r="CG33" t="s">
        <v>674</v>
      </c>
      <c r="CH33" t="s">
        <v>674</v>
      </c>
      <c r="CI33" t="s">
        <v>674</v>
      </c>
    </row>
    <row r="34" spans="1:87" x14ac:dyDescent="0.25">
      <c r="A34" t="s">
        <v>400</v>
      </c>
      <c r="B34" t="s">
        <v>88</v>
      </c>
      <c r="D34" t="s">
        <v>401</v>
      </c>
      <c r="E34" t="s">
        <v>402</v>
      </c>
      <c r="F34" t="s">
        <v>674</v>
      </c>
      <c r="G34" t="s">
        <v>674</v>
      </c>
      <c r="H34" t="s">
        <v>674</v>
      </c>
      <c r="I34" t="s">
        <v>674</v>
      </c>
      <c r="J34" t="s">
        <v>674</v>
      </c>
      <c r="K34" t="s">
        <v>674</v>
      </c>
      <c r="L34" t="s">
        <v>674</v>
      </c>
      <c r="M34" s="1">
        <v>46258.849178240744</v>
      </c>
      <c r="N34" s="1">
        <v>46258.861354166664</v>
      </c>
      <c r="O34" s="1"/>
      <c r="P34" t="s">
        <v>674</v>
      </c>
      <c r="Q34" t="s">
        <v>674</v>
      </c>
      <c r="T34" t="s">
        <v>674</v>
      </c>
      <c r="U34" t="s">
        <v>674</v>
      </c>
      <c r="V34" t="s">
        <v>674</v>
      </c>
      <c r="W34" t="s">
        <v>674</v>
      </c>
      <c r="X34" t="s">
        <v>674</v>
      </c>
      <c r="Y34" t="s">
        <v>674</v>
      </c>
      <c r="Z34" t="s">
        <v>674</v>
      </c>
      <c r="AA34" t="s">
        <v>674</v>
      </c>
      <c r="AB34" t="s">
        <v>674</v>
      </c>
      <c r="AC34" t="s">
        <v>97</v>
      </c>
      <c r="AD34" t="s">
        <v>674</v>
      </c>
      <c r="AE34" t="s">
        <v>674</v>
      </c>
      <c r="AF34" t="s">
        <v>674</v>
      </c>
      <c r="AG34" t="s">
        <v>674</v>
      </c>
      <c r="AH34" t="s">
        <v>163</v>
      </c>
      <c r="AJ34" t="s">
        <v>674</v>
      </c>
      <c r="AK34" t="s">
        <v>674</v>
      </c>
      <c r="AL34" t="s">
        <v>403</v>
      </c>
      <c r="AM34" t="s">
        <v>674</v>
      </c>
      <c r="AN34" t="s">
        <v>404</v>
      </c>
      <c r="AO34" t="s">
        <v>674</v>
      </c>
      <c r="AP34" t="s">
        <v>674</v>
      </c>
      <c r="AQ34" t="s">
        <v>674</v>
      </c>
      <c r="AR34" t="s">
        <v>674</v>
      </c>
      <c r="AS34" t="s">
        <v>674</v>
      </c>
      <c r="AT34" t="s">
        <v>674</v>
      </c>
      <c r="AU34" t="s">
        <v>674</v>
      </c>
      <c r="AV34" t="s">
        <v>674</v>
      </c>
      <c r="AW34" t="s">
        <v>674</v>
      </c>
      <c r="AX34" t="s">
        <v>674</v>
      </c>
      <c r="AY34" t="s">
        <v>674</v>
      </c>
      <c r="AZ34" t="s">
        <v>674</v>
      </c>
      <c r="BA34" t="s">
        <v>674</v>
      </c>
      <c r="BB34" t="s">
        <v>674</v>
      </c>
      <c r="BC34" t="s">
        <v>674</v>
      </c>
      <c r="BD34" t="s">
        <v>674</v>
      </c>
      <c r="BE34" t="s">
        <v>674</v>
      </c>
      <c r="BF34" t="s">
        <v>674</v>
      </c>
      <c r="BG34" t="s">
        <v>674</v>
      </c>
      <c r="BH34" t="s">
        <v>674</v>
      </c>
      <c r="BI34" t="s">
        <v>674</v>
      </c>
      <c r="BJ34" t="s">
        <v>674</v>
      </c>
      <c r="BK34" t="s">
        <v>674</v>
      </c>
      <c r="BL34" t="s">
        <v>674</v>
      </c>
      <c r="BM34" t="s">
        <v>674</v>
      </c>
      <c r="BN34" t="s">
        <v>674</v>
      </c>
      <c r="BO34" t="s">
        <v>674</v>
      </c>
      <c r="BP34" t="s">
        <v>674</v>
      </c>
      <c r="BQ34" t="s">
        <v>674</v>
      </c>
      <c r="BR34" t="s">
        <v>674</v>
      </c>
      <c r="BS34" t="s">
        <v>674</v>
      </c>
      <c r="BT34" t="s">
        <v>674</v>
      </c>
      <c r="BU34" t="s">
        <v>674</v>
      </c>
      <c r="BV34" t="s">
        <v>674</v>
      </c>
      <c r="BW34" t="s">
        <v>674</v>
      </c>
      <c r="BX34" t="s">
        <v>674</v>
      </c>
      <c r="BY34" t="s">
        <v>674</v>
      </c>
      <c r="BZ34" t="s">
        <v>674</v>
      </c>
      <c r="CA34" t="s">
        <v>674</v>
      </c>
      <c r="CB34" t="s">
        <v>674</v>
      </c>
      <c r="CC34" t="s">
        <v>674</v>
      </c>
      <c r="CD34" t="s">
        <v>674</v>
      </c>
      <c r="CE34" t="s">
        <v>674</v>
      </c>
      <c r="CF34" t="s">
        <v>674</v>
      </c>
      <c r="CG34" t="s">
        <v>674</v>
      </c>
      <c r="CH34" t="s">
        <v>674</v>
      </c>
      <c r="CI34" t="s">
        <v>674</v>
      </c>
    </row>
    <row r="35" spans="1:87" x14ac:dyDescent="0.25">
      <c r="A35" t="s">
        <v>457</v>
      </c>
      <c r="B35" t="s">
        <v>88</v>
      </c>
      <c r="C35">
        <v>2026</v>
      </c>
      <c r="D35" t="s">
        <v>458</v>
      </c>
      <c r="E35" t="s">
        <v>459</v>
      </c>
      <c r="F35" t="s">
        <v>115</v>
      </c>
      <c r="G35" t="s">
        <v>674</v>
      </c>
      <c r="H35" t="s">
        <v>116</v>
      </c>
      <c r="I35" t="s">
        <v>460</v>
      </c>
      <c r="J35" t="s">
        <v>461</v>
      </c>
      <c r="K35" t="s">
        <v>674</v>
      </c>
      <c r="L35" t="s">
        <v>462</v>
      </c>
      <c r="M35" s="1">
        <v>46258.849803240744</v>
      </c>
      <c r="N35" s="1">
        <v>46258.859895833331</v>
      </c>
      <c r="O35" s="1">
        <v>46258.849803240744</v>
      </c>
      <c r="P35" t="s">
        <v>463</v>
      </c>
      <c r="Q35" t="s">
        <v>674</v>
      </c>
      <c r="R35">
        <v>5</v>
      </c>
      <c r="S35">
        <v>73</v>
      </c>
      <c r="T35" t="s">
        <v>674</v>
      </c>
      <c r="U35" t="s">
        <v>121</v>
      </c>
      <c r="V35" t="s">
        <v>674</v>
      </c>
      <c r="W35" t="s">
        <v>674</v>
      </c>
      <c r="X35" t="s">
        <v>674</v>
      </c>
      <c r="Y35" t="s">
        <v>674</v>
      </c>
      <c r="Z35" t="s">
        <v>674</v>
      </c>
      <c r="AA35" t="s">
        <v>674</v>
      </c>
      <c r="AB35" t="s">
        <v>674</v>
      </c>
      <c r="AC35" t="s">
        <v>674</v>
      </c>
      <c r="AD35" t="s">
        <v>122</v>
      </c>
      <c r="AE35" t="s">
        <v>674</v>
      </c>
      <c r="AF35" t="s">
        <v>674</v>
      </c>
      <c r="AG35" t="s">
        <v>674</v>
      </c>
      <c r="AH35" t="s">
        <v>99</v>
      </c>
      <c r="AJ35" t="s">
        <v>674</v>
      </c>
      <c r="AK35" t="s">
        <v>674</v>
      </c>
      <c r="AL35" t="s">
        <v>464</v>
      </c>
      <c r="AM35" t="s">
        <v>674</v>
      </c>
      <c r="AN35" t="s">
        <v>293</v>
      </c>
      <c r="AO35" t="s">
        <v>674</v>
      </c>
      <c r="AP35" t="s">
        <v>674</v>
      </c>
      <c r="AQ35" t="s">
        <v>674</v>
      </c>
      <c r="AR35" t="s">
        <v>674</v>
      </c>
      <c r="AS35" t="s">
        <v>674</v>
      </c>
      <c r="AT35" t="s">
        <v>674</v>
      </c>
      <c r="AU35" t="s">
        <v>674</v>
      </c>
      <c r="AV35" t="s">
        <v>674</v>
      </c>
      <c r="AW35" t="s">
        <v>674</v>
      </c>
      <c r="AX35" t="s">
        <v>674</v>
      </c>
      <c r="AY35" t="s">
        <v>674</v>
      </c>
      <c r="AZ35" t="s">
        <v>674</v>
      </c>
      <c r="BA35" t="s">
        <v>674</v>
      </c>
      <c r="BB35" t="s">
        <v>674</v>
      </c>
      <c r="BC35" t="s">
        <v>674</v>
      </c>
      <c r="BD35" t="s">
        <v>674</v>
      </c>
      <c r="BE35" t="s">
        <v>674</v>
      </c>
      <c r="BF35" t="s">
        <v>674</v>
      </c>
      <c r="BG35" t="s">
        <v>674</v>
      </c>
      <c r="BH35" t="s">
        <v>674</v>
      </c>
      <c r="BI35" t="s">
        <v>674</v>
      </c>
      <c r="BJ35" t="s">
        <v>674</v>
      </c>
      <c r="BK35" t="s">
        <v>674</v>
      </c>
      <c r="BL35" t="s">
        <v>674</v>
      </c>
      <c r="BM35" t="s">
        <v>674</v>
      </c>
      <c r="BN35" t="s">
        <v>674</v>
      </c>
      <c r="BO35" t="s">
        <v>674</v>
      </c>
      <c r="BP35" t="s">
        <v>674</v>
      </c>
      <c r="BQ35" t="s">
        <v>674</v>
      </c>
      <c r="BR35" t="s">
        <v>674</v>
      </c>
      <c r="BS35" t="s">
        <v>674</v>
      </c>
      <c r="BT35" t="s">
        <v>674</v>
      </c>
      <c r="BU35" t="s">
        <v>674</v>
      </c>
      <c r="BV35" t="s">
        <v>674</v>
      </c>
      <c r="BW35" t="s">
        <v>674</v>
      </c>
      <c r="BX35" t="s">
        <v>674</v>
      </c>
      <c r="BY35" t="s">
        <v>674</v>
      </c>
      <c r="BZ35" t="s">
        <v>674</v>
      </c>
      <c r="CA35" t="s">
        <v>674</v>
      </c>
      <c r="CB35" t="s">
        <v>674</v>
      </c>
      <c r="CC35" t="s">
        <v>674</v>
      </c>
      <c r="CD35" t="s">
        <v>674</v>
      </c>
      <c r="CE35" t="s">
        <v>674</v>
      </c>
      <c r="CF35" t="s">
        <v>674</v>
      </c>
      <c r="CG35" t="s">
        <v>674</v>
      </c>
      <c r="CH35" t="s">
        <v>674</v>
      </c>
      <c r="CI35" t="s">
        <v>674</v>
      </c>
    </row>
    <row r="36" spans="1:87" x14ac:dyDescent="0.25">
      <c r="A36" t="s">
        <v>405</v>
      </c>
      <c r="B36" t="s">
        <v>88</v>
      </c>
      <c r="D36" t="s">
        <v>406</v>
      </c>
      <c r="E36" t="s">
        <v>407</v>
      </c>
      <c r="F36" t="s">
        <v>674</v>
      </c>
      <c r="G36" t="s">
        <v>674</v>
      </c>
      <c r="H36" t="s">
        <v>674</v>
      </c>
      <c r="I36" t="s">
        <v>674</v>
      </c>
      <c r="J36" t="s">
        <v>674</v>
      </c>
      <c r="K36" t="s">
        <v>408</v>
      </c>
      <c r="L36" t="s">
        <v>674</v>
      </c>
      <c r="M36" s="1">
        <v>46258.849247685182</v>
      </c>
      <c r="N36" s="1">
        <v>46258.858877314815</v>
      </c>
      <c r="O36" s="1"/>
      <c r="P36" t="s">
        <v>674</v>
      </c>
      <c r="Q36" t="s">
        <v>674</v>
      </c>
      <c r="T36" t="s">
        <v>674</v>
      </c>
      <c r="U36" t="s">
        <v>674</v>
      </c>
      <c r="V36" t="s">
        <v>674</v>
      </c>
      <c r="W36" t="s">
        <v>674</v>
      </c>
      <c r="X36" t="s">
        <v>674</v>
      </c>
      <c r="Y36" t="s">
        <v>674</v>
      </c>
      <c r="Z36" t="s">
        <v>674</v>
      </c>
      <c r="AA36" t="s">
        <v>674</v>
      </c>
      <c r="AB36" t="s">
        <v>674</v>
      </c>
      <c r="AC36" t="s">
        <v>97</v>
      </c>
      <c r="AD36" t="s">
        <v>674</v>
      </c>
      <c r="AE36" t="s">
        <v>674</v>
      </c>
      <c r="AF36" t="s">
        <v>674</v>
      </c>
      <c r="AG36" t="s">
        <v>674</v>
      </c>
      <c r="AH36" t="s">
        <v>163</v>
      </c>
      <c r="AJ36" t="s">
        <v>674</v>
      </c>
      <c r="AK36" t="s">
        <v>674</v>
      </c>
      <c r="AL36" t="s">
        <v>409</v>
      </c>
      <c r="AM36" t="s">
        <v>674</v>
      </c>
      <c r="AN36" t="s">
        <v>410</v>
      </c>
      <c r="AO36" t="s">
        <v>674</v>
      </c>
      <c r="AP36" t="s">
        <v>674</v>
      </c>
      <c r="AQ36" t="s">
        <v>674</v>
      </c>
      <c r="AR36" t="s">
        <v>674</v>
      </c>
      <c r="AS36" t="s">
        <v>674</v>
      </c>
      <c r="AT36" t="s">
        <v>674</v>
      </c>
      <c r="AU36" t="s">
        <v>674</v>
      </c>
      <c r="AV36" t="s">
        <v>674</v>
      </c>
      <c r="AW36" t="s">
        <v>674</v>
      </c>
      <c r="AX36" t="s">
        <v>674</v>
      </c>
      <c r="AY36" t="s">
        <v>674</v>
      </c>
      <c r="AZ36" t="s">
        <v>674</v>
      </c>
      <c r="BA36" t="s">
        <v>674</v>
      </c>
      <c r="BB36" t="s">
        <v>674</v>
      </c>
      <c r="BC36" t="s">
        <v>674</v>
      </c>
      <c r="BD36" t="s">
        <v>674</v>
      </c>
      <c r="BE36" t="s">
        <v>674</v>
      </c>
      <c r="BF36" t="s">
        <v>674</v>
      </c>
      <c r="BG36" t="s">
        <v>674</v>
      </c>
      <c r="BH36" t="s">
        <v>674</v>
      </c>
      <c r="BI36" t="s">
        <v>674</v>
      </c>
      <c r="BJ36" t="s">
        <v>674</v>
      </c>
      <c r="BK36" t="s">
        <v>674</v>
      </c>
      <c r="BL36" t="s">
        <v>674</v>
      </c>
      <c r="BM36" t="s">
        <v>674</v>
      </c>
      <c r="BN36" t="s">
        <v>674</v>
      </c>
      <c r="BO36" t="s">
        <v>674</v>
      </c>
      <c r="BP36" t="s">
        <v>674</v>
      </c>
      <c r="BQ36" t="s">
        <v>674</v>
      </c>
      <c r="BR36" t="s">
        <v>674</v>
      </c>
      <c r="BS36" t="s">
        <v>674</v>
      </c>
      <c r="BT36" t="s">
        <v>674</v>
      </c>
      <c r="BU36" t="s">
        <v>674</v>
      </c>
      <c r="BV36" t="s">
        <v>674</v>
      </c>
      <c r="BW36" t="s">
        <v>674</v>
      </c>
      <c r="BX36" t="s">
        <v>674</v>
      </c>
      <c r="BY36" t="s">
        <v>674</v>
      </c>
      <c r="BZ36" t="s">
        <v>674</v>
      </c>
      <c r="CA36" t="s">
        <v>674</v>
      </c>
      <c r="CB36" t="s">
        <v>674</v>
      </c>
      <c r="CC36" t="s">
        <v>674</v>
      </c>
      <c r="CD36" t="s">
        <v>674</v>
      </c>
      <c r="CE36" t="s">
        <v>674</v>
      </c>
      <c r="CF36" t="s">
        <v>674</v>
      </c>
      <c r="CG36" t="s">
        <v>674</v>
      </c>
      <c r="CH36" t="s">
        <v>674</v>
      </c>
      <c r="CI36" t="s">
        <v>674</v>
      </c>
    </row>
    <row r="37" spans="1:87" x14ac:dyDescent="0.25">
      <c r="A37" t="s">
        <v>434</v>
      </c>
      <c r="B37" t="s">
        <v>126</v>
      </c>
      <c r="C37">
        <v>2022</v>
      </c>
      <c r="D37" t="s">
        <v>435</v>
      </c>
      <c r="E37" t="s">
        <v>436</v>
      </c>
      <c r="F37" t="s">
        <v>437</v>
      </c>
      <c r="G37" t="s">
        <v>438</v>
      </c>
      <c r="H37" t="s">
        <v>674</v>
      </c>
      <c r="I37" t="s">
        <v>439</v>
      </c>
      <c r="J37" t="s">
        <v>440</v>
      </c>
      <c r="K37" t="s">
        <v>674</v>
      </c>
      <c r="L37" t="s">
        <v>695</v>
      </c>
      <c r="M37" s="1">
        <v>46258.84957175926</v>
      </c>
      <c r="N37" s="1">
        <v>46258.858599537038</v>
      </c>
      <c r="O37" s="1">
        <v>46258.84957175926</v>
      </c>
      <c r="P37" t="s">
        <v>441</v>
      </c>
      <c r="Q37" t="s">
        <v>674</v>
      </c>
      <c r="T37" t="s">
        <v>674</v>
      </c>
      <c r="U37" t="s">
        <v>674</v>
      </c>
      <c r="V37" t="s">
        <v>674</v>
      </c>
      <c r="W37" t="s">
        <v>674</v>
      </c>
      <c r="X37" t="s">
        <v>674</v>
      </c>
      <c r="Y37" t="s">
        <v>674</v>
      </c>
      <c r="Z37" t="s">
        <v>674</v>
      </c>
      <c r="AA37" t="s">
        <v>133</v>
      </c>
      <c r="AB37" t="s">
        <v>442</v>
      </c>
      <c r="AC37" t="s">
        <v>674</v>
      </c>
      <c r="AD37" t="s">
        <v>135</v>
      </c>
      <c r="AE37" t="s">
        <v>674</v>
      </c>
      <c r="AF37" t="s">
        <v>674</v>
      </c>
      <c r="AG37" t="s">
        <v>674</v>
      </c>
      <c r="AH37" t="s">
        <v>99</v>
      </c>
      <c r="AJ37" t="s">
        <v>674</v>
      </c>
      <c r="AK37" t="s">
        <v>674</v>
      </c>
      <c r="AL37" t="s">
        <v>443</v>
      </c>
      <c r="AM37" t="s">
        <v>674</v>
      </c>
      <c r="AN37" t="s">
        <v>444</v>
      </c>
      <c r="AO37" t="s">
        <v>674</v>
      </c>
      <c r="AP37" t="s">
        <v>674</v>
      </c>
      <c r="AQ37" t="s">
        <v>674</v>
      </c>
      <c r="AR37" t="s">
        <v>674</v>
      </c>
      <c r="AS37" t="s">
        <v>674</v>
      </c>
      <c r="AT37" t="s">
        <v>674</v>
      </c>
      <c r="AU37" t="s">
        <v>674</v>
      </c>
      <c r="AV37" t="s">
        <v>674</v>
      </c>
      <c r="AW37" t="s">
        <v>674</v>
      </c>
      <c r="AX37" t="s">
        <v>674</v>
      </c>
      <c r="AY37" t="s">
        <v>674</v>
      </c>
      <c r="AZ37" t="s">
        <v>674</v>
      </c>
      <c r="BA37" t="s">
        <v>674</v>
      </c>
      <c r="BB37" t="s">
        <v>674</v>
      </c>
      <c r="BC37" t="s">
        <v>674</v>
      </c>
      <c r="BD37" t="s">
        <v>674</v>
      </c>
      <c r="BE37" t="s">
        <v>674</v>
      </c>
      <c r="BF37" t="s">
        <v>674</v>
      </c>
      <c r="BG37" t="s">
        <v>674</v>
      </c>
      <c r="BH37" t="s">
        <v>674</v>
      </c>
      <c r="BI37" t="s">
        <v>674</v>
      </c>
      <c r="BJ37" t="s">
        <v>674</v>
      </c>
      <c r="BK37" t="s">
        <v>674</v>
      </c>
      <c r="BL37" t="s">
        <v>674</v>
      </c>
      <c r="BM37" t="s">
        <v>674</v>
      </c>
      <c r="BN37" t="s">
        <v>674</v>
      </c>
      <c r="BO37" t="s">
        <v>674</v>
      </c>
      <c r="BP37" t="s">
        <v>674</v>
      </c>
      <c r="BQ37" t="s">
        <v>674</v>
      </c>
      <c r="BR37" t="s">
        <v>674</v>
      </c>
      <c r="BS37" t="s">
        <v>674</v>
      </c>
      <c r="BT37" t="s">
        <v>437</v>
      </c>
      <c r="BU37" t="s">
        <v>674</v>
      </c>
      <c r="BV37" t="s">
        <v>674</v>
      </c>
      <c r="BW37" t="s">
        <v>674</v>
      </c>
      <c r="BX37" t="s">
        <v>674</v>
      </c>
      <c r="BY37" t="s">
        <v>674</v>
      </c>
      <c r="BZ37" t="s">
        <v>674</v>
      </c>
      <c r="CA37" t="s">
        <v>674</v>
      </c>
      <c r="CB37" t="s">
        <v>674</v>
      </c>
      <c r="CC37" t="s">
        <v>674</v>
      </c>
      <c r="CD37" t="s">
        <v>674</v>
      </c>
      <c r="CE37" t="s">
        <v>674</v>
      </c>
      <c r="CF37" t="s">
        <v>674</v>
      </c>
      <c r="CG37" t="s">
        <v>674</v>
      </c>
      <c r="CH37" t="s">
        <v>674</v>
      </c>
      <c r="CI37" t="s">
        <v>674</v>
      </c>
    </row>
    <row r="38" spans="1:87" x14ac:dyDescent="0.25">
      <c r="A38" t="s">
        <v>476</v>
      </c>
      <c r="B38" t="s">
        <v>88</v>
      </c>
      <c r="C38">
        <v>2022</v>
      </c>
      <c r="D38" t="s">
        <v>477</v>
      </c>
      <c r="E38" t="s">
        <v>478</v>
      </c>
      <c r="F38" t="s">
        <v>479</v>
      </c>
      <c r="G38" t="s">
        <v>674</v>
      </c>
      <c r="H38" t="s">
        <v>480</v>
      </c>
      <c r="I38" t="s">
        <v>481</v>
      </c>
      <c r="J38" t="s">
        <v>482</v>
      </c>
      <c r="K38" t="s">
        <v>483</v>
      </c>
      <c r="L38" t="s">
        <v>697</v>
      </c>
      <c r="M38" s="1">
        <v>46258.849988425929</v>
      </c>
      <c r="N38" s="1">
        <v>46258.858275462961</v>
      </c>
      <c r="O38" s="1">
        <v>46258.849988425929</v>
      </c>
      <c r="P38" t="s">
        <v>698</v>
      </c>
      <c r="Q38" t="s">
        <v>674</v>
      </c>
      <c r="R38">
        <v>10</v>
      </c>
      <c r="S38">
        <v>12</v>
      </c>
      <c r="T38" t="s">
        <v>674</v>
      </c>
      <c r="U38" t="s">
        <v>479</v>
      </c>
      <c r="V38" t="s">
        <v>674</v>
      </c>
      <c r="W38" t="s">
        <v>674</v>
      </c>
      <c r="X38" t="s">
        <v>674</v>
      </c>
      <c r="Y38" t="s">
        <v>674</v>
      </c>
      <c r="Z38" t="s">
        <v>674</v>
      </c>
      <c r="AA38" t="s">
        <v>674</v>
      </c>
      <c r="AB38" t="s">
        <v>674</v>
      </c>
      <c r="AC38" t="s">
        <v>97</v>
      </c>
      <c r="AD38" t="s">
        <v>674</v>
      </c>
      <c r="AE38" t="s">
        <v>674</v>
      </c>
      <c r="AF38" t="s">
        <v>674</v>
      </c>
      <c r="AG38" t="s">
        <v>674</v>
      </c>
      <c r="AH38" t="s">
        <v>99</v>
      </c>
      <c r="AJ38" t="s">
        <v>674</v>
      </c>
      <c r="AK38" t="s">
        <v>674</v>
      </c>
      <c r="AL38" t="s">
        <v>484</v>
      </c>
      <c r="AM38" t="s">
        <v>674</v>
      </c>
      <c r="AN38" t="s">
        <v>444</v>
      </c>
      <c r="AO38" t="s">
        <v>674</v>
      </c>
      <c r="AP38" t="s">
        <v>674</v>
      </c>
      <c r="AQ38" t="s">
        <v>674</v>
      </c>
      <c r="AR38" t="s">
        <v>674</v>
      </c>
      <c r="AS38" t="s">
        <v>674</v>
      </c>
      <c r="AT38" t="s">
        <v>674</v>
      </c>
      <c r="AU38" t="s">
        <v>674</v>
      </c>
      <c r="AV38" t="s">
        <v>674</v>
      </c>
      <c r="AW38" t="s">
        <v>674</v>
      </c>
      <c r="AX38" t="s">
        <v>674</v>
      </c>
      <c r="AY38" t="s">
        <v>674</v>
      </c>
      <c r="AZ38" t="s">
        <v>674</v>
      </c>
      <c r="BA38" t="s">
        <v>674</v>
      </c>
      <c r="BB38" t="s">
        <v>674</v>
      </c>
      <c r="BC38" t="s">
        <v>674</v>
      </c>
      <c r="BD38" t="s">
        <v>674</v>
      </c>
      <c r="BE38" t="s">
        <v>674</v>
      </c>
      <c r="BF38" t="s">
        <v>674</v>
      </c>
      <c r="BG38" t="s">
        <v>674</v>
      </c>
      <c r="BH38" t="s">
        <v>674</v>
      </c>
      <c r="BI38" t="s">
        <v>674</v>
      </c>
      <c r="BJ38" t="s">
        <v>674</v>
      </c>
      <c r="BK38" t="s">
        <v>674</v>
      </c>
      <c r="BL38" t="s">
        <v>674</v>
      </c>
      <c r="BM38" t="s">
        <v>674</v>
      </c>
      <c r="BN38" t="s">
        <v>674</v>
      </c>
      <c r="BO38" t="s">
        <v>674</v>
      </c>
      <c r="BP38" t="s">
        <v>674</v>
      </c>
      <c r="BQ38" t="s">
        <v>674</v>
      </c>
      <c r="BR38" t="s">
        <v>674</v>
      </c>
      <c r="BS38" t="s">
        <v>674</v>
      </c>
      <c r="BT38" t="s">
        <v>674</v>
      </c>
      <c r="BU38" t="s">
        <v>674</v>
      </c>
      <c r="BV38" t="s">
        <v>674</v>
      </c>
      <c r="BW38" t="s">
        <v>674</v>
      </c>
      <c r="BX38" t="s">
        <v>674</v>
      </c>
      <c r="BY38" t="s">
        <v>674</v>
      </c>
      <c r="BZ38" t="s">
        <v>674</v>
      </c>
      <c r="CA38" t="s">
        <v>674</v>
      </c>
      <c r="CB38" t="s">
        <v>674</v>
      </c>
      <c r="CC38" t="s">
        <v>674</v>
      </c>
      <c r="CD38" t="s">
        <v>674</v>
      </c>
      <c r="CE38" t="s">
        <v>674</v>
      </c>
      <c r="CF38" t="s">
        <v>674</v>
      </c>
      <c r="CG38" t="s">
        <v>674</v>
      </c>
      <c r="CH38" t="s">
        <v>674</v>
      </c>
      <c r="CI38" t="s">
        <v>674</v>
      </c>
    </row>
    <row r="39" spans="1:87" x14ac:dyDescent="0.25">
      <c r="A39" t="s">
        <v>411</v>
      </c>
      <c r="B39" t="s">
        <v>88</v>
      </c>
      <c r="C39">
        <v>2015</v>
      </c>
      <c r="D39" t="s">
        <v>412</v>
      </c>
      <c r="E39" t="s">
        <v>413</v>
      </c>
      <c r="F39" t="s">
        <v>414</v>
      </c>
      <c r="G39" t="s">
        <v>674</v>
      </c>
      <c r="H39" t="s">
        <v>415</v>
      </c>
      <c r="I39" t="s">
        <v>416</v>
      </c>
      <c r="J39" t="s">
        <v>417</v>
      </c>
      <c r="K39" t="s">
        <v>674</v>
      </c>
      <c r="L39" t="s">
        <v>418</v>
      </c>
      <c r="M39" s="1">
        <v>46258.849305555559</v>
      </c>
      <c r="N39" s="1">
        <v>46258.857442129629</v>
      </c>
      <c r="O39" s="1">
        <v>46258.849305555559</v>
      </c>
      <c r="P39" t="s">
        <v>419</v>
      </c>
      <c r="Q39" t="s">
        <v>674</v>
      </c>
      <c r="R39">
        <v>3</v>
      </c>
      <c r="S39">
        <v>51</v>
      </c>
      <c r="T39" t="s">
        <v>674</v>
      </c>
      <c r="U39" t="s">
        <v>420</v>
      </c>
      <c r="V39" t="s">
        <v>674</v>
      </c>
      <c r="W39" t="s">
        <v>674</v>
      </c>
      <c r="X39" t="s">
        <v>674</v>
      </c>
      <c r="Y39" t="s">
        <v>674</v>
      </c>
      <c r="Z39" t="s">
        <v>674</v>
      </c>
      <c r="AA39" t="s">
        <v>674</v>
      </c>
      <c r="AB39" t="s">
        <v>674</v>
      </c>
      <c r="AC39" t="s">
        <v>674</v>
      </c>
      <c r="AD39" t="s">
        <v>122</v>
      </c>
      <c r="AE39" t="s">
        <v>674</v>
      </c>
      <c r="AF39" t="s">
        <v>674</v>
      </c>
      <c r="AG39" t="s">
        <v>674</v>
      </c>
      <c r="AH39" t="s">
        <v>99</v>
      </c>
      <c r="AJ39" t="s">
        <v>674</v>
      </c>
      <c r="AK39" t="s">
        <v>674</v>
      </c>
      <c r="AL39" t="s">
        <v>421</v>
      </c>
      <c r="AM39" t="s">
        <v>674</v>
      </c>
      <c r="AN39" t="s">
        <v>422</v>
      </c>
      <c r="AO39" t="s">
        <v>674</v>
      </c>
      <c r="AP39" t="s">
        <v>674</v>
      </c>
      <c r="AQ39" t="s">
        <v>674</v>
      </c>
      <c r="AR39" t="s">
        <v>674</v>
      </c>
      <c r="AS39" t="s">
        <v>674</v>
      </c>
      <c r="AT39" t="s">
        <v>674</v>
      </c>
      <c r="AU39" t="s">
        <v>674</v>
      </c>
      <c r="AV39" t="s">
        <v>674</v>
      </c>
      <c r="AW39" t="s">
        <v>674</v>
      </c>
      <c r="AX39" t="s">
        <v>674</v>
      </c>
      <c r="AY39" t="s">
        <v>674</v>
      </c>
      <c r="AZ39" t="s">
        <v>674</v>
      </c>
      <c r="BA39" t="s">
        <v>674</v>
      </c>
      <c r="BB39" t="s">
        <v>674</v>
      </c>
      <c r="BC39" t="s">
        <v>674</v>
      </c>
      <c r="BD39" t="s">
        <v>674</v>
      </c>
      <c r="BE39" t="s">
        <v>674</v>
      </c>
      <c r="BF39" t="s">
        <v>674</v>
      </c>
      <c r="BG39" t="s">
        <v>674</v>
      </c>
      <c r="BH39" t="s">
        <v>674</v>
      </c>
      <c r="BI39" t="s">
        <v>674</v>
      </c>
      <c r="BJ39" t="s">
        <v>674</v>
      </c>
      <c r="BK39" t="s">
        <v>674</v>
      </c>
      <c r="BL39" t="s">
        <v>674</v>
      </c>
      <c r="BM39" t="s">
        <v>674</v>
      </c>
      <c r="BN39" t="s">
        <v>674</v>
      </c>
      <c r="BO39" t="s">
        <v>674</v>
      </c>
      <c r="BP39" t="s">
        <v>674</v>
      </c>
      <c r="BQ39" t="s">
        <v>674</v>
      </c>
      <c r="BR39" t="s">
        <v>674</v>
      </c>
      <c r="BS39" t="s">
        <v>674</v>
      </c>
      <c r="BT39" t="s">
        <v>674</v>
      </c>
      <c r="BU39" t="s">
        <v>674</v>
      </c>
      <c r="BV39" t="s">
        <v>674</v>
      </c>
      <c r="BW39" t="s">
        <v>674</v>
      </c>
      <c r="BX39" t="s">
        <v>674</v>
      </c>
      <c r="BY39" t="s">
        <v>674</v>
      </c>
      <c r="BZ39" t="s">
        <v>674</v>
      </c>
      <c r="CA39" t="s">
        <v>674</v>
      </c>
      <c r="CB39" t="s">
        <v>674</v>
      </c>
      <c r="CC39" t="s">
        <v>674</v>
      </c>
      <c r="CD39" t="s">
        <v>674</v>
      </c>
      <c r="CE39" t="s">
        <v>674</v>
      </c>
      <c r="CF39" t="s">
        <v>674</v>
      </c>
      <c r="CG39" t="s">
        <v>674</v>
      </c>
      <c r="CH39" t="s">
        <v>674</v>
      </c>
      <c r="CI39" t="s">
        <v>674</v>
      </c>
    </row>
    <row r="40" spans="1:87" x14ac:dyDescent="0.25">
      <c r="A40" t="s">
        <v>485</v>
      </c>
      <c r="B40" t="s">
        <v>126</v>
      </c>
      <c r="C40">
        <v>2016</v>
      </c>
      <c r="D40" t="s">
        <v>486</v>
      </c>
      <c r="E40" t="s">
        <v>487</v>
      </c>
      <c r="F40" t="s">
        <v>488</v>
      </c>
      <c r="G40" t="s">
        <v>489</v>
      </c>
      <c r="H40" t="s">
        <v>674</v>
      </c>
      <c r="I40" t="s">
        <v>490</v>
      </c>
      <c r="J40" t="s">
        <v>491</v>
      </c>
      <c r="K40" t="s">
        <v>674</v>
      </c>
      <c r="L40" t="s">
        <v>492</v>
      </c>
      <c r="M40" s="1">
        <v>46258.850057870368</v>
      </c>
      <c r="N40" s="1">
        <v>46258.856874999998</v>
      </c>
      <c r="O40" s="1">
        <v>46258.850057870368</v>
      </c>
      <c r="P40" t="s">
        <v>493</v>
      </c>
      <c r="Q40" t="s">
        <v>674</v>
      </c>
      <c r="T40" t="s">
        <v>674</v>
      </c>
      <c r="U40" t="s">
        <v>674</v>
      </c>
      <c r="V40" t="s">
        <v>674</v>
      </c>
      <c r="W40" t="s">
        <v>674</v>
      </c>
      <c r="X40" t="s">
        <v>674</v>
      </c>
      <c r="Y40" t="s">
        <v>674</v>
      </c>
      <c r="Z40" t="s">
        <v>674</v>
      </c>
      <c r="AA40" t="s">
        <v>133</v>
      </c>
      <c r="AB40" t="s">
        <v>494</v>
      </c>
      <c r="AC40" t="s">
        <v>674</v>
      </c>
      <c r="AD40" t="s">
        <v>674</v>
      </c>
      <c r="AE40" t="s">
        <v>674</v>
      </c>
      <c r="AF40" t="s">
        <v>674</v>
      </c>
      <c r="AG40" t="s">
        <v>674</v>
      </c>
      <c r="AH40" t="s">
        <v>99</v>
      </c>
      <c r="AJ40" t="s">
        <v>674</v>
      </c>
      <c r="AK40" t="s">
        <v>674</v>
      </c>
      <c r="AL40" t="s">
        <v>495</v>
      </c>
      <c r="AM40" t="s">
        <v>674</v>
      </c>
      <c r="AN40" t="s">
        <v>444</v>
      </c>
      <c r="AO40" t="s">
        <v>674</v>
      </c>
      <c r="AP40" t="s">
        <v>674</v>
      </c>
      <c r="AQ40" t="s">
        <v>674</v>
      </c>
      <c r="AR40" t="s">
        <v>674</v>
      </c>
      <c r="AS40" t="s">
        <v>674</v>
      </c>
      <c r="AT40" t="s">
        <v>674</v>
      </c>
      <c r="AU40" t="s">
        <v>674</v>
      </c>
      <c r="AV40" t="s">
        <v>674</v>
      </c>
      <c r="AW40" t="s">
        <v>674</v>
      </c>
      <c r="AX40" t="s">
        <v>674</v>
      </c>
      <c r="AY40" t="s">
        <v>674</v>
      </c>
      <c r="AZ40" t="s">
        <v>674</v>
      </c>
      <c r="BA40" t="s">
        <v>674</v>
      </c>
      <c r="BB40" t="s">
        <v>674</v>
      </c>
      <c r="BC40" t="s">
        <v>674</v>
      </c>
      <c r="BD40" t="s">
        <v>674</v>
      </c>
      <c r="BE40" t="s">
        <v>674</v>
      </c>
      <c r="BF40" t="s">
        <v>674</v>
      </c>
      <c r="BG40" t="s">
        <v>674</v>
      </c>
      <c r="BH40" t="s">
        <v>674</v>
      </c>
      <c r="BI40" t="s">
        <v>674</v>
      </c>
      <c r="BJ40" t="s">
        <v>674</v>
      </c>
      <c r="BK40" t="s">
        <v>674</v>
      </c>
      <c r="BL40" t="s">
        <v>674</v>
      </c>
      <c r="BM40" t="s">
        <v>674</v>
      </c>
      <c r="BN40" t="s">
        <v>674</v>
      </c>
      <c r="BO40" t="s">
        <v>674</v>
      </c>
      <c r="BP40" t="s">
        <v>674</v>
      </c>
      <c r="BQ40" t="s">
        <v>674</v>
      </c>
      <c r="BR40" t="s">
        <v>674</v>
      </c>
      <c r="BS40" t="s">
        <v>674</v>
      </c>
      <c r="BT40" t="s">
        <v>488</v>
      </c>
      <c r="BU40" t="s">
        <v>674</v>
      </c>
      <c r="BV40" t="s">
        <v>674</v>
      </c>
      <c r="BW40" t="s">
        <v>674</v>
      </c>
      <c r="BX40" t="s">
        <v>674</v>
      </c>
      <c r="BY40" t="s">
        <v>674</v>
      </c>
      <c r="BZ40" t="s">
        <v>674</v>
      </c>
      <c r="CA40" t="s">
        <v>674</v>
      </c>
      <c r="CB40" t="s">
        <v>674</v>
      </c>
      <c r="CC40" t="s">
        <v>674</v>
      </c>
      <c r="CD40" t="s">
        <v>674</v>
      </c>
      <c r="CE40" t="s">
        <v>674</v>
      </c>
      <c r="CF40" t="s">
        <v>674</v>
      </c>
      <c r="CG40" t="s">
        <v>674</v>
      </c>
      <c r="CH40" t="s">
        <v>674</v>
      </c>
      <c r="CI40" t="s">
        <v>674</v>
      </c>
    </row>
    <row r="41" spans="1:87" x14ac:dyDescent="0.25">
      <c r="A41" t="s">
        <v>465</v>
      </c>
      <c r="B41" t="s">
        <v>126</v>
      </c>
      <c r="C41">
        <v>2025</v>
      </c>
      <c r="D41" t="s">
        <v>466</v>
      </c>
      <c r="E41" t="s">
        <v>467</v>
      </c>
      <c r="F41" t="s">
        <v>468</v>
      </c>
      <c r="G41" t="s">
        <v>469</v>
      </c>
      <c r="H41" t="s">
        <v>674</v>
      </c>
      <c r="I41" t="s">
        <v>470</v>
      </c>
      <c r="J41" t="s">
        <v>471</v>
      </c>
      <c r="K41" t="s">
        <v>674</v>
      </c>
      <c r="L41" t="s">
        <v>696</v>
      </c>
      <c r="M41" s="1">
        <v>46258.849942129629</v>
      </c>
      <c r="N41" s="1">
        <v>46258.856307870374</v>
      </c>
      <c r="O41" s="1">
        <v>46258.849942129629</v>
      </c>
      <c r="P41" t="s">
        <v>472</v>
      </c>
      <c r="Q41" t="s">
        <v>674</v>
      </c>
      <c r="T41" t="s">
        <v>674</v>
      </c>
      <c r="U41" t="s">
        <v>674</v>
      </c>
      <c r="V41" t="s">
        <v>674</v>
      </c>
      <c r="W41" t="s">
        <v>674</v>
      </c>
      <c r="X41" t="s">
        <v>674</v>
      </c>
      <c r="Y41" t="s">
        <v>674</v>
      </c>
      <c r="Z41" t="s">
        <v>674</v>
      </c>
      <c r="AA41" t="s">
        <v>133</v>
      </c>
      <c r="AB41" t="s">
        <v>473</v>
      </c>
      <c r="AC41" t="s">
        <v>674</v>
      </c>
      <c r="AD41" t="s">
        <v>135</v>
      </c>
      <c r="AE41" t="s">
        <v>674</v>
      </c>
      <c r="AF41" t="s">
        <v>674</v>
      </c>
      <c r="AG41" t="s">
        <v>674</v>
      </c>
      <c r="AH41" t="s">
        <v>99</v>
      </c>
      <c r="AJ41" t="s">
        <v>674</v>
      </c>
      <c r="AK41" t="s">
        <v>674</v>
      </c>
      <c r="AL41" t="s">
        <v>474</v>
      </c>
      <c r="AM41" t="s">
        <v>674</v>
      </c>
      <c r="AN41" t="s">
        <v>475</v>
      </c>
      <c r="AO41" t="s">
        <v>674</v>
      </c>
      <c r="AP41" t="s">
        <v>674</v>
      </c>
      <c r="AQ41" t="s">
        <v>674</v>
      </c>
      <c r="AR41" t="s">
        <v>674</v>
      </c>
      <c r="AS41" t="s">
        <v>674</v>
      </c>
      <c r="AT41" t="s">
        <v>674</v>
      </c>
      <c r="AU41" t="s">
        <v>674</v>
      </c>
      <c r="AV41" t="s">
        <v>674</v>
      </c>
      <c r="AW41" t="s">
        <v>674</v>
      </c>
      <c r="AX41" t="s">
        <v>674</v>
      </c>
      <c r="AY41" t="s">
        <v>674</v>
      </c>
      <c r="AZ41" t="s">
        <v>674</v>
      </c>
      <c r="BA41" t="s">
        <v>674</v>
      </c>
      <c r="BB41" t="s">
        <v>674</v>
      </c>
      <c r="BC41" t="s">
        <v>674</v>
      </c>
      <c r="BD41" t="s">
        <v>674</v>
      </c>
      <c r="BE41" t="s">
        <v>674</v>
      </c>
      <c r="BF41" t="s">
        <v>674</v>
      </c>
      <c r="BG41" t="s">
        <v>674</v>
      </c>
      <c r="BH41" t="s">
        <v>674</v>
      </c>
      <c r="BI41" t="s">
        <v>674</v>
      </c>
      <c r="BJ41" t="s">
        <v>674</v>
      </c>
      <c r="BK41" t="s">
        <v>674</v>
      </c>
      <c r="BL41" t="s">
        <v>674</v>
      </c>
      <c r="BM41" t="s">
        <v>674</v>
      </c>
      <c r="BN41" t="s">
        <v>674</v>
      </c>
      <c r="BO41" t="s">
        <v>674</v>
      </c>
      <c r="BP41" t="s">
        <v>674</v>
      </c>
      <c r="BQ41" t="s">
        <v>674</v>
      </c>
      <c r="BR41" t="s">
        <v>674</v>
      </c>
      <c r="BS41" t="s">
        <v>674</v>
      </c>
      <c r="BT41" t="s">
        <v>468</v>
      </c>
      <c r="BU41" t="s">
        <v>674</v>
      </c>
      <c r="BV41" t="s">
        <v>674</v>
      </c>
      <c r="BW41" t="s">
        <v>674</v>
      </c>
      <c r="BX41" t="s">
        <v>674</v>
      </c>
      <c r="BY41" t="s">
        <v>674</v>
      </c>
      <c r="BZ41" t="s">
        <v>674</v>
      </c>
      <c r="CA41" t="s">
        <v>674</v>
      </c>
      <c r="CB41" t="s">
        <v>674</v>
      </c>
      <c r="CC41" t="s">
        <v>674</v>
      </c>
      <c r="CD41" t="s">
        <v>674</v>
      </c>
      <c r="CE41" t="s">
        <v>674</v>
      </c>
      <c r="CF41" t="s">
        <v>674</v>
      </c>
      <c r="CG41" t="s">
        <v>674</v>
      </c>
      <c r="CH41" t="s">
        <v>674</v>
      </c>
      <c r="CI41" t="s">
        <v>674</v>
      </c>
    </row>
    <row r="42" spans="1:87" x14ac:dyDescent="0.25">
      <c r="A42" t="s">
        <v>423</v>
      </c>
      <c r="B42" t="s">
        <v>126</v>
      </c>
      <c r="C42">
        <v>2017</v>
      </c>
      <c r="D42" t="s">
        <v>424</v>
      </c>
      <c r="E42" t="s">
        <v>425</v>
      </c>
      <c r="F42" t="s">
        <v>426</v>
      </c>
      <c r="G42" t="s">
        <v>427</v>
      </c>
      <c r="H42" t="s">
        <v>674</v>
      </c>
      <c r="I42" t="s">
        <v>428</v>
      </c>
      <c r="J42" t="s">
        <v>429</v>
      </c>
      <c r="K42" t="s">
        <v>674</v>
      </c>
      <c r="L42" t="s">
        <v>430</v>
      </c>
      <c r="M42" s="1">
        <v>46258.849502314813</v>
      </c>
      <c r="N42" s="1">
        <v>46258.855324074073</v>
      </c>
      <c r="O42" s="1">
        <v>46258.849502314813</v>
      </c>
      <c r="P42" t="s">
        <v>431</v>
      </c>
      <c r="Q42" t="s">
        <v>674</v>
      </c>
      <c r="T42" t="s">
        <v>674</v>
      </c>
      <c r="U42" t="s">
        <v>674</v>
      </c>
      <c r="V42" t="s">
        <v>674</v>
      </c>
      <c r="W42" t="s">
        <v>674</v>
      </c>
      <c r="X42" t="s">
        <v>674</v>
      </c>
      <c r="Y42" t="s">
        <v>674</v>
      </c>
      <c r="Z42" t="s">
        <v>674</v>
      </c>
      <c r="AA42" t="s">
        <v>133</v>
      </c>
      <c r="AB42" t="s">
        <v>432</v>
      </c>
      <c r="AC42" t="s">
        <v>674</v>
      </c>
      <c r="AD42" t="s">
        <v>674</v>
      </c>
      <c r="AE42" t="s">
        <v>674</v>
      </c>
      <c r="AF42" t="s">
        <v>674</v>
      </c>
      <c r="AG42" t="s">
        <v>674</v>
      </c>
      <c r="AH42" t="s">
        <v>99</v>
      </c>
      <c r="AJ42" t="s">
        <v>674</v>
      </c>
      <c r="AK42" t="s">
        <v>674</v>
      </c>
      <c r="AL42" t="s">
        <v>433</v>
      </c>
      <c r="AM42" t="s">
        <v>674</v>
      </c>
      <c r="AN42" t="s">
        <v>404</v>
      </c>
      <c r="AO42" t="s">
        <v>674</v>
      </c>
      <c r="AP42" t="s">
        <v>674</v>
      </c>
      <c r="AQ42" t="s">
        <v>674</v>
      </c>
      <c r="AR42" t="s">
        <v>674</v>
      </c>
      <c r="AS42" t="s">
        <v>674</v>
      </c>
      <c r="AT42" t="s">
        <v>674</v>
      </c>
      <c r="AU42" t="s">
        <v>674</v>
      </c>
      <c r="AV42" t="s">
        <v>674</v>
      </c>
      <c r="AW42" t="s">
        <v>674</v>
      </c>
      <c r="AX42" t="s">
        <v>674</v>
      </c>
      <c r="AY42" t="s">
        <v>674</v>
      </c>
      <c r="AZ42" t="s">
        <v>674</v>
      </c>
      <c r="BA42" t="s">
        <v>674</v>
      </c>
      <c r="BB42" t="s">
        <v>674</v>
      </c>
      <c r="BC42" t="s">
        <v>674</v>
      </c>
      <c r="BD42" t="s">
        <v>674</v>
      </c>
      <c r="BE42" t="s">
        <v>674</v>
      </c>
      <c r="BF42" t="s">
        <v>674</v>
      </c>
      <c r="BG42" t="s">
        <v>674</v>
      </c>
      <c r="BH42" t="s">
        <v>674</v>
      </c>
      <c r="BI42" t="s">
        <v>674</v>
      </c>
      <c r="BJ42" t="s">
        <v>674</v>
      </c>
      <c r="BK42" t="s">
        <v>674</v>
      </c>
      <c r="BL42" t="s">
        <v>674</v>
      </c>
      <c r="BM42" t="s">
        <v>674</v>
      </c>
      <c r="BN42" t="s">
        <v>674</v>
      </c>
      <c r="BO42" t="s">
        <v>674</v>
      </c>
      <c r="BP42" t="s">
        <v>674</v>
      </c>
      <c r="BQ42" t="s">
        <v>674</v>
      </c>
      <c r="BR42" t="s">
        <v>674</v>
      </c>
      <c r="BS42" t="s">
        <v>674</v>
      </c>
      <c r="BT42" t="s">
        <v>426</v>
      </c>
      <c r="BU42" t="s">
        <v>674</v>
      </c>
      <c r="BV42" t="s">
        <v>674</v>
      </c>
      <c r="BW42" t="s">
        <v>674</v>
      </c>
      <c r="BX42" t="s">
        <v>674</v>
      </c>
      <c r="BY42" t="s">
        <v>674</v>
      </c>
      <c r="BZ42" t="s">
        <v>674</v>
      </c>
      <c r="CA42" t="s">
        <v>674</v>
      </c>
      <c r="CB42" t="s">
        <v>674</v>
      </c>
      <c r="CC42" t="s">
        <v>674</v>
      </c>
      <c r="CD42" t="s">
        <v>674</v>
      </c>
      <c r="CE42" t="s">
        <v>674</v>
      </c>
      <c r="CF42" t="s">
        <v>674</v>
      </c>
      <c r="CG42" t="s">
        <v>674</v>
      </c>
      <c r="CH42" t="s">
        <v>674</v>
      </c>
      <c r="CI42" t="s">
        <v>674</v>
      </c>
    </row>
    <row r="43" spans="1:87" x14ac:dyDescent="0.25">
      <c r="A43" t="s">
        <v>445</v>
      </c>
      <c r="B43" t="s">
        <v>126</v>
      </c>
      <c r="C43">
        <v>2013</v>
      </c>
      <c r="D43" t="s">
        <v>446</v>
      </c>
      <c r="E43" t="s">
        <v>447</v>
      </c>
      <c r="F43" t="s">
        <v>448</v>
      </c>
      <c r="G43" t="s">
        <v>449</v>
      </c>
      <c r="H43" t="s">
        <v>674</v>
      </c>
      <c r="I43" t="s">
        <v>450</v>
      </c>
      <c r="J43" t="s">
        <v>451</v>
      </c>
      <c r="K43" t="s">
        <v>674</v>
      </c>
      <c r="L43" t="s">
        <v>452</v>
      </c>
      <c r="M43" s="1">
        <v>46258.849606481483</v>
      </c>
      <c r="N43" s="1">
        <v>46258.854386574072</v>
      </c>
      <c r="O43" s="1">
        <v>46258.849606481483</v>
      </c>
      <c r="P43" t="s">
        <v>453</v>
      </c>
      <c r="Q43" t="s">
        <v>674</v>
      </c>
      <c r="T43" t="s">
        <v>674</v>
      </c>
      <c r="U43" t="s">
        <v>674</v>
      </c>
      <c r="V43" t="s">
        <v>674</v>
      </c>
      <c r="W43" t="s">
        <v>674</v>
      </c>
      <c r="X43" t="s">
        <v>674</v>
      </c>
      <c r="Y43" t="s">
        <v>674</v>
      </c>
      <c r="Z43" t="s">
        <v>674</v>
      </c>
      <c r="AA43" t="s">
        <v>133</v>
      </c>
      <c r="AB43" t="s">
        <v>454</v>
      </c>
      <c r="AC43" t="s">
        <v>674</v>
      </c>
      <c r="AD43" t="s">
        <v>674</v>
      </c>
      <c r="AE43" t="s">
        <v>674</v>
      </c>
      <c r="AF43" t="s">
        <v>674</v>
      </c>
      <c r="AG43" t="s">
        <v>674</v>
      </c>
      <c r="AH43" t="s">
        <v>99</v>
      </c>
      <c r="AJ43" t="s">
        <v>674</v>
      </c>
      <c r="AK43" t="s">
        <v>674</v>
      </c>
      <c r="AL43" t="s">
        <v>455</v>
      </c>
      <c r="AM43" t="s">
        <v>674</v>
      </c>
      <c r="AN43" t="s">
        <v>293</v>
      </c>
      <c r="AO43" t="s">
        <v>674</v>
      </c>
      <c r="AP43" t="s">
        <v>674</v>
      </c>
      <c r="AQ43" t="s">
        <v>674</v>
      </c>
      <c r="AR43" t="s">
        <v>674</v>
      </c>
      <c r="AS43" t="s">
        <v>674</v>
      </c>
      <c r="AT43" t="s">
        <v>674</v>
      </c>
      <c r="AU43" t="s">
        <v>674</v>
      </c>
      <c r="AV43" t="s">
        <v>674</v>
      </c>
      <c r="AW43" t="s">
        <v>674</v>
      </c>
      <c r="AX43" t="s">
        <v>674</v>
      </c>
      <c r="AY43" t="s">
        <v>674</v>
      </c>
      <c r="AZ43" t="s">
        <v>674</v>
      </c>
      <c r="BA43" t="s">
        <v>674</v>
      </c>
      <c r="BB43" t="s">
        <v>674</v>
      </c>
      <c r="BC43" t="s">
        <v>674</v>
      </c>
      <c r="BD43" t="s">
        <v>674</v>
      </c>
      <c r="BE43" t="s">
        <v>674</v>
      </c>
      <c r="BF43" t="s">
        <v>674</v>
      </c>
      <c r="BG43" t="s">
        <v>674</v>
      </c>
      <c r="BH43" t="s">
        <v>674</v>
      </c>
      <c r="BI43" t="s">
        <v>674</v>
      </c>
      <c r="BJ43" t="s">
        <v>674</v>
      </c>
      <c r="BK43" t="s">
        <v>674</v>
      </c>
      <c r="BL43" t="s">
        <v>674</v>
      </c>
      <c r="BM43" t="s">
        <v>674</v>
      </c>
      <c r="BN43" t="s">
        <v>674</v>
      </c>
      <c r="BO43" t="s">
        <v>674</v>
      </c>
      <c r="BP43" t="s">
        <v>674</v>
      </c>
      <c r="BQ43" t="s">
        <v>674</v>
      </c>
      <c r="BR43" t="s">
        <v>674</v>
      </c>
      <c r="BS43" t="s">
        <v>674</v>
      </c>
      <c r="BT43" t="s">
        <v>456</v>
      </c>
      <c r="BU43" t="s">
        <v>674</v>
      </c>
      <c r="BV43" t="s">
        <v>674</v>
      </c>
      <c r="BW43" t="s">
        <v>674</v>
      </c>
      <c r="BX43" t="s">
        <v>674</v>
      </c>
      <c r="BY43" t="s">
        <v>674</v>
      </c>
      <c r="BZ43" t="s">
        <v>674</v>
      </c>
      <c r="CA43" t="s">
        <v>674</v>
      </c>
      <c r="CB43" t="s">
        <v>674</v>
      </c>
      <c r="CC43" t="s">
        <v>674</v>
      </c>
      <c r="CD43" t="s">
        <v>674</v>
      </c>
      <c r="CE43" t="s">
        <v>674</v>
      </c>
      <c r="CF43" t="s">
        <v>674</v>
      </c>
      <c r="CG43" t="s">
        <v>674</v>
      </c>
      <c r="CH43" t="s">
        <v>674</v>
      </c>
      <c r="CI43" t="s">
        <v>674</v>
      </c>
    </row>
    <row r="44" spans="1:87" x14ac:dyDescent="0.25">
      <c r="A44" t="s">
        <v>496</v>
      </c>
      <c r="B44" t="s">
        <v>88</v>
      </c>
      <c r="C44">
        <v>2015</v>
      </c>
      <c r="D44" t="s">
        <v>497</v>
      </c>
      <c r="E44" t="s">
        <v>498</v>
      </c>
      <c r="F44" t="s">
        <v>499</v>
      </c>
      <c r="G44" t="s">
        <v>674</v>
      </c>
      <c r="H44" t="s">
        <v>500</v>
      </c>
      <c r="I44" t="s">
        <v>501</v>
      </c>
      <c r="J44" t="s">
        <v>502</v>
      </c>
      <c r="K44" t="s">
        <v>674</v>
      </c>
      <c r="L44" t="s">
        <v>503</v>
      </c>
      <c r="M44" s="1">
        <v>46258.850173611114</v>
      </c>
      <c r="N44" s="1">
        <v>46258.853460648148</v>
      </c>
      <c r="O44" s="1">
        <v>46258.850162037037</v>
      </c>
      <c r="P44" t="s">
        <v>504</v>
      </c>
      <c r="Q44" t="s">
        <v>674</v>
      </c>
      <c r="R44">
        <v>8</v>
      </c>
      <c r="S44">
        <v>30</v>
      </c>
      <c r="T44" t="s">
        <v>674</v>
      </c>
      <c r="U44" t="s">
        <v>505</v>
      </c>
      <c r="V44" t="s">
        <v>674</v>
      </c>
      <c r="W44" t="s">
        <v>674</v>
      </c>
      <c r="X44" t="s">
        <v>674</v>
      </c>
      <c r="Y44" t="s">
        <v>674</v>
      </c>
      <c r="Z44" t="s">
        <v>674</v>
      </c>
      <c r="AA44" t="s">
        <v>674</v>
      </c>
      <c r="AB44" t="s">
        <v>674</v>
      </c>
      <c r="AC44" t="s">
        <v>674</v>
      </c>
      <c r="AD44" t="s">
        <v>122</v>
      </c>
      <c r="AE44" t="s">
        <v>674</v>
      </c>
      <c r="AF44" t="s">
        <v>674</v>
      </c>
      <c r="AG44" t="s">
        <v>674</v>
      </c>
      <c r="AH44" t="s">
        <v>99</v>
      </c>
      <c r="AJ44" t="s">
        <v>674</v>
      </c>
      <c r="AK44" t="s">
        <v>674</v>
      </c>
      <c r="AL44" t="s">
        <v>506</v>
      </c>
      <c r="AM44" t="s">
        <v>674</v>
      </c>
      <c r="AN44" t="s">
        <v>507</v>
      </c>
      <c r="AO44" t="s">
        <v>674</v>
      </c>
      <c r="AP44" t="s">
        <v>674</v>
      </c>
      <c r="AQ44" t="s">
        <v>674</v>
      </c>
      <c r="AR44" t="s">
        <v>674</v>
      </c>
      <c r="AS44" t="s">
        <v>674</v>
      </c>
      <c r="AT44" t="s">
        <v>674</v>
      </c>
      <c r="AU44" t="s">
        <v>674</v>
      </c>
      <c r="AV44" t="s">
        <v>674</v>
      </c>
      <c r="AW44" t="s">
        <v>674</v>
      </c>
      <c r="AX44" t="s">
        <v>674</v>
      </c>
      <c r="AY44" t="s">
        <v>674</v>
      </c>
      <c r="AZ44" t="s">
        <v>674</v>
      </c>
      <c r="BA44" t="s">
        <v>674</v>
      </c>
      <c r="BB44" t="s">
        <v>674</v>
      </c>
      <c r="BC44" t="s">
        <v>674</v>
      </c>
      <c r="BD44" t="s">
        <v>674</v>
      </c>
      <c r="BE44" t="s">
        <v>674</v>
      </c>
      <c r="BF44" t="s">
        <v>674</v>
      </c>
      <c r="BG44" t="s">
        <v>674</v>
      </c>
      <c r="BH44" t="s">
        <v>674</v>
      </c>
      <c r="BI44" t="s">
        <v>674</v>
      </c>
      <c r="BJ44" t="s">
        <v>674</v>
      </c>
      <c r="BK44" t="s">
        <v>674</v>
      </c>
      <c r="BL44" t="s">
        <v>674</v>
      </c>
      <c r="BM44" t="s">
        <v>674</v>
      </c>
      <c r="BN44" t="s">
        <v>674</v>
      </c>
      <c r="BO44" t="s">
        <v>674</v>
      </c>
      <c r="BP44" t="s">
        <v>674</v>
      </c>
      <c r="BQ44" t="s">
        <v>674</v>
      </c>
      <c r="BR44" t="s">
        <v>674</v>
      </c>
      <c r="BS44" t="s">
        <v>674</v>
      </c>
      <c r="BT44" t="s">
        <v>674</v>
      </c>
      <c r="BU44" t="s">
        <v>674</v>
      </c>
      <c r="BV44" t="s">
        <v>674</v>
      </c>
      <c r="BW44" t="s">
        <v>674</v>
      </c>
      <c r="BX44" t="s">
        <v>674</v>
      </c>
      <c r="BY44" t="s">
        <v>674</v>
      </c>
      <c r="BZ44" t="s">
        <v>674</v>
      </c>
      <c r="CA44" t="s">
        <v>674</v>
      </c>
      <c r="CB44" t="s">
        <v>674</v>
      </c>
      <c r="CC44" t="s">
        <v>674</v>
      </c>
      <c r="CD44" t="s">
        <v>674</v>
      </c>
      <c r="CE44" t="s">
        <v>674</v>
      </c>
      <c r="CF44" t="s">
        <v>674</v>
      </c>
      <c r="CG44" t="s">
        <v>674</v>
      </c>
      <c r="CH44" t="s">
        <v>674</v>
      </c>
      <c r="CI44" t="s">
        <v>674</v>
      </c>
    </row>
    <row r="45" spans="1:87" x14ac:dyDescent="0.25">
      <c r="A45" t="s">
        <v>379</v>
      </c>
      <c r="B45" t="s">
        <v>126</v>
      </c>
      <c r="C45">
        <v>2025</v>
      </c>
      <c r="D45" t="s">
        <v>380</v>
      </c>
      <c r="E45" t="s">
        <v>381</v>
      </c>
      <c r="F45" t="s">
        <v>382</v>
      </c>
      <c r="G45" t="s">
        <v>383</v>
      </c>
      <c r="H45" t="s">
        <v>674</v>
      </c>
      <c r="I45" t="s">
        <v>384</v>
      </c>
      <c r="J45" t="s">
        <v>385</v>
      </c>
      <c r="K45" t="s">
        <v>674</v>
      </c>
      <c r="L45" t="s">
        <v>691</v>
      </c>
      <c r="M45" s="1">
        <v>46258.845925925925</v>
      </c>
      <c r="N45" s="1">
        <v>46258.847048611111</v>
      </c>
      <c r="O45" s="1">
        <v>46258.845925925925</v>
      </c>
      <c r="P45" t="s">
        <v>386</v>
      </c>
      <c r="Q45" t="s">
        <v>674</v>
      </c>
      <c r="T45" t="s">
        <v>674</v>
      </c>
      <c r="U45" t="s">
        <v>674</v>
      </c>
      <c r="V45" t="s">
        <v>674</v>
      </c>
      <c r="W45" t="s">
        <v>674</v>
      </c>
      <c r="X45" t="s">
        <v>674</v>
      </c>
      <c r="Y45" t="s">
        <v>674</v>
      </c>
      <c r="Z45" t="s">
        <v>674</v>
      </c>
      <c r="AA45" t="s">
        <v>133</v>
      </c>
      <c r="AB45" t="s">
        <v>387</v>
      </c>
      <c r="AC45" t="s">
        <v>674</v>
      </c>
      <c r="AD45" t="s">
        <v>135</v>
      </c>
      <c r="AE45" t="s">
        <v>674</v>
      </c>
      <c r="AF45" t="s">
        <v>674</v>
      </c>
      <c r="AG45" t="s">
        <v>674</v>
      </c>
      <c r="AH45" t="s">
        <v>99</v>
      </c>
      <c r="AJ45" t="s">
        <v>674</v>
      </c>
      <c r="AK45" t="s">
        <v>674</v>
      </c>
      <c r="AL45" t="s">
        <v>388</v>
      </c>
      <c r="AM45" t="s">
        <v>674</v>
      </c>
      <c r="AN45" t="s">
        <v>389</v>
      </c>
      <c r="AO45" t="s">
        <v>674</v>
      </c>
      <c r="AP45" t="s">
        <v>674</v>
      </c>
      <c r="AQ45" t="s">
        <v>674</v>
      </c>
      <c r="AR45" t="s">
        <v>674</v>
      </c>
      <c r="AS45" t="s">
        <v>674</v>
      </c>
      <c r="AT45" t="s">
        <v>674</v>
      </c>
      <c r="AU45" t="s">
        <v>674</v>
      </c>
      <c r="AV45" t="s">
        <v>674</v>
      </c>
      <c r="AW45" t="s">
        <v>674</v>
      </c>
      <c r="AX45" t="s">
        <v>674</v>
      </c>
      <c r="AY45" t="s">
        <v>674</v>
      </c>
      <c r="AZ45" t="s">
        <v>674</v>
      </c>
      <c r="BA45" t="s">
        <v>674</v>
      </c>
      <c r="BB45" t="s">
        <v>674</v>
      </c>
      <c r="BC45" t="s">
        <v>674</v>
      </c>
      <c r="BD45" t="s">
        <v>674</v>
      </c>
      <c r="BE45" t="s">
        <v>674</v>
      </c>
      <c r="BF45" t="s">
        <v>674</v>
      </c>
      <c r="BG45" t="s">
        <v>674</v>
      </c>
      <c r="BH45" t="s">
        <v>674</v>
      </c>
      <c r="BI45" t="s">
        <v>674</v>
      </c>
      <c r="BJ45" t="s">
        <v>674</v>
      </c>
      <c r="BK45" t="s">
        <v>674</v>
      </c>
      <c r="BL45" t="s">
        <v>674</v>
      </c>
      <c r="BM45" t="s">
        <v>674</v>
      </c>
      <c r="BN45" t="s">
        <v>674</v>
      </c>
      <c r="BO45" t="s">
        <v>674</v>
      </c>
      <c r="BP45" t="s">
        <v>674</v>
      </c>
      <c r="BQ45" t="s">
        <v>674</v>
      </c>
      <c r="BR45" t="s">
        <v>674</v>
      </c>
      <c r="BS45" t="s">
        <v>674</v>
      </c>
      <c r="BT45" t="s">
        <v>382</v>
      </c>
      <c r="BU45" t="s">
        <v>674</v>
      </c>
      <c r="BV45" t="s">
        <v>674</v>
      </c>
      <c r="BW45" t="s">
        <v>674</v>
      </c>
      <c r="BX45" t="s">
        <v>674</v>
      </c>
      <c r="BY45" t="s">
        <v>674</v>
      </c>
      <c r="BZ45" t="s">
        <v>674</v>
      </c>
      <c r="CA45" t="s">
        <v>674</v>
      </c>
      <c r="CB45" t="s">
        <v>674</v>
      </c>
      <c r="CC45" t="s">
        <v>674</v>
      </c>
      <c r="CD45" t="s">
        <v>674</v>
      </c>
      <c r="CE45" t="s">
        <v>674</v>
      </c>
      <c r="CF45" t="s">
        <v>674</v>
      </c>
      <c r="CG45" t="s">
        <v>674</v>
      </c>
      <c r="CH45" t="s">
        <v>674</v>
      </c>
      <c r="CI45" t="s">
        <v>674</v>
      </c>
    </row>
    <row r="46" spans="1:87" x14ac:dyDescent="0.25">
      <c r="A46" t="s">
        <v>390</v>
      </c>
      <c r="B46" t="s">
        <v>126</v>
      </c>
      <c r="C46">
        <v>2026</v>
      </c>
      <c r="D46" t="s">
        <v>391</v>
      </c>
      <c r="E46" t="s">
        <v>392</v>
      </c>
      <c r="F46" t="s">
        <v>393</v>
      </c>
      <c r="G46" t="s">
        <v>394</v>
      </c>
      <c r="H46" t="s">
        <v>674</v>
      </c>
      <c r="I46" t="s">
        <v>395</v>
      </c>
      <c r="J46" t="s">
        <v>396</v>
      </c>
      <c r="K46" t="s">
        <v>674</v>
      </c>
      <c r="L46" t="s">
        <v>692</v>
      </c>
      <c r="M46" s="1">
        <v>46258.846030092594</v>
      </c>
      <c r="N46" s="1">
        <v>46258.846388888887</v>
      </c>
      <c r="O46" s="1">
        <v>46258.846030092594</v>
      </c>
      <c r="P46" t="s">
        <v>693</v>
      </c>
      <c r="Q46" t="s">
        <v>674</v>
      </c>
      <c r="T46" t="s">
        <v>674</v>
      </c>
      <c r="U46" t="s">
        <v>674</v>
      </c>
      <c r="V46" t="s">
        <v>674</v>
      </c>
      <c r="W46" t="s">
        <v>674</v>
      </c>
      <c r="X46" t="s">
        <v>674</v>
      </c>
      <c r="Y46" t="s">
        <v>674</v>
      </c>
      <c r="Z46" t="s">
        <v>674</v>
      </c>
      <c r="AA46" t="s">
        <v>133</v>
      </c>
      <c r="AB46" t="s">
        <v>397</v>
      </c>
      <c r="AC46" t="s">
        <v>674</v>
      </c>
      <c r="AD46" t="s">
        <v>135</v>
      </c>
      <c r="AE46" t="s">
        <v>674</v>
      </c>
      <c r="AF46" t="s">
        <v>674</v>
      </c>
      <c r="AG46" t="s">
        <v>674</v>
      </c>
      <c r="AH46" t="s">
        <v>99</v>
      </c>
      <c r="AJ46" t="s">
        <v>674</v>
      </c>
      <c r="AK46" t="s">
        <v>674</v>
      </c>
      <c r="AL46" t="s">
        <v>694</v>
      </c>
      <c r="AM46" t="s">
        <v>674</v>
      </c>
      <c r="AN46" t="s">
        <v>399</v>
      </c>
      <c r="AO46" t="s">
        <v>674</v>
      </c>
      <c r="AP46" t="s">
        <v>674</v>
      </c>
      <c r="AQ46" t="s">
        <v>674</v>
      </c>
      <c r="AR46" t="s">
        <v>674</v>
      </c>
      <c r="AS46" t="s">
        <v>674</v>
      </c>
      <c r="AT46" t="s">
        <v>674</v>
      </c>
      <c r="AU46" t="s">
        <v>674</v>
      </c>
      <c r="AV46" t="s">
        <v>674</v>
      </c>
      <c r="AW46" t="s">
        <v>674</v>
      </c>
      <c r="AX46" t="s">
        <v>674</v>
      </c>
      <c r="AY46" t="s">
        <v>674</v>
      </c>
      <c r="AZ46" t="s">
        <v>674</v>
      </c>
      <c r="BA46" t="s">
        <v>674</v>
      </c>
      <c r="BB46" t="s">
        <v>674</v>
      </c>
      <c r="BC46" t="s">
        <v>674</v>
      </c>
      <c r="BD46" t="s">
        <v>674</v>
      </c>
      <c r="BE46" t="s">
        <v>674</v>
      </c>
      <c r="BF46" t="s">
        <v>674</v>
      </c>
      <c r="BG46" t="s">
        <v>674</v>
      </c>
      <c r="BH46" t="s">
        <v>674</v>
      </c>
      <c r="BI46" t="s">
        <v>674</v>
      </c>
      <c r="BJ46" t="s">
        <v>674</v>
      </c>
      <c r="BK46" t="s">
        <v>674</v>
      </c>
      <c r="BL46" t="s">
        <v>674</v>
      </c>
      <c r="BM46" t="s">
        <v>674</v>
      </c>
      <c r="BN46" t="s">
        <v>674</v>
      </c>
      <c r="BO46" t="s">
        <v>674</v>
      </c>
      <c r="BP46" t="s">
        <v>674</v>
      </c>
      <c r="BQ46" t="s">
        <v>674</v>
      </c>
      <c r="BR46" t="s">
        <v>674</v>
      </c>
      <c r="BS46" t="s">
        <v>674</v>
      </c>
      <c r="BT46" t="s">
        <v>393</v>
      </c>
      <c r="BU46" t="s">
        <v>674</v>
      </c>
      <c r="BV46" t="s">
        <v>674</v>
      </c>
      <c r="BW46" t="s">
        <v>674</v>
      </c>
      <c r="BX46" t="s">
        <v>674</v>
      </c>
      <c r="BY46" t="s">
        <v>674</v>
      </c>
      <c r="BZ46" t="s">
        <v>674</v>
      </c>
      <c r="CA46" t="s">
        <v>674</v>
      </c>
      <c r="CB46" t="s">
        <v>674</v>
      </c>
      <c r="CC46" t="s">
        <v>674</v>
      </c>
      <c r="CD46" t="s">
        <v>674</v>
      </c>
      <c r="CE46" t="s">
        <v>674</v>
      </c>
      <c r="CF46" t="s">
        <v>674</v>
      </c>
      <c r="CG46" t="s">
        <v>674</v>
      </c>
      <c r="CH46" t="s">
        <v>674</v>
      </c>
      <c r="CI46" t="s">
        <v>674</v>
      </c>
    </row>
    <row r="47" spans="1:87" x14ac:dyDescent="0.25">
      <c r="A47" t="s">
        <v>369</v>
      </c>
      <c r="B47" t="s">
        <v>88</v>
      </c>
      <c r="C47">
        <v>2006</v>
      </c>
      <c r="D47" t="s">
        <v>370</v>
      </c>
      <c r="E47" t="s">
        <v>371</v>
      </c>
      <c r="F47" t="s">
        <v>115</v>
      </c>
      <c r="G47" t="s">
        <v>674</v>
      </c>
      <c r="H47" t="s">
        <v>372</v>
      </c>
      <c r="I47" t="s">
        <v>373</v>
      </c>
      <c r="J47" t="s">
        <v>374</v>
      </c>
      <c r="K47" t="s">
        <v>674</v>
      </c>
      <c r="L47" t="s">
        <v>375</v>
      </c>
      <c r="M47" s="1">
        <v>46258.649189814816</v>
      </c>
      <c r="N47" s="1">
        <v>46258.845231481479</v>
      </c>
      <c r="O47" s="1">
        <v>46258.649189814816</v>
      </c>
      <c r="P47" t="s">
        <v>376</v>
      </c>
      <c r="Q47" t="s">
        <v>674</v>
      </c>
      <c r="R47">
        <v>2</v>
      </c>
      <c r="S47">
        <v>53</v>
      </c>
      <c r="T47" t="s">
        <v>674</v>
      </c>
      <c r="U47" t="s">
        <v>121</v>
      </c>
      <c r="V47" t="s">
        <v>674</v>
      </c>
      <c r="W47" t="s">
        <v>674</v>
      </c>
      <c r="X47" t="s">
        <v>674</v>
      </c>
      <c r="Y47" t="s">
        <v>674</v>
      </c>
      <c r="Z47" t="s">
        <v>674</v>
      </c>
      <c r="AA47" t="s">
        <v>674</v>
      </c>
      <c r="AB47" t="s">
        <v>674</v>
      </c>
      <c r="AC47" t="s">
        <v>674</v>
      </c>
      <c r="AD47" t="s">
        <v>122</v>
      </c>
      <c r="AE47" t="s">
        <v>674</v>
      </c>
      <c r="AF47" t="s">
        <v>674</v>
      </c>
      <c r="AG47" t="s">
        <v>674</v>
      </c>
      <c r="AH47" t="s">
        <v>99</v>
      </c>
      <c r="AJ47" t="s">
        <v>674</v>
      </c>
      <c r="AK47" t="s">
        <v>674</v>
      </c>
      <c r="AL47" t="s">
        <v>377</v>
      </c>
      <c r="AM47" t="s">
        <v>674</v>
      </c>
      <c r="AN47" t="s">
        <v>378</v>
      </c>
      <c r="AO47" t="s">
        <v>674</v>
      </c>
      <c r="AP47" t="s">
        <v>674</v>
      </c>
      <c r="AQ47" t="s">
        <v>674</v>
      </c>
      <c r="AR47" t="s">
        <v>674</v>
      </c>
      <c r="AS47" t="s">
        <v>674</v>
      </c>
      <c r="AT47" t="s">
        <v>674</v>
      </c>
      <c r="AU47" t="s">
        <v>674</v>
      </c>
      <c r="AV47" t="s">
        <v>674</v>
      </c>
      <c r="AW47" t="s">
        <v>674</v>
      </c>
      <c r="AX47" t="s">
        <v>674</v>
      </c>
      <c r="AY47" t="s">
        <v>674</v>
      </c>
      <c r="AZ47" t="s">
        <v>674</v>
      </c>
      <c r="BA47" t="s">
        <v>674</v>
      </c>
      <c r="BB47" t="s">
        <v>674</v>
      </c>
      <c r="BC47" t="s">
        <v>674</v>
      </c>
      <c r="BD47" t="s">
        <v>674</v>
      </c>
      <c r="BE47" t="s">
        <v>674</v>
      </c>
      <c r="BF47" t="s">
        <v>674</v>
      </c>
      <c r="BG47" t="s">
        <v>674</v>
      </c>
      <c r="BH47" t="s">
        <v>674</v>
      </c>
      <c r="BI47" t="s">
        <v>674</v>
      </c>
      <c r="BJ47" t="s">
        <v>674</v>
      </c>
      <c r="BK47" t="s">
        <v>674</v>
      </c>
      <c r="BL47" t="s">
        <v>674</v>
      </c>
      <c r="BM47" t="s">
        <v>674</v>
      </c>
      <c r="BN47" t="s">
        <v>674</v>
      </c>
      <c r="BO47" t="s">
        <v>674</v>
      </c>
      <c r="BP47" t="s">
        <v>674</v>
      </c>
      <c r="BQ47" t="s">
        <v>674</v>
      </c>
      <c r="BR47" t="s">
        <v>674</v>
      </c>
      <c r="BS47" t="s">
        <v>674</v>
      </c>
      <c r="BT47" t="s">
        <v>674</v>
      </c>
      <c r="BU47" t="s">
        <v>674</v>
      </c>
      <c r="BV47" t="s">
        <v>674</v>
      </c>
      <c r="BW47" t="s">
        <v>674</v>
      </c>
      <c r="BX47" t="s">
        <v>674</v>
      </c>
      <c r="BY47" t="s">
        <v>674</v>
      </c>
      <c r="BZ47" t="s">
        <v>674</v>
      </c>
      <c r="CA47" t="s">
        <v>674</v>
      </c>
      <c r="CB47" t="s">
        <v>674</v>
      </c>
      <c r="CC47" t="s">
        <v>674</v>
      </c>
      <c r="CD47" t="s">
        <v>674</v>
      </c>
      <c r="CE47" t="s">
        <v>674</v>
      </c>
      <c r="CF47" t="s">
        <v>674</v>
      </c>
      <c r="CG47" t="s">
        <v>674</v>
      </c>
      <c r="CH47" t="s">
        <v>674</v>
      </c>
      <c r="CI47" t="s">
        <v>674</v>
      </c>
    </row>
    <row r="48" spans="1:87" x14ac:dyDescent="0.25">
      <c r="A48" t="s">
        <v>350</v>
      </c>
      <c r="B48" t="s">
        <v>88</v>
      </c>
      <c r="C48">
        <v>2019</v>
      </c>
      <c r="D48" t="s">
        <v>351</v>
      </c>
      <c r="E48" t="s">
        <v>352</v>
      </c>
      <c r="F48" t="s">
        <v>115</v>
      </c>
      <c r="G48" t="s">
        <v>674</v>
      </c>
      <c r="H48" t="s">
        <v>116</v>
      </c>
      <c r="I48" t="s">
        <v>353</v>
      </c>
      <c r="J48" t="s">
        <v>354</v>
      </c>
      <c r="K48" t="s">
        <v>674</v>
      </c>
      <c r="L48" t="s">
        <v>355</v>
      </c>
      <c r="M48" s="1">
        <v>46258.639074074075</v>
      </c>
      <c r="N48" s="1">
        <v>46258.647997685184</v>
      </c>
      <c r="O48" s="1">
        <v>46258.639074074075</v>
      </c>
      <c r="P48" t="s">
        <v>356</v>
      </c>
      <c r="Q48" t="s">
        <v>674</v>
      </c>
      <c r="R48">
        <v>4</v>
      </c>
      <c r="S48">
        <v>66</v>
      </c>
      <c r="T48" t="s">
        <v>674</v>
      </c>
      <c r="U48" t="s">
        <v>121</v>
      </c>
      <c r="V48" t="s">
        <v>674</v>
      </c>
      <c r="W48" t="s">
        <v>674</v>
      </c>
      <c r="X48" t="s">
        <v>674</v>
      </c>
      <c r="Y48" t="s">
        <v>674</v>
      </c>
      <c r="Z48" t="s">
        <v>674</v>
      </c>
      <c r="AA48" t="s">
        <v>674</v>
      </c>
      <c r="AB48" t="s">
        <v>674</v>
      </c>
      <c r="AC48" t="s">
        <v>674</v>
      </c>
      <c r="AD48" t="s">
        <v>122</v>
      </c>
      <c r="AE48" t="s">
        <v>674</v>
      </c>
      <c r="AF48" t="s">
        <v>674</v>
      </c>
      <c r="AG48" t="s">
        <v>674</v>
      </c>
      <c r="AH48" t="s">
        <v>99</v>
      </c>
      <c r="AJ48" t="s">
        <v>674</v>
      </c>
      <c r="AK48" t="s">
        <v>674</v>
      </c>
      <c r="AL48" t="s">
        <v>357</v>
      </c>
      <c r="AM48" t="s">
        <v>674</v>
      </c>
      <c r="AN48" t="s">
        <v>358</v>
      </c>
      <c r="AO48" t="s">
        <v>674</v>
      </c>
      <c r="AP48" t="s">
        <v>674</v>
      </c>
      <c r="AQ48" t="s">
        <v>674</v>
      </c>
      <c r="AR48" t="s">
        <v>674</v>
      </c>
      <c r="AS48" t="s">
        <v>674</v>
      </c>
      <c r="AT48" t="s">
        <v>674</v>
      </c>
      <c r="AU48" t="s">
        <v>674</v>
      </c>
      <c r="AV48" t="s">
        <v>674</v>
      </c>
      <c r="AW48" t="s">
        <v>674</v>
      </c>
      <c r="AX48" t="s">
        <v>674</v>
      </c>
      <c r="AY48" t="s">
        <v>674</v>
      </c>
      <c r="AZ48" t="s">
        <v>674</v>
      </c>
      <c r="BA48" t="s">
        <v>674</v>
      </c>
      <c r="BB48" t="s">
        <v>674</v>
      </c>
      <c r="BC48" t="s">
        <v>674</v>
      </c>
      <c r="BD48" t="s">
        <v>674</v>
      </c>
      <c r="BE48" t="s">
        <v>674</v>
      </c>
      <c r="BF48" t="s">
        <v>674</v>
      </c>
      <c r="BG48" t="s">
        <v>674</v>
      </c>
      <c r="BH48" t="s">
        <v>674</v>
      </c>
      <c r="BI48" t="s">
        <v>674</v>
      </c>
      <c r="BJ48" t="s">
        <v>674</v>
      </c>
      <c r="BK48" t="s">
        <v>674</v>
      </c>
      <c r="BL48" t="s">
        <v>674</v>
      </c>
      <c r="BM48" t="s">
        <v>674</v>
      </c>
      <c r="BN48" t="s">
        <v>674</v>
      </c>
      <c r="BO48" t="s">
        <v>674</v>
      </c>
      <c r="BP48" t="s">
        <v>674</v>
      </c>
      <c r="BQ48" t="s">
        <v>674</v>
      </c>
      <c r="BR48" t="s">
        <v>674</v>
      </c>
      <c r="BS48" t="s">
        <v>674</v>
      </c>
      <c r="BT48" t="s">
        <v>674</v>
      </c>
      <c r="BU48" t="s">
        <v>674</v>
      </c>
      <c r="BV48" t="s">
        <v>674</v>
      </c>
      <c r="BW48" t="s">
        <v>674</v>
      </c>
      <c r="BX48" t="s">
        <v>674</v>
      </c>
      <c r="BY48" t="s">
        <v>674</v>
      </c>
      <c r="BZ48" t="s">
        <v>674</v>
      </c>
      <c r="CA48" t="s">
        <v>674</v>
      </c>
      <c r="CB48" t="s">
        <v>674</v>
      </c>
      <c r="CC48" t="s">
        <v>674</v>
      </c>
      <c r="CD48" t="s">
        <v>674</v>
      </c>
      <c r="CE48" t="s">
        <v>674</v>
      </c>
      <c r="CF48" t="s">
        <v>674</v>
      </c>
      <c r="CG48" t="s">
        <v>674</v>
      </c>
      <c r="CH48" t="s">
        <v>674</v>
      </c>
      <c r="CI48" t="s">
        <v>674</v>
      </c>
    </row>
    <row r="49" spans="1:87" x14ac:dyDescent="0.25">
      <c r="A49" t="s">
        <v>338</v>
      </c>
      <c r="B49" t="s">
        <v>88</v>
      </c>
      <c r="C49">
        <v>2019</v>
      </c>
      <c r="D49" t="s">
        <v>339</v>
      </c>
      <c r="E49" t="s">
        <v>340</v>
      </c>
      <c r="F49" t="s">
        <v>341</v>
      </c>
      <c r="G49" t="s">
        <v>674</v>
      </c>
      <c r="H49" t="s">
        <v>342</v>
      </c>
      <c r="I49" t="s">
        <v>343</v>
      </c>
      <c r="J49" t="s">
        <v>344</v>
      </c>
      <c r="K49" t="s">
        <v>674</v>
      </c>
      <c r="L49" t="s">
        <v>345</v>
      </c>
      <c r="M49" s="1">
        <v>46258.639016203706</v>
      </c>
      <c r="N49" s="1">
        <v>46258.647268518522</v>
      </c>
      <c r="O49" s="1">
        <v>46258.639016203706</v>
      </c>
      <c r="P49" t="s">
        <v>346</v>
      </c>
      <c r="Q49" t="s">
        <v>674</v>
      </c>
      <c r="R49">
        <v>4</v>
      </c>
      <c r="S49">
        <v>27</v>
      </c>
      <c r="T49" t="s">
        <v>674</v>
      </c>
      <c r="U49" t="s">
        <v>347</v>
      </c>
      <c r="V49" t="s">
        <v>674</v>
      </c>
      <c r="W49" t="s">
        <v>674</v>
      </c>
      <c r="X49" t="s">
        <v>674</v>
      </c>
      <c r="Y49" t="s">
        <v>674</v>
      </c>
      <c r="Z49" t="s">
        <v>674</v>
      </c>
      <c r="AA49" t="s">
        <v>674</v>
      </c>
      <c r="AB49" t="s">
        <v>674</v>
      </c>
      <c r="AC49" t="s">
        <v>674</v>
      </c>
      <c r="AD49" t="s">
        <v>122</v>
      </c>
      <c r="AE49" t="s">
        <v>674</v>
      </c>
      <c r="AF49" t="s">
        <v>674</v>
      </c>
      <c r="AG49" t="s">
        <v>674</v>
      </c>
      <c r="AH49" t="s">
        <v>99</v>
      </c>
      <c r="AJ49" t="s">
        <v>674</v>
      </c>
      <c r="AK49" t="s">
        <v>674</v>
      </c>
      <c r="AL49" t="s">
        <v>348</v>
      </c>
      <c r="AM49" t="s">
        <v>674</v>
      </c>
      <c r="AN49" t="s">
        <v>349</v>
      </c>
      <c r="AO49" t="s">
        <v>674</v>
      </c>
      <c r="AP49" t="s">
        <v>674</v>
      </c>
      <c r="AQ49" t="s">
        <v>674</v>
      </c>
      <c r="AR49" t="s">
        <v>674</v>
      </c>
      <c r="AS49" t="s">
        <v>674</v>
      </c>
      <c r="AT49" t="s">
        <v>674</v>
      </c>
      <c r="AU49" t="s">
        <v>674</v>
      </c>
      <c r="AV49" t="s">
        <v>674</v>
      </c>
      <c r="AW49" t="s">
        <v>674</v>
      </c>
      <c r="AX49" t="s">
        <v>674</v>
      </c>
      <c r="AY49" t="s">
        <v>674</v>
      </c>
      <c r="AZ49" t="s">
        <v>674</v>
      </c>
      <c r="BA49" t="s">
        <v>674</v>
      </c>
      <c r="BB49" t="s">
        <v>674</v>
      </c>
      <c r="BC49" t="s">
        <v>674</v>
      </c>
      <c r="BD49" t="s">
        <v>674</v>
      </c>
      <c r="BE49" t="s">
        <v>674</v>
      </c>
      <c r="BF49" t="s">
        <v>674</v>
      </c>
      <c r="BG49" t="s">
        <v>674</v>
      </c>
      <c r="BH49" t="s">
        <v>674</v>
      </c>
      <c r="BI49" t="s">
        <v>674</v>
      </c>
      <c r="BJ49" t="s">
        <v>674</v>
      </c>
      <c r="BK49" t="s">
        <v>674</v>
      </c>
      <c r="BL49" t="s">
        <v>674</v>
      </c>
      <c r="BM49" t="s">
        <v>674</v>
      </c>
      <c r="BN49" t="s">
        <v>674</v>
      </c>
      <c r="BO49" t="s">
        <v>674</v>
      </c>
      <c r="BP49" t="s">
        <v>674</v>
      </c>
      <c r="BQ49" t="s">
        <v>674</v>
      </c>
      <c r="BR49" t="s">
        <v>674</v>
      </c>
      <c r="BS49" t="s">
        <v>674</v>
      </c>
      <c r="BT49" t="s">
        <v>674</v>
      </c>
      <c r="BU49" t="s">
        <v>674</v>
      </c>
      <c r="BV49" t="s">
        <v>674</v>
      </c>
      <c r="BW49" t="s">
        <v>674</v>
      </c>
      <c r="BX49" t="s">
        <v>674</v>
      </c>
      <c r="BY49" t="s">
        <v>674</v>
      </c>
      <c r="BZ49" t="s">
        <v>674</v>
      </c>
      <c r="CA49" t="s">
        <v>674</v>
      </c>
      <c r="CB49" t="s">
        <v>674</v>
      </c>
      <c r="CC49" t="s">
        <v>674</v>
      </c>
      <c r="CD49" t="s">
        <v>674</v>
      </c>
      <c r="CE49" t="s">
        <v>674</v>
      </c>
      <c r="CF49" t="s">
        <v>674</v>
      </c>
      <c r="CG49" t="s">
        <v>674</v>
      </c>
      <c r="CH49" t="s">
        <v>674</v>
      </c>
      <c r="CI49" t="s">
        <v>674</v>
      </c>
    </row>
    <row r="50" spans="1:87" x14ac:dyDescent="0.25">
      <c r="A50" t="s">
        <v>359</v>
      </c>
      <c r="B50" t="s">
        <v>126</v>
      </c>
      <c r="C50">
        <v>2014</v>
      </c>
      <c r="D50" t="s">
        <v>360</v>
      </c>
      <c r="E50" t="s">
        <v>361</v>
      </c>
      <c r="F50" t="s">
        <v>362</v>
      </c>
      <c r="G50" t="s">
        <v>363</v>
      </c>
      <c r="H50" t="s">
        <v>674</v>
      </c>
      <c r="I50" t="s">
        <v>364</v>
      </c>
      <c r="J50" t="s">
        <v>365</v>
      </c>
      <c r="K50" t="s">
        <v>674</v>
      </c>
      <c r="L50" t="s">
        <v>690</v>
      </c>
      <c r="M50" s="1">
        <v>46258.639236111114</v>
      </c>
      <c r="N50" s="1">
        <v>46258.646979166668</v>
      </c>
      <c r="O50" s="1">
        <v>46258.639236111114</v>
      </c>
      <c r="P50" t="s">
        <v>674</v>
      </c>
      <c r="Q50" t="s">
        <v>674</v>
      </c>
      <c r="T50" t="s">
        <v>674</v>
      </c>
      <c r="U50" t="s">
        <v>674</v>
      </c>
      <c r="V50" t="s">
        <v>674</v>
      </c>
      <c r="W50" t="s">
        <v>674</v>
      </c>
      <c r="X50" t="s">
        <v>674</v>
      </c>
      <c r="Y50" t="s">
        <v>674</v>
      </c>
      <c r="Z50" t="s">
        <v>674</v>
      </c>
      <c r="AA50" t="s">
        <v>366</v>
      </c>
      <c r="AB50" t="s">
        <v>674</v>
      </c>
      <c r="AC50" t="s">
        <v>674</v>
      </c>
      <c r="AD50" t="s">
        <v>674</v>
      </c>
      <c r="AE50" t="s">
        <v>674</v>
      </c>
      <c r="AF50" t="s">
        <v>674</v>
      </c>
      <c r="AG50" t="s">
        <v>674</v>
      </c>
      <c r="AH50" t="s">
        <v>99</v>
      </c>
      <c r="AJ50" t="s">
        <v>674</v>
      </c>
      <c r="AK50" t="s">
        <v>674</v>
      </c>
      <c r="AL50" t="s">
        <v>367</v>
      </c>
      <c r="AM50" t="s">
        <v>674</v>
      </c>
      <c r="AN50" t="s">
        <v>358</v>
      </c>
      <c r="AO50" t="s">
        <v>674</v>
      </c>
      <c r="AP50" t="s">
        <v>674</v>
      </c>
      <c r="AQ50" t="s">
        <v>674</v>
      </c>
      <c r="AR50" t="s">
        <v>674</v>
      </c>
      <c r="AS50" t="s">
        <v>674</v>
      </c>
      <c r="AT50" t="s">
        <v>674</v>
      </c>
      <c r="AU50" t="s">
        <v>674</v>
      </c>
      <c r="AV50" t="s">
        <v>674</v>
      </c>
      <c r="AW50" t="s">
        <v>674</v>
      </c>
      <c r="AX50" t="s">
        <v>674</v>
      </c>
      <c r="AY50" t="s">
        <v>674</v>
      </c>
      <c r="AZ50" t="s">
        <v>674</v>
      </c>
      <c r="BA50" t="s">
        <v>674</v>
      </c>
      <c r="BB50" t="s">
        <v>674</v>
      </c>
      <c r="BC50" t="s">
        <v>674</v>
      </c>
      <c r="BD50" t="s">
        <v>674</v>
      </c>
      <c r="BE50" t="s">
        <v>674</v>
      </c>
      <c r="BF50" t="s">
        <v>674</v>
      </c>
      <c r="BG50" t="s">
        <v>674</v>
      </c>
      <c r="BH50" t="s">
        <v>674</v>
      </c>
      <c r="BI50" t="s">
        <v>674</v>
      </c>
      <c r="BJ50" t="s">
        <v>674</v>
      </c>
      <c r="BK50" t="s">
        <v>674</v>
      </c>
      <c r="BL50" t="s">
        <v>674</v>
      </c>
      <c r="BM50" t="s">
        <v>674</v>
      </c>
      <c r="BN50" t="s">
        <v>674</v>
      </c>
      <c r="BO50" t="s">
        <v>674</v>
      </c>
      <c r="BP50" t="s">
        <v>674</v>
      </c>
      <c r="BQ50" t="s">
        <v>674</v>
      </c>
      <c r="BR50" t="s">
        <v>674</v>
      </c>
      <c r="BS50" t="s">
        <v>674</v>
      </c>
      <c r="BT50" t="s">
        <v>368</v>
      </c>
      <c r="BU50" t="s">
        <v>674</v>
      </c>
      <c r="BV50" t="s">
        <v>674</v>
      </c>
      <c r="BW50" t="s">
        <v>674</v>
      </c>
      <c r="BX50" t="s">
        <v>674</v>
      </c>
      <c r="BY50" t="s">
        <v>674</v>
      </c>
      <c r="BZ50" t="s">
        <v>674</v>
      </c>
      <c r="CA50" t="s">
        <v>674</v>
      </c>
      <c r="CB50" t="s">
        <v>674</v>
      </c>
      <c r="CC50" t="s">
        <v>674</v>
      </c>
      <c r="CD50" t="s">
        <v>674</v>
      </c>
      <c r="CE50" t="s">
        <v>674</v>
      </c>
      <c r="CF50" t="s">
        <v>674</v>
      </c>
      <c r="CG50" t="s">
        <v>674</v>
      </c>
      <c r="CH50" t="s">
        <v>674</v>
      </c>
      <c r="CI50" t="s">
        <v>674</v>
      </c>
    </row>
    <row r="51" spans="1:87" x14ac:dyDescent="0.25">
      <c r="A51" t="s">
        <v>318</v>
      </c>
      <c r="B51" t="s">
        <v>88</v>
      </c>
      <c r="C51">
        <v>2016</v>
      </c>
      <c r="D51" t="s">
        <v>319</v>
      </c>
      <c r="E51" t="s">
        <v>320</v>
      </c>
      <c r="F51" t="s">
        <v>115</v>
      </c>
      <c r="G51" t="s">
        <v>674</v>
      </c>
      <c r="H51" t="s">
        <v>116</v>
      </c>
      <c r="I51" t="s">
        <v>321</v>
      </c>
      <c r="J51" t="s">
        <v>322</v>
      </c>
      <c r="K51" t="s">
        <v>674</v>
      </c>
      <c r="L51" t="s">
        <v>323</v>
      </c>
      <c r="M51" s="1">
        <v>46258.637569444443</v>
      </c>
      <c r="N51" s="1">
        <v>46258.638831018521</v>
      </c>
      <c r="O51" s="1">
        <v>46258.637569444443</v>
      </c>
      <c r="P51" t="s">
        <v>324</v>
      </c>
      <c r="Q51" t="s">
        <v>674</v>
      </c>
      <c r="R51">
        <v>7</v>
      </c>
      <c r="S51">
        <v>63</v>
      </c>
      <c r="T51" t="s">
        <v>674</v>
      </c>
      <c r="U51" t="s">
        <v>121</v>
      </c>
      <c r="V51" t="s">
        <v>674</v>
      </c>
      <c r="W51" t="s">
        <v>674</v>
      </c>
      <c r="X51" t="s">
        <v>674</v>
      </c>
      <c r="Y51" t="s">
        <v>674</v>
      </c>
      <c r="Z51" t="s">
        <v>674</v>
      </c>
      <c r="AA51" t="s">
        <v>674</v>
      </c>
      <c r="AB51" t="s">
        <v>674</v>
      </c>
      <c r="AC51" t="s">
        <v>674</v>
      </c>
      <c r="AD51" t="s">
        <v>122</v>
      </c>
      <c r="AE51" t="s">
        <v>674</v>
      </c>
      <c r="AF51" t="s">
        <v>674</v>
      </c>
      <c r="AG51" t="s">
        <v>674</v>
      </c>
      <c r="AH51" t="s">
        <v>99</v>
      </c>
      <c r="AJ51" t="s">
        <v>674</v>
      </c>
      <c r="AK51" t="s">
        <v>674</v>
      </c>
      <c r="AL51" t="s">
        <v>325</v>
      </c>
      <c r="AM51" t="s">
        <v>674</v>
      </c>
      <c r="AN51" t="s">
        <v>326</v>
      </c>
      <c r="AO51" t="s">
        <v>674</v>
      </c>
      <c r="AP51" t="s">
        <v>674</v>
      </c>
      <c r="AQ51" t="s">
        <v>674</v>
      </c>
      <c r="AR51" t="s">
        <v>674</v>
      </c>
      <c r="AS51" t="s">
        <v>674</v>
      </c>
      <c r="AT51" t="s">
        <v>674</v>
      </c>
      <c r="AU51" t="s">
        <v>674</v>
      </c>
      <c r="AV51" t="s">
        <v>674</v>
      </c>
      <c r="AW51" t="s">
        <v>674</v>
      </c>
      <c r="AX51" t="s">
        <v>674</v>
      </c>
      <c r="AY51" t="s">
        <v>674</v>
      </c>
      <c r="AZ51" t="s">
        <v>674</v>
      </c>
      <c r="BA51" t="s">
        <v>674</v>
      </c>
      <c r="BB51" t="s">
        <v>674</v>
      </c>
      <c r="BC51" t="s">
        <v>674</v>
      </c>
      <c r="BD51" t="s">
        <v>674</v>
      </c>
      <c r="BE51" t="s">
        <v>674</v>
      </c>
      <c r="BF51" t="s">
        <v>674</v>
      </c>
      <c r="BG51" t="s">
        <v>674</v>
      </c>
      <c r="BH51" t="s">
        <v>674</v>
      </c>
      <c r="BI51" t="s">
        <v>674</v>
      </c>
      <c r="BJ51" t="s">
        <v>674</v>
      </c>
      <c r="BK51" t="s">
        <v>674</v>
      </c>
      <c r="BL51" t="s">
        <v>674</v>
      </c>
      <c r="BM51" t="s">
        <v>674</v>
      </c>
      <c r="BN51" t="s">
        <v>674</v>
      </c>
      <c r="BO51" t="s">
        <v>674</v>
      </c>
      <c r="BP51" t="s">
        <v>674</v>
      </c>
      <c r="BQ51" t="s">
        <v>674</v>
      </c>
      <c r="BR51" t="s">
        <v>674</v>
      </c>
      <c r="BS51" t="s">
        <v>674</v>
      </c>
      <c r="BT51" t="s">
        <v>674</v>
      </c>
      <c r="BU51" t="s">
        <v>674</v>
      </c>
      <c r="BV51" t="s">
        <v>674</v>
      </c>
      <c r="BW51" t="s">
        <v>674</v>
      </c>
      <c r="BX51" t="s">
        <v>674</v>
      </c>
      <c r="BY51" t="s">
        <v>674</v>
      </c>
      <c r="BZ51" t="s">
        <v>674</v>
      </c>
      <c r="CA51" t="s">
        <v>674</v>
      </c>
      <c r="CB51" t="s">
        <v>674</v>
      </c>
      <c r="CC51" t="s">
        <v>674</v>
      </c>
      <c r="CD51" t="s">
        <v>674</v>
      </c>
      <c r="CE51" t="s">
        <v>674</v>
      </c>
      <c r="CF51" t="s">
        <v>674</v>
      </c>
      <c r="CG51" t="s">
        <v>674</v>
      </c>
      <c r="CH51" t="s">
        <v>674</v>
      </c>
      <c r="CI51" t="s">
        <v>674</v>
      </c>
    </row>
    <row r="52" spans="1:87" x14ac:dyDescent="0.25">
      <c r="A52" t="s">
        <v>327</v>
      </c>
      <c r="B52" t="s">
        <v>126</v>
      </c>
      <c r="C52">
        <v>2025</v>
      </c>
      <c r="D52" t="s">
        <v>328</v>
      </c>
      <c r="E52" t="s">
        <v>329</v>
      </c>
      <c r="F52" t="s">
        <v>330</v>
      </c>
      <c r="G52" t="s">
        <v>331</v>
      </c>
      <c r="H52" t="s">
        <v>674</v>
      </c>
      <c r="I52" t="s">
        <v>332</v>
      </c>
      <c r="J52" t="s">
        <v>333</v>
      </c>
      <c r="K52" t="s">
        <v>674</v>
      </c>
      <c r="L52" t="s">
        <v>689</v>
      </c>
      <c r="M52" s="1">
        <v>46258.637627314813</v>
      </c>
      <c r="N52" s="1">
        <v>46258.638101851851</v>
      </c>
      <c r="O52" s="1">
        <v>46258.637627314813</v>
      </c>
      <c r="P52" t="s">
        <v>334</v>
      </c>
      <c r="Q52" t="s">
        <v>674</v>
      </c>
      <c r="T52" t="s">
        <v>674</v>
      </c>
      <c r="U52" t="s">
        <v>674</v>
      </c>
      <c r="V52" t="s">
        <v>674</v>
      </c>
      <c r="W52" t="s">
        <v>674</v>
      </c>
      <c r="X52" t="s">
        <v>674</v>
      </c>
      <c r="Y52" t="s">
        <v>674</v>
      </c>
      <c r="Z52" t="s">
        <v>674</v>
      </c>
      <c r="AA52" t="s">
        <v>133</v>
      </c>
      <c r="AB52" t="s">
        <v>335</v>
      </c>
      <c r="AC52" t="s">
        <v>674</v>
      </c>
      <c r="AD52" t="s">
        <v>135</v>
      </c>
      <c r="AE52" t="s">
        <v>674</v>
      </c>
      <c r="AF52" t="s">
        <v>674</v>
      </c>
      <c r="AG52" t="s">
        <v>674</v>
      </c>
      <c r="AH52" t="s">
        <v>99</v>
      </c>
      <c r="AJ52" t="s">
        <v>674</v>
      </c>
      <c r="AK52" t="s">
        <v>674</v>
      </c>
      <c r="AL52" t="s">
        <v>336</v>
      </c>
      <c r="AM52" t="s">
        <v>674</v>
      </c>
      <c r="AN52" t="s">
        <v>337</v>
      </c>
      <c r="AO52" t="s">
        <v>674</v>
      </c>
      <c r="AP52" t="s">
        <v>674</v>
      </c>
      <c r="AQ52" t="s">
        <v>674</v>
      </c>
      <c r="AR52" t="s">
        <v>674</v>
      </c>
      <c r="AS52" t="s">
        <v>674</v>
      </c>
      <c r="AT52" t="s">
        <v>674</v>
      </c>
      <c r="AU52" t="s">
        <v>674</v>
      </c>
      <c r="AV52" t="s">
        <v>674</v>
      </c>
      <c r="AW52" t="s">
        <v>674</v>
      </c>
      <c r="AX52" t="s">
        <v>674</v>
      </c>
      <c r="AY52" t="s">
        <v>674</v>
      </c>
      <c r="AZ52" t="s">
        <v>674</v>
      </c>
      <c r="BA52" t="s">
        <v>674</v>
      </c>
      <c r="BB52" t="s">
        <v>674</v>
      </c>
      <c r="BC52" t="s">
        <v>674</v>
      </c>
      <c r="BD52" t="s">
        <v>674</v>
      </c>
      <c r="BE52" t="s">
        <v>674</v>
      </c>
      <c r="BF52" t="s">
        <v>674</v>
      </c>
      <c r="BG52" t="s">
        <v>674</v>
      </c>
      <c r="BH52" t="s">
        <v>674</v>
      </c>
      <c r="BI52" t="s">
        <v>674</v>
      </c>
      <c r="BJ52" t="s">
        <v>674</v>
      </c>
      <c r="BK52" t="s">
        <v>674</v>
      </c>
      <c r="BL52" t="s">
        <v>674</v>
      </c>
      <c r="BM52" t="s">
        <v>674</v>
      </c>
      <c r="BN52" t="s">
        <v>674</v>
      </c>
      <c r="BO52" t="s">
        <v>674</v>
      </c>
      <c r="BP52" t="s">
        <v>674</v>
      </c>
      <c r="BQ52" t="s">
        <v>674</v>
      </c>
      <c r="BR52" t="s">
        <v>674</v>
      </c>
      <c r="BS52" t="s">
        <v>674</v>
      </c>
      <c r="BT52" t="s">
        <v>330</v>
      </c>
      <c r="BU52" t="s">
        <v>674</v>
      </c>
      <c r="BV52" t="s">
        <v>674</v>
      </c>
      <c r="BW52" t="s">
        <v>674</v>
      </c>
      <c r="BX52" t="s">
        <v>674</v>
      </c>
      <c r="BY52" t="s">
        <v>674</v>
      </c>
      <c r="BZ52" t="s">
        <v>674</v>
      </c>
      <c r="CA52" t="s">
        <v>674</v>
      </c>
      <c r="CB52" t="s">
        <v>674</v>
      </c>
      <c r="CC52" t="s">
        <v>674</v>
      </c>
      <c r="CD52" t="s">
        <v>674</v>
      </c>
      <c r="CE52" t="s">
        <v>674</v>
      </c>
      <c r="CF52" t="s">
        <v>674</v>
      </c>
      <c r="CG52" t="s">
        <v>674</v>
      </c>
      <c r="CH52" t="s">
        <v>674</v>
      </c>
      <c r="CI52" t="s">
        <v>674</v>
      </c>
    </row>
    <row r="53" spans="1:87" x14ac:dyDescent="0.25">
      <c r="A53" t="s">
        <v>271</v>
      </c>
      <c r="B53" t="s">
        <v>126</v>
      </c>
      <c r="C53">
        <v>2017</v>
      </c>
      <c r="D53" t="s">
        <v>272</v>
      </c>
      <c r="E53" t="s">
        <v>273</v>
      </c>
      <c r="F53" t="s">
        <v>274</v>
      </c>
      <c r="G53" t="s">
        <v>275</v>
      </c>
      <c r="H53" t="s">
        <v>674</v>
      </c>
      <c r="I53" t="s">
        <v>276</v>
      </c>
      <c r="J53" t="s">
        <v>277</v>
      </c>
      <c r="K53" t="s">
        <v>278</v>
      </c>
      <c r="L53" t="s">
        <v>279</v>
      </c>
      <c r="M53" s="1">
        <v>46258.612615740742</v>
      </c>
      <c r="N53" s="1">
        <v>46258.619039351855</v>
      </c>
      <c r="O53" s="1">
        <v>46258.612615740742</v>
      </c>
      <c r="P53" t="s">
        <v>280</v>
      </c>
      <c r="Q53" t="s">
        <v>674</v>
      </c>
      <c r="T53" t="s">
        <v>674</v>
      </c>
      <c r="U53" t="s">
        <v>674</v>
      </c>
      <c r="V53" t="s">
        <v>674</v>
      </c>
      <c r="W53" t="s">
        <v>674</v>
      </c>
      <c r="X53" t="s">
        <v>674</v>
      </c>
      <c r="Y53" t="s">
        <v>674</v>
      </c>
      <c r="Z53" t="s">
        <v>674</v>
      </c>
      <c r="AA53" t="s">
        <v>133</v>
      </c>
      <c r="AB53" t="s">
        <v>281</v>
      </c>
      <c r="AC53" t="s">
        <v>674</v>
      </c>
      <c r="AD53" t="s">
        <v>674</v>
      </c>
      <c r="AE53" t="s">
        <v>674</v>
      </c>
      <c r="AF53" t="s">
        <v>674</v>
      </c>
      <c r="AG53" t="s">
        <v>674</v>
      </c>
      <c r="AH53" t="s">
        <v>99</v>
      </c>
      <c r="AJ53" t="s">
        <v>674</v>
      </c>
      <c r="AK53" t="s">
        <v>674</v>
      </c>
      <c r="AL53" t="s">
        <v>282</v>
      </c>
      <c r="AM53" t="s">
        <v>674</v>
      </c>
      <c r="AN53" t="s">
        <v>235</v>
      </c>
      <c r="AO53" t="s">
        <v>674</v>
      </c>
      <c r="AP53" t="s">
        <v>674</v>
      </c>
      <c r="AQ53" t="s">
        <v>674</v>
      </c>
      <c r="AR53" t="s">
        <v>674</v>
      </c>
      <c r="AS53" t="s">
        <v>674</v>
      </c>
      <c r="AT53" t="s">
        <v>674</v>
      </c>
      <c r="AU53" t="s">
        <v>674</v>
      </c>
      <c r="AV53" t="s">
        <v>674</v>
      </c>
      <c r="AW53" t="s">
        <v>674</v>
      </c>
      <c r="AX53" t="s">
        <v>674</v>
      </c>
      <c r="AY53" t="s">
        <v>674</v>
      </c>
      <c r="AZ53" t="s">
        <v>674</v>
      </c>
      <c r="BA53" t="s">
        <v>674</v>
      </c>
      <c r="BB53" t="s">
        <v>674</v>
      </c>
      <c r="BC53" t="s">
        <v>674</v>
      </c>
      <c r="BD53" t="s">
        <v>674</v>
      </c>
      <c r="BE53" t="s">
        <v>674</v>
      </c>
      <c r="BF53" t="s">
        <v>674</v>
      </c>
      <c r="BG53" t="s">
        <v>674</v>
      </c>
      <c r="BH53" t="s">
        <v>674</v>
      </c>
      <c r="BI53" t="s">
        <v>674</v>
      </c>
      <c r="BJ53" t="s">
        <v>674</v>
      </c>
      <c r="BK53" t="s">
        <v>674</v>
      </c>
      <c r="BL53" t="s">
        <v>674</v>
      </c>
      <c r="BM53" t="s">
        <v>674</v>
      </c>
      <c r="BN53" t="s">
        <v>674</v>
      </c>
      <c r="BO53" t="s">
        <v>674</v>
      </c>
      <c r="BP53" t="s">
        <v>674</v>
      </c>
      <c r="BQ53" t="s">
        <v>674</v>
      </c>
      <c r="BR53" t="s">
        <v>674</v>
      </c>
      <c r="BS53" t="s">
        <v>674</v>
      </c>
      <c r="BT53" t="s">
        <v>274</v>
      </c>
      <c r="BU53" t="s">
        <v>674</v>
      </c>
      <c r="BV53" t="s">
        <v>674</v>
      </c>
      <c r="BW53" t="s">
        <v>674</v>
      </c>
      <c r="BX53" t="s">
        <v>674</v>
      </c>
      <c r="BY53" t="s">
        <v>674</v>
      </c>
      <c r="BZ53" t="s">
        <v>674</v>
      </c>
      <c r="CA53" t="s">
        <v>674</v>
      </c>
      <c r="CB53" t="s">
        <v>674</v>
      </c>
      <c r="CC53" t="s">
        <v>674</v>
      </c>
      <c r="CD53" t="s">
        <v>674</v>
      </c>
      <c r="CE53" t="s">
        <v>674</v>
      </c>
      <c r="CF53" t="s">
        <v>674</v>
      </c>
      <c r="CG53" t="s">
        <v>674</v>
      </c>
      <c r="CH53" t="s">
        <v>674</v>
      </c>
      <c r="CI53" t="s">
        <v>674</v>
      </c>
    </row>
    <row r="54" spans="1:87" x14ac:dyDescent="0.25">
      <c r="A54" t="s">
        <v>283</v>
      </c>
      <c r="B54" t="s">
        <v>88</v>
      </c>
      <c r="C54">
        <v>2016</v>
      </c>
      <c r="D54" t="s">
        <v>284</v>
      </c>
      <c r="E54" t="s">
        <v>285</v>
      </c>
      <c r="F54" t="s">
        <v>286</v>
      </c>
      <c r="G54" t="s">
        <v>674</v>
      </c>
      <c r="H54" t="s">
        <v>287</v>
      </c>
      <c r="I54" t="s">
        <v>288</v>
      </c>
      <c r="J54" t="s">
        <v>289</v>
      </c>
      <c r="K54" t="s">
        <v>674</v>
      </c>
      <c r="L54" t="s">
        <v>686</v>
      </c>
      <c r="M54" s="1">
        <v>46258.612719907411</v>
      </c>
      <c r="N54" s="1">
        <v>46258.618090277778</v>
      </c>
      <c r="O54" s="1">
        <v>46258.612719907411</v>
      </c>
      <c r="P54" t="s">
        <v>290</v>
      </c>
      <c r="Q54" t="s">
        <v>674</v>
      </c>
      <c r="R54">
        <v>1</v>
      </c>
      <c r="S54">
        <v>14</v>
      </c>
      <c r="T54" t="s">
        <v>674</v>
      </c>
      <c r="U54" t="s">
        <v>291</v>
      </c>
      <c r="V54" t="s">
        <v>674</v>
      </c>
      <c r="W54" t="s">
        <v>674</v>
      </c>
      <c r="X54" t="s">
        <v>674</v>
      </c>
      <c r="Y54" t="s">
        <v>674</v>
      </c>
      <c r="Z54" t="s">
        <v>674</v>
      </c>
      <c r="AA54" t="s">
        <v>674</v>
      </c>
      <c r="AB54" t="s">
        <v>674</v>
      </c>
      <c r="AC54" t="s">
        <v>674</v>
      </c>
      <c r="AD54" t="s">
        <v>674</v>
      </c>
      <c r="AE54" t="s">
        <v>674</v>
      </c>
      <c r="AF54" t="s">
        <v>674</v>
      </c>
      <c r="AG54" t="s">
        <v>674</v>
      </c>
      <c r="AH54" t="s">
        <v>99</v>
      </c>
      <c r="AJ54" t="s">
        <v>674</v>
      </c>
      <c r="AK54" t="s">
        <v>674</v>
      </c>
      <c r="AL54" t="s">
        <v>292</v>
      </c>
      <c r="AM54" t="s">
        <v>674</v>
      </c>
      <c r="AN54" t="s">
        <v>293</v>
      </c>
      <c r="AO54" t="s">
        <v>674</v>
      </c>
      <c r="AP54" t="s">
        <v>674</v>
      </c>
      <c r="AQ54" t="s">
        <v>674</v>
      </c>
      <c r="AR54" t="s">
        <v>674</v>
      </c>
      <c r="AS54" t="s">
        <v>674</v>
      </c>
      <c r="AT54" t="s">
        <v>674</v>
      </c>
      <c r="AU54" t="s">
        <v>674</v>
      </c>
      <c r="AV54" t="s">
        <v>674</v>
      </c>
      <c r="AW54" t="s">
        <v>674</v>
      </c>
      <c r="AX54" t="s">
        <v>674</v>
      </c>
      <c r="AY54" t="s">
        <v>674</v>
      </c>
      <c r="AZ54" t="s">
        <v>674</v>
      </c>
      <c r="BA54" t="s">
        <v>674</v>
      </c>
      <c r="BB54" t="s">
        <v>674</v>
      </c>
      <c r="BC54" t="s">
        <v>674</v>
      </c>
      <c r="BD54" t="s">
        <v>674</v>
      </c>
      <c r="BE54" t="s">
        <v>674</v>
      </c>
      <c r="BF54" t="s">
        <v>674</v>
      </c>
      <c r="BG54" t="s">
        <v>674</v>
      </c>
      <c r="BH54" t="s">
        <v>674</v>
      </c>
      <c r="BI54" t="s">
        <v>674</v>
      </c>
      <c r="BJ54" t="s">
        <v>674</v>
      </c>
      <c r="BK54" t="s">
        <v>674</v>
      </c>
      <c r="BL54" t="s">
        <v>674</v>
      </c>
      <c r="BM54" t="s">
        <v>674</v>
      </c>
      <c r="BN54" t="s">
        <v>674</v>
      </c>
      <c r="BO54" t="s">
        <v>674</v>
      </c>
      <c r="BP54" t="s">
        <v>674</v>
      </c>
      <c r="BQ54" t="s">
        <v>674</v>
      </c>
      <c r="BR54" t="s">
        <v>674</v>
      </c>
      <c r="BS54" t="s">
        <v>674</v>
      </c>
      <c r="BT54" t="s">
        <v>674</v>
      </c>
      <c r="BU54" t="s">
        <v>674</v>
      </c>
      <c r="BV54" t="s">
        <v>674</v>
      </c>
      <c r="BW54" t="s">
        <v>674</v>
      </c>
      <c r="BX54" t="s">
        <v>674</v>
      </c>
      <c r="BY54" t="s">
        <v>674</v>
      </c>
      <c r="BZ54" t="s">
        <v>674</v>
      </c>
      <c r="CA54" t="s">
        <v>674</v>
      </c>
      <c r="CB54" t="s">
        <v>674</v>
      </c>
      <c r="CC54" t="s">
        <v>674</v>
      </c>
      <c r="CD54" t="s">
        <v>674</v>
      </c>
      <c r="CE54" t="s">
        <v>674</v>
      </c>
      <c r="CF54" t="s">
        <v>674</v>
      </c>
      <c r="CG54" t="s">
        <v>674</v>
      </c>
      <c r="CH54" t="s">
        <v>674</v>
      </c>
      <c r="CI54" t="s">
        <v>674</v>
      </c>
    </row>
    <row r="55" spans="1:87" x14ac:dyDescent="0.25">
      <c r="A55" t="s">
        <v>262</v>
      </c>
      <c r="B55" t="s">
        <v>88</v>
      </c>
      <c r="C55">
        <v>2017</v>
      </c>
      <c r="D55" t="s">
        <v>263</v>
      </c>
      <c r="E55" t="s">
        <v>264</v>
      </c>
      <c r="F55" t="s">
        <v>265</v>
      </c>
      <c r="G55" t="s">
        <v>674</v>
      </c>
      <c r="H55" t="s">
        <v>266</v>
      </c>
      <c r="I55" t="s">
        <v>267</v>
      </c>
      <c r="J55" t="s">
        <v>268</v>
      </c>
      <c r="K55" t="s">
        <v>674</v>
      </c>
      <c r="L55" t="s">
        <v>269</v>
      </c>
      <c r="M55" s="1">
        <v>46258.612557870372</v>
      </c>
      <c r="N55" s="1">
        <v>46258.617615740739</v>
      </c>
      <c r="O55" s="1">
        <v>46258.612557870372</v>
      </c>
      <c r="P55" t="s">
        <v>685</v>
      </c>
      <c r="Q55" t="s">
        <v>674</v>
      </c>
      <c r="S55">
        <v>43</v>
      </c>
      <c r="T55" t="s">
        <v>674</v>
      </c>
      <c r="U55" t="s">
        <v>265</v>
      </c>
      <c r="V55" t="s">
        <v>674</v>
      </c>
      <c r="W55" t="s">
        <v>674</v>
      </c>
      <c r="X55" t="s">
        <v>674</v>
      </c>
      <c r="Y55" t="s">
        <v>674</v>
      </c>
      <c r="Z55" t="s">
        <v>674</v>
      </c>
      <c r="AA55" t="s">
        <v>674</v>
      </c>
      <c r="AB55" t="s">
        <v>674</v>
      </c>
      <c r="AC55" t="s">
        <v>97</v>
      </c>
      <c r="AD55" t="s">
        <v>674</v>
      </c>
      <c r="AE55" t="s">
        <v>674</v>
      </c>
      <c r="AF55" t="s">
        <v>674</v>
      </c>
      <c r="AG55" t="s">
        <v>674</v>
      </c>
      <c r="AH55" t="s">
        <v>99</v>
      </c>
      <c r="AJ55" t="s">
        <v>674</v>
      </c>
      <c r="AK55" t="s">
        <v>674</v>
      </c>
      <c r="AL55" t="s">
        <v>270</v>
      </c>
      <c r="AM55" t="s">
        <v>674</v>
      </c>
      <c r="AN55" t="s">
        <v>213</v>
      </c>
      <c r="AO55" t="s">
        <v>674</v>
      </c>
      <c r="AP55" t="s">
        <v>674</v>
      </c>
      <c r="AQ55" t="s">
        <v>674</v>
      </c>
      <c r="AR55" t="s">
        <v>674</v>
      </c>
      <c r="AS55" t="s">
        <v>674</v>
      </c>
      <c r="AT55" t="s">
        <v>674</v>
      </c>
      <c r="AU55" t="s">
        <v>674</v>
      </c>
      <c r="AV55" t="s">
        <v>674</v>
      </c>
      <c r="AW55" t="s">
        <v>674</v>
      </c>
      <c r="AX55" t="s">
        <v>674</v>
      </c>
      <c r="AY55" t="s">
        <v>674</v>
      </c>
      <c r="AZ55" t="s">
        <v>674</v>
      </c>
      <c r="BA55" t="s">
        <v>674</v>
      </c>
      <c r="BB55" t="s">
        <v>674</v>
      </c>
      <c r="BC55" t="s">
        <v>674</v>
      </c>
      <c r="BD55" t="s">
        <v>674</v>
      </c>
      <c r="BE55" t="s">
        <v>674</v>
      </c>
      <c r="BF55" t="s">
        <v>674</v>
      </c>
      <c r="BG55" t="s">
        <v>674</v>
      </c>
      <c r="BH55" t="s">
        <v>674</v>
      </c>
      <c r="BI55" t="s">
        <v>674</v>
      </c>
      <c r="BJ55" t="s">
        <v>674</v>
      </c>
      <c r="BK55" t="s">
        <v>674</v>
      </c>
      <c r="BL55" t="s">
        <v>674</v>
      </c>
      <c r="BM55" t="s">
        <v>674</v>
      </c>
      <c r="BN55" t="s">
        <v>674</v>
      </c>
      <c r="BO55" t="s">
        <v>674</v>
      </c>
      <c r="BP55" t="s">
        <v>674</v>
      </c>
      <c r="BQ55" t="s">
        <v>674</v>
      </c>
      <c r="BR55" t="s">
        <v>674</v>
      </c>
      <c r="BS55" t="s">
        <v>674</v>
      </c>
      <c r="BT55" t="s">
        <v>674</v>
      </c>
      <c r="BU55" t="s">
        <v>674</v>
      </c>
      <c r="BV55" t="s">
        <v>674</v>
      </c>
      <c r="BW55" t="s">
        <v>674</v>
      </c>
      <c r="BX55" t="s">
        <v>674</v>
      </c>
      <c r="BY55" t="s">
        <v>674</v>
      </c>
      <c r="BZ55" t="s">
        <v>674</v>
      </c>
      <c r="CA55" t="s">
        <v>674</v>
      </c>
      <c r="CB55" t="s">
        <v>674</v>
      </c>
      <c r="CC55" t="s">
        <v>674</v>
      </c>
      <c r="CD55" t="s">
        <v>674</v>
      </c>
      <c r="CE55" t="s">
        <v>674</v>
      </c>
      <c r="CF55" t="s">
        <v>674</v>
      </c>
      <c r="CG55" t="s">
        <v>674</v>
      </c>
      <c r="CH55" t="s">
        <v>674</v>
      </c>
      <c r="CI55" t="s">
        <v>674</v>
      </c>
    </row>
    <row r="56" spans="1:87" x14ac:dyDescent="0.25">
      <c r="A56" t="s">
        <v>294</v>
      </c>
      <c r="B56" t="s">
        <v>88</v>
      </c>
      <c r="C56">
        <v>2022</v>
      </c>
      <c r="D56" t="s">
        <v>295</v>
      </c>
      <c r="E56" t="s">
        <v>296</v>
      </c>
      <c r="F56" t="s">
        <v>297</v>
      </c>
      <c r="G56" t="s">
        <v>674</v>
      </c>
      <c r="H56" t="s">
        <v>298</v>
      </c>
      <c r="I56" t="s">
        <v>299</v>
      </c>
      <c r="J56" t="s">
        <v>300</v>
      </c>
      <c r="K56" t="s">
        <v>301</v>
      </c>
      <c r="L56" t="s">
        <v>687</v>
      </c>
      <c r="M56" s="1">
        <v>46258.612835648149</v>
      </c>
      <c r="N56" s="1">
        <v>46258.616631944446</v>
      </c>
      <c r="O56" s="1">
        <v>46258.612835648149</v>
      </c>
      <c r="P56" t="s">
        <v>688</v>
      </c>
      <c r="Q56" t="s">
        <v>674</v>
      </c>
      <c r="R56">
        <v>1</v>
      </c>
      <c r="S56">
        <v>12</v>
      </c>
      <c r="T56" t="s">
        <v>674</v>
      </c>
      <c r="U56" t="s">
        <v>302</v>
      </c>
      <c r="V56" t="s">
        <v>674</v>
      </c>
      <c r="W56" t="s">
        <v>674</v>
      </c>
      <c r="X56" t="s">
        <v>674</v>
      </c>
      <c r="Y56" t="s">
        <v>674</v>
      </c>
      <c r="Z56" t="s">
        <v>674</v>
      </c>
      <c r="AA56" t="s">
        <v>674</v>
      </c>
      <c r="AB56" t="s">
        <v>674</v>
      </c>
      <c r="AC56" t="s">
        <v>97</v>
      </c>
      <c r="AD56" t="s">
        <v>674</v>
      </c>
      <c r="AE56" t="s">
        <v>674</v>
      </c>
      <c r="AF56" t="s">
        <v>674</v>
      </c>
      <c r="AG56" t="s">
        <v>674</v>
      </c>
      <c r="AH56" t="s">
        <v>99</v>
      </c>
      <c r="AJ56" t="s">
        <v>674</v>
      </c>
      <c r="AK56" t="s">
        <v>674</v>
      </c>
      <c r="AL56" t="s">
        <v>303</v>
      </c>
      <c r="AM56" t="s">
        <v>674</v>
      </c>
      <c r="AN56" t="s">
        <v>235</v>
      </c>
      <c r="AO56" t="s">
        <v>674</v>
      </c>
      <c r="AP56" t="s">
        <v>674</v>
      </c>
      <c r="AQ56" t="s">
        <v>674</v>
      </c>
      <c r="AR56" t="s">
        <v>674</v>
      </c>
      <c r="AS56" t="s">
        <v>674</v>
      </c>
      <c r="AT56" t="s">
        <v>674</v>
      </c>
      <c r="AU56" t="s">
        <v>674</v>
      </c>
      <c r="AV56" t="s">
        <v>674</v>
      </c>
      <c r="AW56" t="s">
        <v>674</v>
      </c>
      <c r="AX56" t="s">
        <v>674</v>
      </c>
      <c r="AY56" t="s">
        <v>674</v>
      </c>
      <c r="AZ56" t="s">
        <v>674</v>
      </c>
      <c r="BA56" t="s">
        <v>674</v>
      </c>
      <c r="BB56" t="s">
        <v>674</v>
      </c>
      <c r="BC56" t="s">
        <v>674</v>
      </c>
      <c r="BD56" t="s">
        <v>674</v>
      </c>
      <c r="BE56" t="s">
        <v>674</v>
      </c>
      <c r="BF56" t="s">
        <v>674</v>
      </c>
      <c r="BG56" t="s">
        <v>674</v>
      </c>
      <c r="BH56" t="s">
        <v>674</v>
      </c>
      <c r="BI56" t="s">
        <v>674</v>
      </c>
      <c r="BJ56" t="s">
        <v>674</v>
      </c>
      <c r="BK56" t="s">
        <v>674</v>
      </c>
      <c r="BL56" t="s">
        <v>674</v>
      </c>
      <c r="BM56" t="s">
        <v>674</v>
      </c>
      <c r="BN56" t="s">
        <v>674</v>
      </c>
      <c r="BO56" t="s">
        <v>674</v>
      </c>
      <c r="BP56" t="s">
        <v>674</v>
      </c>
      <c r="BQ56" t="s">
        <v>674</v>
      </c>
      <c r="BR56" t="s">
        <v>674</v>
      </c>
      <c r="BS56" t="s">
        <v>674</v>
      </c>
      <c r="BT56" t="s">
        <v>674</v>
      </c>
      <c r="BU56" t="s">
        <v>674</v>
      </c>
      <c r="BV56" t="s">
        <v>674</v>
      </c>
      <c r="BW56" t="s">
        <v>674</v>
      </c>
      <c r="BX56" t="s">
        <v>674</v>
      </c>
      <c r="BY56" t="s">
        <v>674</v>
      </c>
      <c r="BZ56" t="s">
        <v>674</v>
      </c>
      <c r="CA56" t="s">
        <v>674</v>
      </c>
      <c r="CB56" t="s">
        <v>674</v>
      </c>
      <c r="CC56" t="s">
        <v>674</v>
      </c>
      <c r="CD56" t="s">
        <v>674</v>
      </c>
      <c r="CE56" t="s">
        <v>674</v>
      </c>
      <c r="CF56" t="s">
        <v>674</v>
      </c>
      <c r="CG56" t="s">
        <v>674</v>
      </c>
      <c r="CH56" t="s">
        <v>674</v>
      </c>
      <c r="CI56" t="s">
        <v>674</v>
      </c>
    </row>
    <row r="57" spans="1:87" x14ac:dyDescent="0.25">
      <c r="A57" t="s">
        <v>304</v>
      </c>
      <c r="B57" t="s">
        <v>88</v>
      </c>
      <c r="C57">
        <v>2016</v>
      </c>
      <c r="D57" t="s">
        <v>305</v>
      </c>
      <c r="E57" t="s">
        <v>306</v>
      </c>
      <c r="F57" t="s">
        <v>307</v>
      </c>
      <c r="G57" t="s">
        <v>674</v>
      </c>
      <c r="H57" t="s">
        <v>308</v>
      </c>
      <c r="I57" t="s">
        <v>309</v>
      </c>
      <c r="J57" t="s">
        <v>310</v>
      </c>
      <c r="K57" t="s">
        <v>311</v>
      </c>
      <c r="L57" t="s">
        <v>312</v>
      </c>
      <c r="M57" s="1">
        <v>46258.612893518519</v>
      </c>
      <c r="N57" s="1">
        <v>46258.615659722222</v>
      </c>
      <c r="O57" s="1">
        <v>46258.612893518519</v>
      </c>
      <c r="P57" t="s">
        <v>313</v>
      </c>
      <c r="Q57" t="s">
        <v>674</v>
      </c>
      <c r="R57">
        <v>8</v>
      </c>
      <c r="S57">
        <v>10</v>
      </c>
      <c r="T57" t="s">
        <v>674</v>
      </c>
      <c r="U57" t="s">
        <v>314</v>
      </c>
      <c r="V57" t="s">
        <v>674</v>
      </c>
      <c r="W57" t="s">
        <v>674</v>
      </c>
      <c r="X57" t="s">
        <v>674</v>
      </c>
      <c r="Y57" t="s">
        <v>674</v>
      </c>
      <c r="Z57" t="s">
        <v>674</v>
      </c>
      <c r="AA57" t="s">
        <v>674</v>
      </c>
      <c r="AB57" t="s">
        <v>674</v>
      </c>
      <c r="AC57" t="s">
        <v>97</v>
      </c>
      <c r="AD57" t="s">
        <v>315</v>
      </c>
      <c r="AE57" t="s">
        <v>674</v>
      </c>
      <c r="AF57" t="s">
        <v>674</v>
      </c>
      <c r="AG57" t="s">
        <v>674</v>
      </c>
      <c r="AH57" t="s">
        <v>99</v>
      </c>
      <c r="AJ57" t="s">
        <v>674</v>
      </c>
      <c r="AK57" t="s">
        <v>674</v>
      </c>
      <c r="AL57" t="s">
        <v>316</v>
      </c>
      <c r="AM57" t="s">
        <v>674</v>
      </c>
      <c r="AN57" t="s">
        <v>317</v>
      </c>
      <c r="AO57" t="s">
        <v>674</v>
      </c>
      <c r="AP57" t="s">
        <v>674</v>
      </c>
      <c r="AQ57" t="s">
        <v>674</v>
      </c>
      <c r="AR57" t="s">
        <v>674</v>
      </c>
      <c r="AS57" t="s">
        <v>674</v>
      </c>
      <c r="AT57" t="s">
        <v>674</v>
      </c>
      <c r="AU57" t="s">
        <v>674</v>
      </c>
      <c r="AV57" t="s">
        <v>674</v>
      </c>
      <c r="AW57" t="s">
        <v>674</v>
      </c>
      <c r="AX57" t="s">
        <v>674</v>
      </c>
      <c r="AY57" t="s">
        <v>674</v>
      </c>
      <c r="AZ57" t="s">
        <v>674</v>
      </c>
      <c r="BA57" t="s">
        <v>674</v>
      </c>
      <c r="BB57" t="s">
        <v>674</v>
      </c>
      <c r="BC57" t="s">
        <v>674</v>
      </c>
      <c r="BD57" t="s">
        <v>674</v>
      </c>
      <c r="BE57" t="s">
        <v>674</v>
      </c>
      <c r="BF57" t="s">
        <v>674</v>
      </c>
      <c r="BG57" t="s">
        <v>674</v>
      </c>
      <c r="BH57" t="s">
        <v>674</v>
      </c>
      <c r="BI57" t="s">
        <v>674</v>
      </c>
      <c r="BJ57" t="s">
        <v>674</v>
      </c>
      <c r="BK57" t="s">
        <v>674</v>
      </c>
      <c r="BL57" t="s">
        <v>674</v>
      </c>
      <c r="BM57" t="s">
        <v>674</v>
      </c>
      <c r="BN57" t="s">
        <v>674</v>
      </c>
      <c r="BO57" t="s">
        <v>674</v>
      </c>
      <c r="BP57" t="s">
        <v>674</v>
      </c>
      <c r="BQ57" t="s">
        <v>674</v>
      </c>
      <c r="BR57" t="s">
        <v>674</v>
      </c>
      <c r="BS57" t="s">
        <v>674</v>
      </c>
      <c r="BT57" t="s">
        <v>674</v>
      </c>
      <c r="BU57" t="s">
        <v>674</v>
      </c>
      <c r="BV57" t="s">
        <v>674</v>
      </c>
      <c r="BW57" t="s">
        <v>674</v>
      </c>
      <c r="BX57" t="s">
        <v>674</v>
      </c>
      <c r="BY57" t="s">
        <v>674</v>
      </c>
      <c r="BZ57" t="s">
        <v>674</v>
      </c>
      <c r="CA57" t="s">
        <v>674</v>
      </c>
      <c r="CB57" t="s">
        <v>674</v>
      </c>
      <c r="CC57" t="s">
        <v>674</v>
      </c>
      <c r="CD57" t="s">
        <v>674</v>
      </c>
      <c r="CE57" t="s">
        <v>674</v>
      </c>
      <c r="CF57" t="s">
        <v>674</v>
      </c>
      <c r="CG57" t="s">
        <v>674</v>
      </c>
      <c r="CH57" t="s">
        <v>674</v>
      </c>
      <c r="CI57" t="s">
        <v>674</v>
      </c>
    </row>
    <row r="58" spans="1:87" x14ac:dyDescent="0.25">
      <c r="A58" t="s">
        <v>259</v>
      </c>
      <c r="B58" t="s">
        <v>88</v>
      </c>
      <c r="D58" t="s">
        <v>674</v>
      </c>
      <c r="E58" t="s">
        <v>260</v>
      </c>
      <c r="F58" t="s">
        <v>674</v>
      </c>
      <c r="G58" t="s">
        <v>674</v>
      </c>
      <c r="H58" t="s">
        <v>674</v>
      </c>
      <c r="I58" t="s">
        <v>674</v>
      </c>
      <c r="J58" t="s">
        <v>674</v>
      </c>
      <c r="K58" t="s">
        <v>674</v>
      </c>
      <c r="L58" t="s">
        <v>674</v>
      </c>
      <c r="M58" s="1">
        <v>46257.904942129629</v>
      </c>
      <c r="N58" s="1">
        <v>46258.611840277779</v>
      </c>
      <c r="O58" s="1"/>
      <c r="P58" t="s">
        <v>674</v>
      </c>
      <c r="Q58" t="s">
        <v>674</v>
      </c>
      <c r="T58" t="s">
        <v>674</v>
      </c>
      <c r="U58" t="s">
        <v>674</v>
      </c>
      <c r="V58" t="s">
        <v>674</v>
      </c>
      <c r="W58" t="s">
        <v>674</v>
      </c>
      <c r="X58" t="s">
        <v>674</v>
      </c>
      <c r="Y58" t="s">
        <v>674</v>
      </c>
      <c r="Z58" t="s">
        <v>674</v>
      </c>
      <c r="AA58" t="s">
        <v>674</v>
      </c>
      <c r="AB58" t="s">
        <v>674</v>
      </c>
      <c r="AC58" t="s">
        <v>674</v>
      </c>
      <c r="AD58" t="s">
        <v>674</v>
      </c>
      <c r="AE58" t="s">
        <v>674</v>
      </c>
      <c r="AF58" t="s">
        <v>674</v>
      </c>
      <c r="AG58" t="s">
        <v>674</v>
      </c>
      <c r="AH58" t="s">
        <v>674</v>
      </c>
      <c r="AJ58" t="s">
        <v>674</v>
      </c>
      <c r="AK58" t="s">
        <v>674</v>
      </c>
      <c r="AL58" t="s">
        <v>674</v>
      </c>
      <c r="AM58" t="s">
        <v>674</v>
      </c>
      <c r="AN58" t="s">
        <v>261</v>
      </c>
      <c r="AO58" t="s">
        <v>674</v>
      </c>
      <c r="AP58" t="s">
        <v>674</v>
      </c>
      <c r="AQ58" t="s">
        <v>674</v>
      </c>
      <c r="AR58" t="s">
        <v>674</v>
      </c>
      <c r="AS58" t="s">
        <v>674</v>
      </c>
      <c r="AT58" t="s">
        <v>674</v>
      </c>
      <c r="AU58" t="s">
        <v>674</v>
      </c>
      <c r="AV58" t="s">
        <v>674</v>
      </c>
      <c r="AW58" t="s">
        <v>674</v>
      </c>
      <c r="AX58" t="s">
        <v>674</v>
      </c>
      <c r="AY58" t="s">
        <v>674</v>
      </c>
      <c r="AZ58" t="s">
        <v>674</v>
      </c>
      <c r="BA58" t="s">
        <v>674</v>
      </c>
      <c r="BB58" t="s">
        <v>674</v>
      </c>
      <c r="BC58" t="s">
        <v>674</v>
      </c>
      <c r="BD58" t="s">
        <v>674</v>
      </c>
      <c r="BE58" t="s">
        <v>674</v>
      </c>
      <c r="BF58" t="s">
        <v>674</v>
      </c>
      <c r="BG58" t="s">
        <v>674</v>
      </c>
      <c r="BH58" t="s">
        <v>674</v>
      </c>
      <c r="BI58" t="s">
        <v>674</v>
      </c>
      <c r="BJ58" t="s">
        <v>674</v>
      </c>
      <c r="BK58" t="s">
        <v>674</v>
      </c>
      <c r="BL58" t="s">
        <v>674</v>
      </c>
      <c r="BM58" t="s">
        <v>674</v>
      </c>
      <c r="BN58" t="s">
        <v>674</v>
      </c>
      <c r="BO58" t="s">
        <v>674</v>
      </c>
      <c r="BP58" t="s">
        <v>674</v>
      </c>
      <c r="BQ58" t="s">
        <v>674</v>
      </c>
      <c r="BR58" t="s">
        <v>674</v>
      </c>
      <c r="BS58" t="s">
        <v>674</v>
      </c>
      <c r="BT58" t="s">
        <v>674</v>
      </c>
      <c r="BU58" t="s">
        <v>674</v>
      </c>
      <c r="BV58" t="s">
        <v>674</v>
      </c>
      <c r="BW58" t="s">
        <v>674</v>
      </c>
      <c r="BX58" t="s">
        <v>674</v>
      </c>
      <c r="BY58" t="s">
        <v>674</v>
      </c>
      <c r="BZ58" t="s">
        <v>674</v>
      </c>
      <c r="CA58" t="s">
        <v>674</v>
      </c>
      <c r="CB58" t="s">
        <v>674</v>
      </c>
      <c r="CC58" t="s">
        <v>674</v>
      </c>
      <c r="CD58" t="s">
        <v>674</v>
      </c>
      <c r="CE58" t="s">
        <v>674</v>
      </c>
      <c r="CF58" t="s">
        <v>674</v>
      </c>
      <c r="CG58" t="s">
        <v>674</v>
      </c>
      <c r="CH58" t="s">
        <v>674</v>
      </c>
      <c r="CI58" t="s">
        <v>674</v>
      </c>
    </row>
    <row r="59" spans="1:87" x14ac:dyDescent="0.25">
      <c r="A59" t="s">
        <v>87</v>
      </c>
      <c r="B59" t="s">
        <v>88</v>
      </c>
      <c r="C59">
        <v>1994</v>
      </c>
      <c r="D59" t="s">
        <v>89</v>
      </c>
      <c r="E59" t="s">
        <v>90</v>
      </c>
      <c r="F59" t="s">
        <v>91</v>
      </c>
      <c r="G59" t="s">
        <v>674</v>
      </c>
      <c r="H59" t="s">
        <v>92</v>
      </c>
      <c r="I59" t="s">
        <v>93</v>
      </c>
      <c r="J59" t="s">
        <v>94</v>
      </c>
      <c r="K59" t="s">
        <v>674</v>
      </c>
      <c r="L59" t="s">
        <v>95</v>
      </c>
      <c r="M59" s="1">
        <v>46257.901307870372</v>
      </c>
      <c r="N59" s="1">
        <v>46257.932939814818</v>
      </c>
      <c r="O59" s="1">
        <v>46257.901307870372</v>
      </c>
      <c r="P59" t="s">
        <v>96</v>
      </c>
      <c r="Q59" t="s">
        <v>674</v>
      </c>
      <c r="R59">
        <v>5</v>
      </c>
      <c r="S59">
        <v>23</v>
      </c>
      <c r="T59" t="s">
        <v>674</v>
      </c>
      <c r="U59" t="s">
        <v>91</v>
      </c>
      <c r="V59" t="s">
        <v>674</v>
      </c>
      <c r="W59" t="s">
        <v>674</v>
      </c>
      <c r="X59" t="s">
        <v>674</v>
      </c>
      <c r="Y59" t="s">
        <v>674</v>
      </c>
      <c r="Z59" t="s">
        <v>674</v>
      </c>
      <c r="AA59" t="s">
        <v>674</v>
      </c>
      <c r="AB59" t="s">
        <v>674</v>
      </c>
      <c r="AC59" t="s">
        <v>97</v>
      </c>
      <c r="AD59" t="s">
        <v>98</v>
      </c>
      <c r="AE59" t="s">
        <v>674</v>
      </c>
      <c r="AF59" t="s">
        <v>674</v>
      </c>
      <c r="AG59" t="s">
        <v>674</v>
      </c>
      <c r="AH59" t="s">
        <v>99</v>
      </c>
      <c r="AJ59" t="s">
        <v>674</v>
      </c>
      <c r="AK59" t="s">
        <v>674</v>
      </c>
      <c r="AL59" t="s">
        <v>100</v>
      </c>
      <c r="AM59" t="s">
        <v>674</v>
      </c>
      <c r="AN59" t="s">
        <v>101</v>
      </c>
      <c r="AO59" t="s">
        <v>674</v>
      </c>
      <c r="AP59" t="s">
        <v>674</v>
      </c>
      <c r="AQ59" t="s">
        <v>674</v>
      </c>
      <c r="AR59" t="s">
        <v>674</v>
      </c>
      <c r="AS59" t="s">
        <v>674</v>
      </c>
      <c r="AT59" t="s">
        <v>674</v>
      </c>
      <c r="AU59" t="s">
        <v>674</v>
      </c>
      <c r="AV59" t="s">
        <v>674</v>
      </c>
      <c r="AW59" t="s">
        <v>674</v>
      </c>
      <c r="AX59" t="s">
        <v>674</v>
      </c>
      <c r="AY59" t="s">
        <v>674</v>
      </c>
      <c r="AZ59" t="s">
        <v>674</v>
      </c>
      <c r="BA59" t="s">
        <v>674</v>
      </c>
      <c r="BB59" t="s">
        <v>674</v>
      </c>
      <c r="BC59" t="s">
        <v>674</v>
      </c>
      <c r="BD59" t="s">
        <v>674</v>
      </c>
      <c r="BE59" t="s">
        <v>674</v>
      </c>
      <c r="BF59" t="s">
        <v>674</v>
      </c>
      <c r="BG59" t="s">
        <v>674</v>
      </c>
      <c r="BH59" t="s">
        <v>674</v>
      </c>
      <c r="BI59" t="s">
        <v>674</v>
      </c>
      <c r="BJ59" t="s">
        <v>674</v>
      </c>
      <c r="BK59" t="s">
        <v>674</v>
      </c>
      <c r="BL59" t="s">
        <v>674</v>
      </c>
      <c r="BM59" t="s">
        <v>674</v>
      </c>
      <c r="BN59" t="s">
        <v>674</v>
      </c>
      <c r="BO59" t="s">
        <v>674</v>
      </c>
      <c r="BP59" t="s">
        <v>674</v>
      </c>
      <c r="BQ59" t="s">
        <v>674</v>
      </c>
      <c r="BR59" t="s">
        <v>674</v>
      </c>
      <c r="BS59" t="s">
        <v>674</v>
      </c>
      <c r="BT59" t="s">
        <v>674</v>
      </c>
      <c r="BU59" t="s">
        <v>674</v>
      </c>
      <c r="BV59" t="s">
        <v>674</v>
      </c>
      <c r="BW59" t="s">
        <v>674</v>
      </c>
      <c r="BX59" t="s">
        <v>674</v>
      </c>
      <c r="BY59" t="s">
        <v>674</v>
      </c>
      <c r="BZ59" t="s">
        <v>674</v>
      </c>
      <c r="CA59" t="s">
        <v>674</v>
      </c>
      <c r="CB59" t="s">
        <v>674</v>
      </c>
      <c r="CC59" t="s">
        <v>674</v>
      </c>
      <c r="CD59" t="s">
        <v>674</v>
      </c>
      <c r="CE59" t="s">
        <v>674</v>
      </c>
      <c r="CF59" t="s">
        <v>674</v>
      </c>
      <c r="CG59" t="s">
        <v>674</v>
      </c>
      <c r="CH59" t="s">
        <v>674</v>
      </c>
      <c r="CI59" t="s">
        <v>674</v>
      </c>
    </row>
    <row r="60" spans="1:87" x14ac:dyDescent="0.25">
      <c r="A60" t="s">
        <v>125</v>
      </c>
      <c r="B60" t="s">
        <v>126</v>
      </c>
      <c r="C60">
        <v>2022</v>
      </c>
      <c r="D60" t="s">
        <v>127</v>
      </c>
      <c r="E60" t="s">
        <v>128</v>
      </c>
      <c r="F60" t="s">
        <v>129</v>
      </c>
      <c r="G60" t="s">
        <v>130</v>
      </c>
      <c r="H60" t="s">
        <v>674</v>
      </c>
      <c r="I60" t="s">
        <v>131</v>
      </c>
      <c r="J60" t="s">
        <v>132</v>
      </c>
      <c r="K60" t="s">
        <v>674</v>
      </c>
      <c r="L60" t="s">
        <v>676</v>
      </c>
      <c r="M60" s="1">
        <v>46257.901574074072</v>
      </c>
      <c r="N60" s="1">
        <v>46257.93273148148</v>
      </c>
      <c r="O60" s="1">
        <v>46257.901574074072</v>
      </c>
      <c r="P60" t="s">
        <v>677</v>
      </c>
      <c r="Q60" t="s">
        <v>674</v>
      </c>
      <c r="T60" t="s">
        <v>674</v>
      </c>
      <c r="U60" t="s">
        <v>674</v>
      </c>
      <c r="V60" t="s">
        <v>674</v>
      </c>
      <c r="W60" t="s">
        <v>674</v>
      </c>
      <c r="X60" t="s">
        <v>674</v>
      </c>
      <c r="Y60" t="s">
        <v>674</v>
      </c>
      <c r="Z60" t="s">
        <v>674</v>
      </c>
      <c r="AA60" t="s">
        <v>133</v>
      </c>
      <c r="AB60" t="s">
        <v>134</v>
      </c>
      <c r="AC60" t="s">
        <v>674</v>
      </c>
      <c r="AD60" t="s">
        <v>135</v>
      </c>
      <c r="AE60" t="s">
        <v>674</v>
      </c>
      <c r="AF60" t="s">
        <v>674</v>
      </c>
      <c r="AG60" t="s">
        <v>674</v>
      </c>
      <c r="AH60" t="s">
        <v>99</v>
      </c>
      <c r="AJ60" t="s">
        <v>674</v>
      </c>
      <c r="AK60" t="s">
        <v>674</v>
      </c>
      <c r="AL60" t="s">
        <v>136</v>
      </c>
      <c r="AM60" t="s">
        <v>674</v>
      </c>
      <c r="AN60" t="s">
        <v>137</v>
      </c>
      <c r="AO60" t="s">
        <v>674</v>
      </c>
      <c r="AP60" t="s">
        <v>674</v>
      </c>
      <c r="AQ60" t="s">
        <v>674</v>
      </c>
      <c r="AR60" t="s">
        <v>674</v>
      </c>
      <c r="AS60" t="s">
        <v>674</v>
      </c>
      <c r="AT60" t="s">
        <v>674</v>
      </c>
      <c r="AU60" t="s">
        <v>674</v>
      </c>
      <c r="AV60" t="s">
        <v>674</v>
      </c>
      <c r="AW60" t="s">
        <v>674</v>
      </c>
      <c r="AX60" t="s">
        <v>674</v>
      </c>
      <c r="AY60" t="s">
        <v>674</v>
      </c>
      <c r="AZ60" t="s">
        <v>674</v>
      </c>
      <c r="BA60" t="s">
        <v>674</v>
      </c>
      <c r="BB60" t="s">
        <v>674</v>
      </c>
      <c r="BC60" t="s">
        <v>674</v>
      </c>
      <c r="BD60" t="s">
        <v>674</v>
      </c>
      <c r="BE60" t="s">
        <v>674</v>
      </c>
      <c r="BF60" t="s">
        <v>674</v>
      </c>
      <c r="BG60" t="s">
        <v>674</v>
      </c>
      <c r="BH60" t="s">
        <v>674</v>
      </c>
      <c r="BI60" t="s">
        <v>674</v>
      </c>
      <c r="BJ60" t="s">
        <v>674</v>
      </c>
      <c r="BK60" t="s">
        <v>674</v>
      </c>
      <c r="BL60" t="s">
        <v>674</v>
      </c>
      <c r="BM60" t="s">
        <v>674</v>
      </c>
      <c r="BN60" t="s">
        <v>674</v>
      </c>
      <c r="BO60" t="s">
        <v>674</v>
      </c>
      <c r="BP60" t="s">
        <v>674</v>
      </c>
      <c r="BQ60" t="s">
        <v>674</v>
      </c>
      <c r="BR60" t="s">
        <v>674</v>
      </c>
      <c r="BS60" t="s">
        <v>674</v>
      </c>
      <c r="BT60" t="s">
        <v>129</v>
      </c>
      <c r="BU60" t="s">
        <v>674</v>
      </c>
      <c r="BV60" t="s">
        <v>674</v>
      </c>
      <c r="BW60" t="s">
        <v>674</v>
      </c>
      <c r="BX60" t="s">
        <v>674</v>
      </c>
      <c r="BY60" t="s">
        <v>674</v>
      </c>
      <c r="BZ60" t="s">
        <v>674</v>
      </c>
      <c r="CA60" t="s">
        <v>674</v>
      </c>
      <c r="CB60" t="s">
        <v>674</v>
      </c>
      <c r="CC60" t="s">
        <v>674</v>
      </c>
      <c r="CD60" t="s">
        <v>674</v>
      </c>
      <c r="CE60" t="s">
        <v>674</v>
      </c>
      <c r="CF60" t="s">
        <v>674</v>
      </c>
      <c r="CG60" t="s">
        <v>674</v>
      </c>
      <c r="CH60" t="s">
        <v>674</v>
      </c>
      <c r="CI60" t="s">
        <v>674</v>
      </c>
    </row>
    <row r="61" spans="1:87" x14ac:dyDescent="0.25">
      <c r="A61" t="s">
        <v>112</v>
      </c>
      <c r="B61" t="s">
        <v>88</v>
      </c>
      <c r="C61">
        <v>2021</v>
      </c>
      <c r="D61" t="s">
        <v>113</v>
      </c>
      <c r="E61" t="s">
        <v>114</v>
      </c>
      <c r="F61" t="s">
        <v>115</v>
      </c>
      <c r="G61" t="s">
        <v>674</v>
      </c>
      <c r="H61" t="s">
        <v>116</v>
      </c>
      <c r="I61" t="s">
        <v>117</v>
      </c>
      <c r="J61" t="s">
        <v>118</v>
      </c>
      <c r="K61" t="s">
        <v>674</v>
      </c>
      <c r="L61" t="s">
        <v>119</v>
      </c>
      <c r="M61" s="1">
        <v>46257.90152777778</v>
      </c>
      <c r="N61" s="1">
        <v>46257.929930555554</v>
      </c>
      <c r="O61" s="1">
        <v>46257.90152777778</v>
      </c>
      <c r="P61" t="s">
        <v>120</v>
      </c>
      <c r="Q61" t="s">
        <v>674</v>
      </c>
      <c r="R61">
        <v>1</v>
      </c>
      <c r="S61">
        <v>68</v>
      </c>
      <c r="T61" t="s">
        <v>674</v>
      </c>
      <c r="U61" t="s">
        <v>121</v>
      </c>
      <c r="V61" t="s">
        <v>674</v>
      </c>
      <c r="W61" t="s">
        <v>674</v>
      </c>
      <c r="X61" t="s">
        <v>674</v>
      </c>
      <c r="Y61" t="s">
        <v>674</v>
      </c>
      <c r="Z61" t="s">
        <v>674</v>
      </c>
      <c r="AA61" t="s">
        <v>674</v>
      </c>
      <c r="AB61" t="s">
        <v>674</v>
      </c>
      <c r="AC61" t="s">
        <v>674</v>
      </c>
      <c r="AD61" t="s">
        <v>122</v>
      </c>
      <c r="AE61" t="s">
        <v>674</v>
      </c>
      <c r="AF61" t="s">
        <v>674</v>
      </c>
      <c r="AG61" t="s">
        <v>674</v>
      </c>
      <c r="AH61" t="s">
        <v>99</v>
      </c>
      <c r="AJ61" t="s">
        <v>674</v>
      </c>
      <c r="AK61" t="s">
        <v>674</v>
      </c>
      <c r="AL61" t="s">
        <v>123</v>
      </c>
      <c r="AM61" t="s">
        <v>674</v>
      </c>
      <c r="AN61" t="s">
        <v>124</v>
      </c>
      <c r="AO61" t="s">
        <v>674</v>
      </c>
      <c r="AP61" t="s">
        <v>674</v>
      </c>
      <c r="AQ61" t="s">
        <v>674</v>
      </c>
      <c r="AR61" t="s">
        <v>674</v>
      </c>
      <c r="AS61" t="s">
        <v>674</v>
      </c>
      <c r="AT61" t="s">
        <v>674</v>
      </c>
      <c r="AU61" t="s">
        <v>674</v>
      </c>
      <c r="AV61" t="s">
        <v>674</v>
      </c>
      <c r="AW61" t="s">
        <v>674</v>
      </c>
      <c r="AX61" t="s">
        <v>674</v>
      </c>
      <c r="AY61" t="s">
        <v>674</v>
      </c>
      <c r="AZ61" t="s">
        <v>674</v>
      </c>
      <c r="BA61" t="s">
        <v>674</v>
      </c>
      <c r="BB61" t="s">
        <v>674</v>
      </c>
      <c r="BC61" t="s">
        <v>674</v>
      </c>
      <c r="BD61" t="s">
        <v>674</v>
      </c>
      <c r="BE61" t="s">
        <v>674</v>
      </c>
      <c r="BF61" t="s">
        <v>674</v>
      </c>
      <c r="BG61" t="s">
        <v>674</v>
      </c>
      <c r="BH61" t="s">
        <v>674</v>
      </c>
      <c r="BI61" t="s">
        <v>674</v>
      </c>
      <c r="BJ61" t="s">
        <v>674</v>
      </c>
      <c r="BK61" t="s">
        <v>674</v>
      </c>
      <c r="BL61" t="s">
        <v>674</v>
      </c>
      <c r="BM61" t="s">
        <v>674</v>
      </c>
      <c r="BN61" t="s">
        <v>674</v>
      </c>
      <c r="BO61" t="s">
        <v>674</v>
      </c>
      <c r="BP61" t="s">
        <v>674</v>
      </c>
      <c r="BQ61" t="s">
        <v>674</v>
      </c>
      <c r="BR61" t="s">
        <v>674</v>
      </c>
      <c r="BS61" t="s">
        <v>674</v>
      </c>
      <c r="BT61" t="s">
        <v>674</v>
      </c>
      <c r="BU61" t="s">
        <v>674</v>
      </c>
      <c r="BV61" t="s">
        <v>674</v>
      </c>
      <c r="BW61" t="s">
        <v>674</v>
      </c>
      <c r="BX61" t="s">
        <v>674</v>
      </c>
      <c r="BY61" t="s">
        <v>674</v>
      </c>
      <c r="BZ61" t="s">
        <v>674</v>
      </c>
      <c r="CA61" t="s">
        <v>674</v>
      </c>
      <c r="CB61" t="s">
        <v>674</v>
      </c>
      <c r="CC61" t="s">
        <v>674</v>
      </c>
      <c r="CD61" t="s">
        <v>674</v>
      </c>
      <c r="CE61" t="s">
        <v>674</v>
      </c>
      <c r="CF61" t="s">
        <v>674</v>
      </c>
      <c r="CG61" t="s">
        <v>674</v>
      </c>
      <c r="CH61" t="s">
        <v>674</v>
      </c>
      <c r="CI61" t="s">
        <v>674</v>
      </c>
    </row>
    <row r="62" spans="1:87" x14ac:dyDescent="0.25">
      <c r="A62" t="s">
        <v>165</v>
      </c>
      <c r="B62" t="s">
        <v>126</v>
      </c>
      <c r="C62">
        <v>2007</v>
      </c>
      <c r="D62" t="s">
        <v>166</v>
      </c>
      <c r="E62" t="s">
        <v>167</v>
      </c>
      <c r="F62" t="s">
        <v>168</v>
      </c>
      <c r="G62" t="s">
        <v>169</v>
      </c>
      <c r="H62" t="s">
        <v>674</v>
      </c>
      <c r="I62" t="s">
        <v>170</v>
      </c>
      <c r="J62" t="s">
        <v>171</v>
      </c>
      <c r="K62" t="s">
        <v>674</v>
      </c>
      <c r="L62" t="s">
        <v>172</v>
      </c>
      <c r="M62" s="1">
        <v>46257.90179398148</v>
      </c>
      <c r="N62" s="1">
        <v>46257.929259259261</v>
      </c>
      <c r="O62" s="1">
        <v>46257.90179398148</v>
      </c>
      <c r="P62" t="s">
        <v>173</v>
      </c>
      <c r="Q62" t="s">
        <v>674</v>
      </c>
      <c r="T62" t="s">
        <v>674</v>
      </c>
      <c r="U62" t="s">
        <v>674</v>
      </c>
      <c r="V62" t="s">
        <v>674</v>
      </c>
      <c r="W62" t="s">
        <v>674</v>
      </c>
      <c r="X62" t="s">
        <v>674</v>
      </c>
      <c r="Y62" t="s">
        <v>674</v>
      </c>
      <c r="Z62" t="s">
        <v>674</v>
      </c>
      <c r="AA62" t="s">
        <v>133</v>
      </c>
      <c r="AB62" t="s">
        <v>174</v>
      </c>
      <c r="AC62" t="s">
        <v>674</v>
      </c>
      <c r="AD62" t="s">
        <v>674</v>
      </c>
      <c r="AE62" t="s">
        <v>674</v>
      </c>
      <c r="AF62" t="s">
        <v>674</v>
      </c>
      <c r="AG62" t="s">
        <v>674</v>
      </c>
      <c r="AH62" t="s">
        <v>99</v>
      </c>
      <c r="AJ62" t="s">
        <v>674</v>
      </c>
      <c r="AK62" t="s">
        <v>674</v>
      </c>
      <c r="AL62" t="s">
        <v>175</v>
      </c>
      <c r="AM62" t="s">
        <v>674</v>
      </c>
      <c r="AN62" t="s">
        <v>101</v>
      </c>
      <c r="AO62" t="s">
        <v>674</v>
      </c>
      <c r="AP62" t="s">
        <v>674</v>
      </c>
      <c r="AQ62" t="s">
        <v>674</v>
      </c>
      <c r="AR62" t="s">
        <v>674</v>
      </c>
      <c r="AS62" t="s">
        <v>674</v>
      </c>
      <c r="AT62" t="s">
        <v>674</v>
      </c>
      <c r="AU62" t="s">
        <v>674</v>
      </c>
      <c r="AV62" t="s">
        <v>674</v>
      </c>
      <c r="AW62" t="s">
        <v>674</v>
      </c>
      <c r="AX62" t="s">
        <v>674</v>
      </c>
      <c r="AY62" t="s">
        <v>674</v>
      </c>
      <c r="AZ62" t="s">
        <v>674</v>
      </c>
      <c r="BA62" t="s">
        <v>674</v>
      </c>
      <c r="BB62" t="s">
        <v>674</v>
      </c>
      <c r="BC62" t="s">
        <v>674</v>
      </c>
      <c r="BD62" t="s">
        <v>674</v>
      </c>
      <c r="BE62" t="s">
        <v>674</v>
      </c>
      <c r="BF62" t="s">
        <v>674</v>
      </c>
      <c r="BG62" t="s">
        <v>674</v>
      </c>
      <c r="BH62" t="s">
        <v>674</v>
      </c>
      <c r="BI62" t="s">
        <v>674</v>
      </c>
      <c r="BJ62" t="s">
        <v>674</v>
      </c>
      <c r="BK62" t="s">
        <v>674</v>
      </c>
      <c r="BL62" t="s">
        <v>674</v>
      </c>
      <c r="BM62" t="s">
        <v>674</v>
      </c>
      <c r="BN62" t="s">
        <v>674</v>
      </c>
      <c r="BO62" t="s">
        <v>674</v>
      </c>
      <c r="BP62" t="s">
        <v>674</v>
      </c>
      <c r="BQ62" t="s">
        <v>674</v>
      </c>
      <c r="BR62" t="s">
        <v>674</v>
      </c>
      <c r="BS62" t="s">
        <v>674</v>
      </c>
      <c r="BT62" t="s">
        <v>176</v>
      </c>
      <c r="BU62" t="s">
        <v>674</v>
      </c>
      <c r="BV62" t="s">
        <v>674</v>
      </c>
      <c r="BW62" t="s">
        <v>674</v>
      </c>
      <c r="BX62" t="s">
        <v>674</v>
      </c>
      <c r="BY62" t="s">
        <v>674</v>
      </c>
      <c r="BZ62" t="s">
        <v>674</v>
      </c>
      <c r="CA62" t="s">
        <v>674</v>
      </c>
      <c r="CB62" t="s">
        <v>674</v>
      </c>
      <c r="CC62" t="s">
        <v>674</v>
      </c>
      <c r="CD62" t="s">
        <v>674</v>
      </c>
      <c r="CE62" t="s">
        <v>674</v>
      </c>
      <c r="CF62" t="s">
        <v>674</v>
      </c>
      <c r="CG62" t="s">
        <v>674</v>
      </c>
      <c r="CH62" t="s">
        <v>674</v>
      </c>
      <c r="CI62" t="s">
        <v>674</v>
      </c>
    </row>
    <row r="63" spans="1:87" x14ac:dyDescent="0.25">
      <c r="A63" t="s">
        <v>138</v>
      </c>
      <c r="B63" t="s">
        <v>126</v>
      </c>
      <c r="C63">
        <v>2019</v>
      </c>
      <c r="D63" t="s">
        <v>139</v>
      </c>
      <c r="E63" t="s">
        <v>140</v>
      </c>
      <c r="F63" t="s">
        <v>141</v>
      </c>
      <c r="G63" t="s">
        <v>142</v>
      </c>
      <c r="H63" t="s">
        <v>674</v>
      </c>
      <c r="I63" t="s">
        <v>143</v>
      </c>
      <c r="J63" t="s">
        <v>144</v>
      </c>
      <c r="K63" t="s">
        <v>674</v>
      </c>
      <c r="L63" t="s">
        <v>145</v>
      </c>
      <c r="M63" s="1">
        <v>46257.901597222219</v>
      </c>
      <c r="N63" s="1">
        <v>46257.928437499999</v>
      </c>
      <c r="O63" s="1">
        <v>46257.901597222219</v>
      </c>
      <c r="P63" t="s">
        <v>677</v>
      </c>
      <c r="Q63" t="s">
        <v>674</v>
      </c>
      <c r="T63" t="s">
        <v>674</v>
      </c>
      <c r="U63" t="s">
        <v>674</v>
      </c>
      <c r="V63" t="s">
        <v>674</v>
      </c>
      <c r="W63" t="s">
        <v>674</v>
      </c>
      <c r="X63" t="s">
        <v>674</v>
      </c>
      <c r="Y63" t="s">
        <v>674</v>
      </c>
      <c r="Z63" t="s">
        <v>674</v>
      </c>
      <c r="AA63" t="s">
        <v>133</v>
      </c>
      <c r="AB63" t="s">
        <v>146</v>
      </c>
      <c r="AC63" t="s">
        <v>674</v>
      </c>
      <c r="AD63" t="s">
        <v>122</v>
      </c>
      <c r="AE63" t="s">
        <v>674</v>
      </c>
      <c r="AF63" t="s">
        <v>674</v>
      </c>
      <c r="AG63" t="s">
        <v>674</v>
      </c>
      <c r="AH63" t="s">
        <v>99</v>
      </c>
      <c r="AJ63" t="s">
        <v>674</v>
      </c>
      <c r="AK63" t="s">
        <v>674</v>
      </c>
      <c r="AL63" t="s">
        <v>147</v>
      </c>
      <c r="AM63" t="s">
        <v>674</v>
      </c>
      <c r="AN63" t="s">
        <v>148</v>
      </c>
      <c r="AO63" t="s">
        <v>674</v>
      </c>
      <c r="AP63" t="s">
        <v>674</v>
      </c>
      <c r="AQ63" t="s">
        <v>674</v>
      </c>
      <c r="AR63" t="s">
        <v>674</v>
      </c>
      <c r="AS63" t="s">
        <v>674</v>
      </c>
      <c r="AT63" t="s">
        <v>674</v>
      </c>
      <c r="AU63" t="s">
        <v>674</v>
      </c>
      <c r="AV63" t="s">
        <v>674</v>
      </c>
      <c r="AW63" t="s">
        <v>674</v>
      </c>
      <c r="AX63" t="s">
        <v>674</v>
      </c>
      <c r="AY63" t="s">
        <v>674</v>
      </c>
      <c r="AZ63" t="s">
        <v>674</v>
      </c>
      <c r="BA63" t="s">
        <v>674</v>
      </c>
      <c r="BB63" t="s">
        <v>674</v>
      </c>
      <c r="BC63" t="s">
        <v>674</v>
      </c>
      <c r="BD63" t="s">
        <v>674</v>
      </c>
      <c r="BE63" t="s">
        <v>674</v>
      </c>
      <c r="BF63" t="s">
        <v>674</v>
      </c>
      <c r="BG63" t="s">
        <v>674</v>
      </c>
      <c r="BH63" t="s">
        <v>674</v>
      </c>
      <c r="BI63" t="s">
        <v>674</v>
      </c>
      <c r="BJ63" t="s">
        <v>674</v>
      </c>
      <c r="BK63" t="s">
        <v>674</v>
      </c>
      <c r="BL63" t="s">
        <v>674</v>
      </c>
      <c r="BM63" t="s">
        <v>674</v>
      </c>
      <c r="BN63" t="s">
        <v>674</v>
      </c>
      <c r="BO63" t="s">
        <v>674</v>
      </c>
      <c r="BP63" t="s">
        <v>674</v>
      </c>
      <c r="BQ63" t="s">
        <v>674</v>
      </c>
      <c r="BR63" t="s">
        <v>674</v>
      </c>
      <c r="BS63" t="s">
        <v>674</v>
      </c>
      <c r="BT63" t="s">
        <v>141</v>
      </c>
      <c r="BU63" t="s">
        <v>674</v>
      </c>
      <c r="BV63" t="s">
        <v>674</v>
      </c>
      <c r="BW63" t="s">
        <v>674</v>
      </c>
      <c r="BX63" t="s">
        <v>674</v>
      </c>
      <c r="BY63" t="s">
        <v>674</v>
      </c>
      <c r="BZ63" t="s">
        <v>674</v>
      </c>
      <c r="CA63" t="s">
        <v>674</v>
      </c>
      <c r="CB63" t="s">
        <v>674</v>
      </c>
      <c r="CC63" t="s">
        <v>674</v>
      </c>
      <c r="CD63" t="s">
        <v>674</v>
      </c>
      <c r="CE63" t="s">
        <v>674</v>
      </c>
      <c r="CF63" t="s">
        <v>674</v>
      </c>
      <c r="CG63" t="s">
        <v>674</v>
      </c>
      <c r="CH63" t="s">
        <v>674</v>
      </c>
      <c r="CI63" t="s">
        <v>674</v>
      </c>
    </row>
    <row r="64" spans="1:87" x14ac:dyDescent="0.25">
      <c r="A64" t="s">
        <v>209</v>
      </c>
      <c r="B64" t="s">
        <v>88</v>
      </c>
      <c r="D64" t="s">
        <v>210</v>
      </c>
      <c r="E64" t="s">
        <v>211</v>
      </c>
      <c r="F64" t="s">
        <v>674</v>
      </c>
      <c r="G64" t="s">
        <v>674</v>
      </c>
      <c r="H64" t="s">
        <v>674</v>
      </c>
      <c r="I64" t="s">
        <v>674</v>
      </c>
      <c r="J64" t="s">
        <v>674</v>
      </c>
      <c r="K64" t="s">
        <v>674</v>
      </c>
      <c r="L64" t="s">
        <v>674</v>
      </c>
      <c r="M64" s="1">
        <v>46257.902037037034</v>
      </c>
      <c r="N64" s="1">
        <v>46257.925740740742</v>
      </c>
      <c r="O64" s="1"/>
      <c r="P64" t="s">
        <v>674</v>
      </c>
      <c r="Q64" t="s">
        <v>674</v>
      </c>
      <c r="T64" t="s">
        <v>674</v>
      </c>
      <c r="U64" t="s">
        <v>674</v>
      </c>
      <c r="V64" t="s">
        <v>674</v>
      </c>
      <c r="W64" t="s">
        <v>674</v>
      </c>
      <c r="X64" t="s">
        <v>674</v>
      </c>
      <c r="Y64" t="s">
        <v>674</v>
      </c>
      <c r="Z64" t="s">
        <v>674</v>
      </c>
      <c r="AA64" t="s">
        <v>674</v>
      </c>
      <c r="AB64" t="s">
        <v>674</v>
      </c>
      <c r="AC64" t="s">
        <v>97</v>
      </c>
      <c r="AD64" t="s">
        <v>674</v>
      </c>
      <c r="AE64" t="s">
        <v>674</v>
      </c>
      <c r="AF64" t="s">
        <v>674</v>
      </c>
      <c r="AG64" t="s">
        <v>674</v>
      </c>
      <c r="AH64" t="s">
        <v>163</v>
      </c>
      <c r="AJ64" t="s">
        <v>674</v>
      </c>
      <c r="AK64" t="s">
        <v>674</v>
      </c>
      <c r="AL64" t="s">
        <v>212</v>
      </c>
      <c r="AM64" t="s">
        <v>674</v>
      </c>
      <c r="AN64" t="s">
        <v>213</v>
      </c>
      <c r="AO64" t="s">
        <v>674</v>
      </c>
      <c r="AP64" t="s">
        <v>674</v>
      </c>
      <c r="AQ64" t="s">
        <v>674</v>
      </c>
      <c r="AR64" t="s">
        <v>674</v>
      </c>
      <c r="AS64" t="s">
        <v>674</v>
      </c>
      <c r="AT64" t="s">
        <v>674</v>
      </c>
      <c r="AU64" t="s">
        <v>674</v>
      </c>
      <c r="AV64" t="s">
        <v>674</v>
      </c>
      <c r="AW64" t="s">
        <v>674</v>
      </c>
      <c r="AX64" t="s">
        <v>674</v>
      </c>
      <c r="AY64" t="s">
        <v>674</v>
      </c>
      <c r="AZ64" t="s">
        <v>674</v>
      </c>
      <c r="BA64" t="s">
        <v>674</v>
      </c>
      <c r="BB64" t="s">
        <v>674</v>
      </c>
      <c r="BC64" t="s">
        <v>674</v>
      </c>
      <c r="BD64" t="s">
        <v>674</v>
      </c>
      <c r="BE64" t="s">
        <v>674</v>
      </c>
      <c r="BF64" t="s">
        <v>674</v>
      </c>
      <c r="BG64" t="s">
        <v>674</v>
      </c>
      <c r="BH64" t="s">
        <v>674</v>
      </c>
      <c r="BI64" t="s">
        <v>674</v>
      </c>
      <c r="BJ64" t="s">
        <v>674</v>
      </c>
      <c r="BK64" t="s">
        <v>674</v>
      </c>
      <c r="BL64" t="s">
        <v>674</v>
      </c>
      <c r="BM64" t="s">
        <v>674</v>
      </c>
      <c r="BN64" t="s">
        <v>674</v>
      </c>
      <c r="BO64" t="s">
        <v>674</v>
      </c>
      <c r="BP64" t="s">
        <v>674</v>
      </c>
      <c r="BQ64" t="s">
        <v>674</v>
      </c>
      <c r="BR64" t="s">
        <v>674</v>
      </c>
      <c r="BS64" t="s">
        <v>674</v>
      </c>
      <c r="BT64" t="s">
        <v>674</v>
      </c>
      <c r="BU64" t="s">
        <v>674</v>
      </c>
      <c r="BV64" t="s">
        <v>674</v>
      </c>
      <c r="BW64" t="s">
        <v>674</v>
      </c>
      <c r="BX64" t="s">
        <v>674</v>
      </c>
      <c r="BY64" t="s">
        <v>674</v>
      </c>
      <c r="BZ64" t="s">
        <v>674</v>
      </c>
      <c r="CA64" t="s">
        <v>674</v>
      </c>
      <c r="CB64" t="s">
        <v>674</v>
      </c>
      <c r="CC64" t="s">
        <v>674</v>
      </c>
      <c r="CD64" t="s">
        <v>674</v>
      </c>
      <c r="CE64" t="s">
        <v>674</v>
      </c>
      <c r="CF64" t="s">
        <v>674</v>
      </c>
      <c r="CG64" t="s">
        <v>674</v>
      </c>
      <c r="CH64" t="s">
        <v>674</v>
      </c>
      <c r="CI64" t="s">
        <v>674</v>
      </c>
    </row>
    <row r="65" spans="1:87" x14ac:dyDescent="0.25">
      <c r="A65" t="s">
        <v>160</v>
      </c>
      <c r="B65" t="s">
        <v>88</v>
      </c>
      <c r="D65" t="s">
        <v>161</v>
      </c>
      <c r="E65" t="s">
        <v>162</v>
      </c>
      <c r="F65" t="s">
        <v>674</v>
      </c>
      <c r="G65" t="s">
        <v>674</v>
      </c>
      <c r="H65" t="s">
        <v>674</v>
      </c>
      <c r="I65" t="s">
        <v>674</v>
      </c>
      <c r="J65" t="s">
        <v>674</v>
      </c>
      <c r="K65" t="s">
        <v>674</v>
      </c>
      <c r="L65" t="s">
        <v>674</v>
      </c>
      <c r="M65" s="1">
        <v>46257.901736111111</v>
      </c>
      <c r="N65" s="1">
        <v>46257.925219907411</v>
      </c>
      <c r="O65" s="1"/>
      <c r="P65" t="s">
        <v>674</v>
      </c>
      <c r="Q65" t="s">
        <v>674</v>
      </c>
      <c r="T65" t="s">
        <v>674</v>
      </c>
      <c r="U65" t="s">
        <v>674</v>
      </c>
      <c r="V65" t="s">
        <v>674</v>
      </c>
      <c r="W65" t="s">
        <v>674</v>
      </c>
      <c r="X65" t="s">
        <v>674</v>
      </c>
      <c r="Y65" t="s">
        <v>674</v>
      </c>
      <c r="Z65" t="s">
        <v>674</v>
      </c>
      <c r="AA65" t="s">
        <v>674</v>
      </c>
      <c r="AB65" t="s">
        <v>674</v>
      </c>
      <c r="AC65" t="s">
        <v>97</v>
      </c>
      <c r="AD65" t="s">
        <v>674</v>
      </c>
      <c r="AE65" t="s">
        <v>674</v>
      </c>
      <c r="AF65" t="s">
        <v>674</v>
      </c>
      <c r="AG65" t="s">
        <v>674</v>
      </c>
      <c r="AH65" t="s">
        <v>163</v>
      </c>
      <c r="AJ65" t="s">
        <v>674</v>
      </c>
      <c r="AK65" t="s">
        <v>674</v>
      </c>
      <c r="AL65" t="s">
        <v>164</v>
      </c>
      <c r="AM65" t="s">
        <v>674</v>
      </c>
      <c r="AN65" t="s">
        <v>101</v>
      </c>
      <c r="AO65" t="s">
        <v>674</v>
      </c>
      <c r="AP65" t="s">
        <v>674</v>
      </c>
      <c r="AQ65" t="s">
        <v>674</v>
      </c>
      <c r="AR65" t="s">
        <v>674</v>
      </c>
      <c r="AS65" t="s">
        <v>674</v>
      </c>
      <c r="AT65" t="s">
        <v>674</v>
      </c>
      <c r="AU65" t="s">
        <v>674</v>
      </c>
      <c r="AV65" t="s">
        <v>674</v>
      </c>
      <c r="AW65" t="s">
        <v>674</v>
      </c>
      <c r="AX65" t="s">
        <v>674</v>
      </c>
      <c r="AY65" t="s">
        <v>674</v>
      </c>
      <c r="AZ65" t="s">
        <v>674</v>
      </c>
      <c r="BA65" t="s">
        <v>674</v>
      </c>
      <c r="BB65" t="s">
        <v>674</v>
      </c>
      <c r="BC65" t="s">
        <v>674</v>
      </c>
      <c r="BD65" t="s">
        <v>674</v>
      </c>
      <c r="BE65" t="s">
        <v>674</v>
      </c>
      <c r="BF65" t="s">
        <v>674</v>
      </c>
      <c r="BG65" t="s">
        <v>674</v>
      </c>
      <c r="BH65" t="s">
        <v>674</v>
      </c>
      <c r="BI65" t="s">
        <v>674</v>
      </c>
      <c r="BJ65" t="s">
        <v>674</v>
      </c>
      <c r="BK65" t="s">
        <v>674</v>
      </c>
      <c r="BL65" t="s">
        <v>674</v>
      </c>
      <c r="BM65" t="s">
        <v>674</v>
      </c>
      <c r="BN65" t="s">
        <v>674</v>
      </c>
      <c r="BO65" t="s">
        <v>674</v>
      </c>
      <c r="BP65" t="s">
        <v>674</v>
      </c>
      <c r="BQ65" t="s">
        <v>674</v>
      </c>
      <c r="BR65" t="s">
        <v>674</v>
      </c>
      <c r="BS65" t="s">
        <v>674</v>
      </c>
      <c r="BT65" t="s">
        <v>674</v>
      </c>
      <c r="BU65" t="s">
        <v>674</v>
      </c>
      <c r="BV65" t="s">
        <v>674</v>
      </c>
      <c r="BW65" t="s">
        <v>674</v>
      </c>
      <c r="BX65" t="s">
        <v>674</v>
      </c>
      <c r="BY65" t="s">
        <v>674</v>
      </c>
      <c r="BZ65" t="s">
        <v>674</v>
      </c>
      <c r="CA65" t="s">
        <v>674</v>
      </c>
      <c r="CB65" t="s">
        <v>674</v>
      </c>
      <c r="CC65" t="s">
        <v>674</v>
      </c>
      <c r="CD65" t="s">
        <v>674</v>
      </c>
      <c r="CE65" t="s">
        <v>674</v>
      </c>
      <c r="CF65" t="s">
        <v>674</v>
      </c>
      <c r="CG65" t="s">
        <v>674</v>
      </c>
      <c r="CH65" t="s">
        <v>674</v>
      </c>
      <c r="CI65" t="s">
        <v>674</v>
      </c>
    </row>
    <row r="66" spans="1:87" x14ac:dyDescent="0.25">
      <c r="A66" t="s">
        <v>198</v>
      </c>
      <c r="B66" t="s">
        <v>126</v>
      </c>
      <c r="C66">
        <v>2024</v>
      </c>
      <c r="D66" t="s">
        <v>199</v>
      </c>
      <c r="E66" t="s">
        <v>200</v>
      </c>
      <c r="F66" t="s">
        <v>201</v>
      </c>
      <c r="G66" t="s">
        <v>202</v>
      </c>
      <c r="H66" t="s">
        <v>674</v>
      </c>
      <c r="I66" t="s">
        <v>203</v>
      </c>
      <c r="J66" t="s">
        <v>204</v>
      </c>
      <c r="K66" t="s">
        <v>674</v>
      </c>
      <c r="L66" t="s">
        <v>680</v>
      </c>
      <c r="M66" s="1">
        <v>46257.901932870373</v>
      </c>
      <c r="N66" s="1">
        <v>46257.924803240741</v>
      </c>
      <c r="O66" s="1">
        <v>46257.901932870373</v>
      </c>
      <c r="P66" t="s">
        <v>205</v>
      </c>
      <c r="Q66" t="s">
        <v>674</v>
      </c>
      <c r="T66" t="s">
        <v>674</v>
      </c>
      <c r="U66" t="s">
        <v>674</v>
      </c>
      <c r="V66" t="s">
        <v>674</v>
      </c>
      <c r="W66" t="s">
        <v>674</v>
      </c>
      <c r="X66" t="s">
        <v>674</v>
      </c>
      <c r="Y66" t="s">
        <v>674</v>
      </c>
      <c r="Z66" t="s">
        <v>674</v>
      </c>
      <c r="AA66" t="s">
        <v>133</v>
      </c>
      <c r="AB66" t="s">
        <v>206</v>
      </c>
      <c r="AC66" t="s">
        <v>674</v>
      </c>
      <c r="AD66" t="s">
        <v>135</v>
      </c>
      <c r="AE66" t="s">
        <v>674</v>
      </c>
      <c r="AF66" t="s">
        <v>674</v>
      </c>
      <c r="AG66" t="s">
        <v>674</v>
      </c>
      <c r="AH66" t="s">
        <v>99</v>
      </c>
      <c r="AJ66" t="s">
        <v>674</v>
      </c>
      <c r="AK66" t="s">
        <v>674</v>
      </c>
      <c r="AL66" t="s">
        <v>207</v>
      </c>
      <c r="AM66" t="s">
        <v>674</v>
      </c>
      <c r="AN66" t="s">
        <v>208</v>
      </c>
      <c r="AO66" t="s">
        <v>674</v>
      </c>
      <c r="AP66" t="s">
        <v>674</v>
      </c>
      <c r="AQ66" t="s">
        <v>674</v>
      </c>
      <c r="AR66" t="s">
        <v>674</v>
      </c>
      <c r="AS66" t="s">
        <v>674</v>
      </c>
      <c r="AT66" t="s">
        <v>674</v>
      </c>
      <c r="AU66" t="s">
        <v>674</v>
      </c>
      <c r="AV66" t="s">
        <v>674</v>
      </c>
      <c r="AW66" t="s">
        <v>674</v>
      </c>
      <c r="AX66" t="s">
        <v>674</v>
      </c>
      <c r="AY66" t="s">
        <v>674</v>
      </c>
      <c r="AZ66" t="s">
        <v>674</v>
      </c>
      <c r="BA66" t="s">
        <v>674</v>
      </c>
      <c r="BB66" t="s">
        <v>674</v>
      </c>
      <c r="BC66" t="s">
        <v>674</v>
      </c>
      <c r="BD66" t="s">
        <v>674</v>
      </c>
      <c r="BE66" t="s">
        <v>674</v>
      </c>
      <c r="BF66" t="s">
        <v>674</v>
      </c>
      <c r="BG66" t="s">
        <v>674</v>
      </c>
      <c r="BH66" t="s">
        <v>674</v>
      </c>
      <c r="BI66" t="s">
        <v>674</v>
      </c>
      <c r="BJ66" t="s">
        <v>674</v>
      </c>
      <c r="BK66" t="s">
        <v>674</v>
      </c>
      <c r="BL66" t="s">
        <v>674</v>
      </c>
      <c r="BM66" t="s">
        <v>674</v>
      </c>
      <c r="BN66" t="s">
        <v>674</v>
      </c>
      <c r="BO66" t="s">
        <v>674</v>
      </c>
      <c r="BP66" t="s">
        <v>674</v>
      </c>
      <c r="BQ66" t="s">
        <v>674</v>
      </c>
      <c r="BR66" t="s">
        <v>674</v>
      </c>
      <c r="BS66" t="s">
        <v>674</v>
      </c>
      <c r="BT66" t="s">
        <v>201</v>
      </c>
      <c r="BU66" t="s">
        <v>674</v>
      </c>
      <c r="BV66" t="s">
        <v>674</v>
      </c>
      <c r="BW66" t="s">
        <v>674</v>
      </c>
      <c r="BX66" t="s">
        <v>674</v>
      </c>
      <c r="BY66" t="s">
        <v>674</v>
      </c>
      <c r="BZ66" t="s">
        <v>674</v>
      </c>
      <c r="CA66" t="s">
        <v>674</v>
      </c>
      <c r="CB66" t="s">
        <v>674</v>
      </c>
      <c r="CC66" t="s">
        <v>674</v>
      </c>
      <c r="CD66" t="s">
        <v>674</v>
      </c>
      <c r="CE66" t="s">
        <v>674</v>
      </c>
      <c r="CF66" t="s">
        <v>674</v>
      </c>
      <c r="CG66" t="s">
        <v>674</v>
      </c>
      <c r="CH66" t="s">
        <v>674</v>
      </c>
      <c r="CI66" t="s">
        <v>674</v>
      </c>
    </row>
    <row r="67" spans="1:87" x14ac:dyDescent="0.25">
      <c r="A67" t="s">
        <v>189</v>
      </c>
      <c r="B67" t="s">
        <v>88</v>
      </c>
      <c r="C67">
        <v>2020</v>
      </c>
      <c r="D67" t="s">
        <v>190</v>
      </c>
      <c r="E67" t="s">
        <v>191</v>
      </c>
      <c r="F67" t="s">
        <v>115</v>
      </c>
      <c r="G67" t="s">
        <v>674</v>
      </c>
      <c r="H67" t="s">
        <v>116</v>
      </c>
      <c r="I67" t="s">
        <v>192</v>
      </c>
      <c r="J67" t="s">
        <v>193</v>
      </c>
      <c r="K67" t="s">
        <v>674</v>
      </c>
      <c r="L67" t="s">
        <v>194</v>
      </c>
      <c r="M67" s="1">
        <v>46257.901886574073</v>
      </c>
      <c r="N67" s="1">
        <v>46257.924050925925</v>
      </c>
      <c r="O67" s="1">
        <v>46257.901886574073</v>
      </c>
      <c r="P67" t="s">
        <v>195</v>
      </c>
      <c r="Q67" t="s">
        <v>674</v>
      </c>
      <c r="R67">
        <v>7</v>
      </c>
      <c r="S67">
        <v>67</v>
      </c>
      <c r="T67" t="s">
        <v>674</v>
      </c>
      <c r="U67" t="s">
        <v>121</v>
      </c>
      <c r="V67" t="s">
        <v>674</v>
      </c>
      <c r="W67" t="s">
        <v>674</v>
      </c>
      <c r="X67" t="s">
        <v>674</v>
      </c>
      <c r="Y67" t="s">
        <v>674</v>
      </c>
      <c r="Z67" t="s">
        <v>674</v>
      </c>
      <c r="AA67" t="s">
        <v>674</v>
      </c>
      <c r="AB67" t="s">
        <v>674</v>
      </c>
      <c r="AC67" t="s">
        <v>674</v>
      </c>
      <c r="AD67" t="s">
        <v>122</v>
      </c>
      <c r="AE67" t="s">
        <v>674</v>
      </c>
      <c r="AF67" t="s">
        <v>674</v>
      </c>
      <c r="AG67" t="s">
        <v>674</v>
      </c>
      <c r="AH67" t="s">
        <v>99</v>
      </c>
      <c r="AJ67" t="s">
        <v>674</v>
      </c>
      <c r="AK67" t="s">
        <v>674</v>
      </c>
      <c r="AL67" t="s">
        <v>196</v>
      </c>
      <c r="AM67" t="s">
        <v>674</v>
      </c>
      <c r="AN67" t="s">
        <v>197</v>
      </c>
      <c r="AO67" t="s">
        <v>674</v>
      </c>
      <c r="AP67" t="s">
        <v>674</v>
      </c>
      <c r="AQ67" t="s">
        <v>674</v>
      </c>
      <c r="AR67" t="s">
        <v>674</v>
      </c>
      <c r="AS67" t="s">
        <v>674</v>
      </c>
      <c r="AT67" t="s">
        <v>674</v>
      </c>
      <c r="AU67" t="s">
        <v>674</v>
      </c>
      <c r="AV67" t="s">
        <v>674</v>
      </c>
      <c r="AW67" t="s">
        <v>674</v>
      </c>
      <c r="AX67" t="s">
        <v>674</v>
      </c>
      <c r="AY67" t="s">
        <v>674</v>
      </c>
      <c r="AZ67" t="s">
        <v>674</v>
      </c>
      <c r="BA67" t="s">
        <v>674</v>
      </c>
      <c r="BB67" t="s">
        <v>674</v>
      </c>
      <c r="BC67" t="s">
        <v>674</v>
      </c>
      <c r="BD67" t="s">
        <v>674</v>
      </c>
      <c r="BE67" t="s">
        <v>674</v>
      </c>
      <c r="BF67" t="s">
        <v>674</v>
      </c>
      <c r="BG67" t="s">
        <v>674</v>
      </c>
      <c r="BH67" t="s">
        <v>674</v>
      </c>
      <c r="BI67" t="s">
        <v>674</v>
      </c>
      <c r="BJ67" t="s">
        <v>674</v>
      </c>
      <c r="BK67" t="s">
        <v>674</v>
      </c>
      <c r="BL67" t="s">
        <v>674</v>
      </c>
      <c r="BM67" t="s">
        <v>674</v>
      </c>
      <c r="BN67" t="s">
        <v>674</v>
      </c>
      <c r="BO67" t="s">
        <v>674</v>
      </c>
      <c r="BP67" t="s">
        <v>674</v>
      </c>
      <c r="BQ67" t="s">
        <v>674</v>
      </c>
      <c r="BR67" t="s">
        <v>674</v>
      </c>
      <c r="BS67" t="s">
        <v>674</v>
      </c>
      <c r="BT67" t="s">
        <v>674</v>
      </c>
      <c r="BU67" t="s">
        <v>674</v>
      </c>
      <c r="BV67" t="s">
        <v>674</v>
      </c>
      <c r="BW67" t="s">
        <v>674</v>
      </c>
      <c r="BX67" t="s">
        <v>674</v>
      </c>
      <c r="BY67" t="s">
        <v>674</v>
      </c>
      <c r="BZ67" t="s">
        <v>674</v>
      </c>
      <c r="CA67" t="s">
        <v>674</v>
      </c>
      <c r="CB67" t="s">
        <v>674</v>
      </c>
      <c r="CC67" t="s">
        <v>674</v>
      </c>
      <c r="CD67" t="s">
        <v>674</v>
      </c>
      <c r="CE67" t="s">
        <v>674</v>
      </c>
      <c r="CF67" t="s">
        <v>674</v>
      </c>
      <c r="CG67" t="s">
        <v>674</v>
      </c>
      <c r="CH67" t="s">
        <v>674</v>
      </c>
      <c r="CI67" t="s">
        <v>674</v>
      </c>
    </row>
    <row r="68" spans="1:87" x14ac:dyDescent="0.25">
      <c r="A68" t="s">
        <v>177</v>
      </c>
      <c r="B68" t="s">
        <v>88</v>
      </c>
      <c r="C68">
        <v>2022</v>
      </c>
      <c r="D68" t="s">
        <v>178</v>
      </c>
      <c r="E68" t="s">
        <v>179</v>
      </c>
      <c r="F68" t="s">
        <v>180</v>
      </c>
      <c r="G68" t="s">
        <v>674</v>
      </c>
      <c r="H68" t="s">
        <v>181</v>
      </c>
      <c r="I68" t="s">
        <v>182</v>
      </c>
      <c r="J68" t="s">
        <v>183</v>
      </c>
      <c r="K68" t="s">
        <v>184</v>
      </c>
      <c r="L68" t="s">
        <v>678</v>
      </c>
      <c r="M68" s="1">
        <v>46257.90185185185</v>
      </c>
      <c r="N68" s="1">
        <v>46257.923020833332</v>
      </c>
      <c r="O68" s="1">
        <v>46257.90185185185</v>
      </c>
      <c r="P68" t="s">
        <v>679</v>
      </c>
      <c r="Q68" t="s">
        <v>674</v>
      </c>
      <c r="S68">
        <v>2022</v>
      </c>
      <c r="T68" t="s">
        <v>674</v>
      </c>
      <c r="U68" t="s">
        <v>180</v>
      </c>
      <c r="V68" t="s">
        <v>674</v>
      </c>
      <c r="W68" t="s">
        <v>674</v>
      </c>
      <c r="X68" t="s">
        <v>674</v>
      </c>
      <c r="Y68" t="s">
        <v>674</v>
      </c>
      <c r="Z68" t="s">
        <v>674</v>
      </c>
      <c r="AA68" t="s">
        <v>674</v>
      </c>
      <c r="AB68" t="s">
        <v>674</v>
      </c>
      <c r="AC68" t="s">
        <v>97</v>
      </c>
      <c r="AD68" t="s">
        <v>185</v>
      </c>
      <c r="AE68" t="s">
        <v>674</v>
      </c>
      <c r="AF68" t="s">
        <v>674</v>
      </c>
      <c r="AG68" t="s">
        <v>674</v>
      </c>
      <c r="AH68" t="s">
        <v>99</v>
      </c>
      <c r="AJ68" t="s">
        <v>674</v>
      </c>
      <c r="AK68" t="s">
        <v>674</v>
      </c>
      <c r="AL68" t="s">
        <v>186</v>
      </c>
      <c r="AM68" t="s">
        <v>674</v>
      </c>
      <c r="AN68" t="s">
        <v>187</v>
      </c>
      <c r="AO68" t="s">
        <v>674</v>
      </c>
      <c r="AP68" t="s">
        <v>188</v>
      </c>
      <c r="AQ68" t="s">
        <v>674</v>
      </c>
      <c r="AR68" t="s">
        <v>674</v>
      </c>
      <c r="AS68" t="s">
        <v>674</v>
      </c>
      <c r="AT68" t="s">
        <v>674</v>
      </c>
      <c r="AU68" t="s">
        <v>674</v>
      </c>
      <c r="AV68" t="s">
        <v>674</v>
      </c>
      <c r="AW68" t="s">
        <v>674</v>
      </c>
      <c r="AX68" t="s">
        <v>674</v>
      </c>
      <c r="AY68" t="s">
        <v>674</v>
      </c>
      <c r="AZ68" t="s">
        <v>674</v>
      </c>
      <c r="BA68" t="s">
        <v>674</v>
      </c>
      <c r="BB68" t="s">
        <v>674</v>
      </c>
      <c r="BC68" t="s">
        <v>674</v>
      </c>
      <c r="BD68" t="s">
        <v>674</v>
      </c>
      <c r="BE68" t="s">
        <v>674</v>
      </c>
      <c r="BF68" t="s">
        <v>674</v>
      </c>
      <c r="BG68" t="s">
        <v>674</v>
      </c>
      <c r="BH68" t="s">
        <v>674</v>
      </c>
      <c r="BI68" t="s">
        <v>674</v>
      </c>
      <c r="BJ68" t="s">
        <v>674</v>
      </c>
      <c r="BK68" t="s">
        <v>674</v>
      </c>
      <c r="BL68" t="s">
        <v>674</v>
      </c>
      <c r="BM68" t="s">
        <v>674</v>
      </c>
      <c r="BN68" t="s">
        <v>674</v>
      </c>
      <c r="BO68" t="s">
        <v>674</v>
      </c>
      <c r="BP68" t="s">
        <v>674</v>
      </c>
      <c r="BQ68" t="s">
        <v>674</v>
      </c>
      <c r="BR68" t="s">
        <v>674</v>
      </c>
      <c r="BS68" t="s">
        <v>674</v>
      </c>
      <c r="BT68" t="s">
        <v>674</v>
      </c>
      <c r="BU68" t="s">
        <v>674</v>
      </c>
      <c r="BV68" t="s">
        <v>674</v>
      </c>
      <c r="BW68" t="s">
        <v>674</v>
      </c>
      <c r="BX68" t="s">
        <v>674</v>
      </c>
      <c r="BY68" t="s">
        <v>674</v>
      </c>
      <c r="BZ68" t="s">
        <v>674</v>
      </c>
      <c r="CA68" t="s">
        <v>674</v>
      </c>
      <c r="CB68" t="s">
        <v>674</v>
      </c>
      <c r="CC68" t="s">
        <v>674</v>
      </c>
      <c r="CD68" t="s">
        <v>674</v>
      </c>
      <c r="CE68" t="s">
        <v>674</v>
      </c>
      <c r="CF68" t="s">
        <v>674</v>
      </c>
      <c r="CG68" t="s">
        <v>674</v>
      </c>
      <c r="CH68" t="s">
        <v>674</v>
      </c>
      <c r="CI68" t="s">
        <v>674</v>
      </c>
    </row>
    <row r="69" spans="1:87" x14ac:dyDescent="0.25">
      <c r="A69" t="s">
        <v>102</v>
      </c>
      <c r="B69" t="s">
        <v>103</v>
      </c>
      <c r="C69">
        <v>2014</v>
      </c>
      <c r="D69" t="s">
        <v>104</v>
      </c>
      <c r="E69" t="s">
        <v>105</v>
      </c>
      <c r="F69" t="s">
        <v>674</v>
      </c>
      <c r="G69" t="s">
        <v>674</v>
      </c>
      <c r="H69" t="s">
        <v>674</v>
      </c>
      <c r="I69" t="s">
        <v>106</v>
      </c>
      <c r="J69" t="s">
        <v>107</v>
      </c>
      <c r="K69" t="s">
        <v>674</v>
      </c>
      <c r="L69" t="s">
        <v>675</v>
      </c>
      <c r="M69" s="1">
        <v>46257.901469907411</v>
      </c>
      <c r="N69" s="1">
        <v>46257.921446759261</v>
      </c>
      <c r="O69" s="1">
        <v>46257.901469907411</v>
      </c>
      <c r="P69" t="s">
        <v>674</v>
      </c>
      <c r="Q69" t="s">
        <v>674</v>
      </c>
      <c r="T69" t="s">
        <v>674</v>
      </c>
      <c r="U69" t="s">
        <v>674</v>
      </c>
      <c r="V69" t="s">
        <v>674</v>
      </c>
      <c r="W69" t="s">
        <v>674</v>
      </c>
      <c r="X69" t="s">
        <v>674</v>
      </c>
      <c r="Y69" t="s">
        <v>674</v>
      </c>
      <c r="Z69" t="s">
        <v>674</v>
      </c>
      <c r="AA69" t="s">
        <v>108</v>
      </c>
      <c r="AB69" t="s">
        <v>674</v>
      </c>
      <c r="AC69" t="s">
        <v>674</v>
      </c>
      <c r="AD69" t="s">
        <v>674</v>
      </c>
      <c r="AE69" t="s">
        <v>109</v>
      </c>
      <c r="AF69" t="s">
        <v>674</v>
      </c>
      <c r="AG69" t="s">
        <v>674</v>
      </c>
      <c r="AH69" t="s">
        <v>99</v>
      </c>
      <c r="AJ69" t="s">
        <v>674</v>
      </c>
      <c r="AK69" t="s">
        <v>674</v>
      </c>
      <c r="AL69" t="s">
        <v>110</v>
      </c>
      <c r="AM69" t="s">
        <v>674</v>
      </c>
      <c r="AN69" t="s">
        <v>111</v>
      </c>
      <c r="AO69" t="s">
        <v>674</v>
      </c>
      <c r="AP69" t="s">
        <v>674</v>
      </c>
      <c r="AQ69" t="s">
        <v>674</v>
      </c>
      <c r="AR69" t="s">
        <v>674</v>
      </c>
      <c r="AS69" t="s">
        <v>674</v>
      </c>
      <c r="AT69" t="s">
        <v>674</v>
      </c>
      <c r="AU69" t="s">
        <v>674</v>
      </c>
      <c r="AV69" t="s">
        <v>674</v>
      </c>
      <c r="AW69" t="s">
        <v>674</v>
      </c>
      <c r="AX69" t="s">
        <v>674</v>
      </c>
      <c r="AY69" t="s">
        <v>674</v>
      </c>
      <c r="AZ69" t="s">
        <v>674</v>
      </c>
      <c r="BA69" t="s">
        <v>674</v>
      </c>
      <c r="BB69" t="s">
        <v>674</v>
      </c>
      <c r="BC69" t="s">
        <v>674</v>
      </c>
      <c r="BD69" t="s">
        <v>674</v>
      </c>
      <c r="BE69" t="s">
        <v>674</v>
      </c>
      <c r="BF69" t="s">
        <v>674</v>
      </c>
      <c r="BG69" t="s">
        <v>674</v>
      </c>
      <c r="BH69" t="s">
        <v>674</v>
      </c>
      <c r="BI69" t="s">
        <v>674</v>
      </c>
      <c r="BJ69" t="s">
        <v>674</v>
      </c>
      <c r="BK69" t="s">
        <v>674</v>
      </c>
      <c r="BL69" t="s">
        <v>674</v>
      </c>
      <c r="BM69" t="s">
        <v>674</v>
      </c>
      <c r="BN69" t="s">
        <v>674</v>
      </c>
      <c r="BO69" t="s">
        <v>674</v>
      </c>
      <c r="BP69" t="s">
        <v>674</v>
      </c>
      <c r="BQ69" t="s">
        <v>674</v>
      </c>
      <c r="BR69" t="s">
        <v>674</v>
      </c>
      <c r="BS69" t="s">
        <v>674</v>
      </c>
      <c r="BT69" t="s">
        <v>674</v>
      </c>
      <c r="BU69" t="s">
        <v>674</v>
      </c>
      <c r="BV69" t="s">
        <v>674</v>
      </c>
      <c r="BW69" t="s">
        <v>674</v>
      </c>
      <c r="BX69" t="s">
        <v>674</v>
      </c>
      <c r="BY69" t="s">
        <v>674</v>
      </c>
      <c r="BZ69" t="s">
        <v>674</v>
      </c>
      <c r="CA69" t="s">
        <v>674</v>
      </c>
      <c r="CB69" t="s">
        <v>674</v>
      </c>
      <c r="CC69" t="s">
        <v>674</v>
      </c>
      <c r="CD69" t="s">
        <v>674</v>
      </c>
      <c r="CE69" t="s">
        <v>674</v>
      </c>
      <c r="CF69" t="s">
        <v>674</v>
      </c>
      <c r="CG69" t="s">
        <v>674</v>
      </c>
      <c r="CH69" t="s">
        <v>674</v>
      </c>
      <c r="CI69" t="s">
        <v>674</v>
      </c>
    </row>
    <row r="70" spans="1:87" x14ac:dyDescent="0.25">
      <c r="A70" t="s">
        <v>236</v>
      </c>
      <c r="B70" t="s">
        <v>88</v>
      </c>
      <c r="D70" t="s">
        <v>674</v>
      </c>
      <c r="E70" t="s">
        <v>237</v>
      </c>
      <c r="F70" t="s">
        <v>674</v>
      </c>
      <c r="G70" t="s">
        <v>674</v>
      </c>
      <c r="H70" t="s">
        <v>674</v>
      </c>
      <c r="I70" t="s">
        <v>674</v>
      </c>
      <c r="J70" t="s">
        <v>674</v>
      </c>
      <c r="K70" t="s">
        <v>674</v>
      </c>
      <c r="L70" t="s">
        <v>674</v>
      </c>
      <c r="M70" s="1">
        <v>46257.90216435185</v>
      </c>
      <c r="N70" s="1">
        <v>46257.918634259258</v>
      </c>
      <c r="O70" s="1"/>
      <c r="P70" t="s">
        <v>674</v>
      </c>
      <c r="Q70" t="s">
        <v>674</v>
      </c>
      <c r="T70" t="s">
        <v>674</v>
      </c>
      <c r="U70" t="s">
        <v>674</v>
      </c>
      <c r="V70" t="s">
        <v>674</v>
      </c>
      <c r="W70" t="s">
        <v>674</v>
      </c>
      <c r="X70" t="s">
        <v>674</v>
      </c>
      <c r="Y70" t="s">
        <v>674</v>
      </c>
      <c r="Z70" t="s">
        <v>674</v>
      </c>
      <c r="AA70" t="s">
        <v>674</v>
      </c>
      <c r="AB70" t="s">
        <v>674</v>
      </c>
      <c r="AC70" t="s">
        <v>674</v>
      </c>
      <c r="AD70" t="s">
        <v>674</v>
      </c>
      <c r="AE70" t="s">
        <v>674</v>
      </c>
      <c r="AF70" t="s">
        <v>674</v>
      </c>
      <c r="AG70" t="s">
        <v>674</v>
      </c>
      <c r="AH70" t="s">
        <v>163</v>
      </c>
      <c r="AJ70" t="s">
        <v>674</v>
      </c>
      <c r="AK70" t="s">
        <v>674</v>
      </c>
      <c r="AL70" t="s">
        <v>238</v>
      </c>
      <c r="AM70" t="s">
        <v>674</v>
      </c>
      <c r="AN70" t="s">
        <v>101</v>
      </c>
      <c r="AO70" t="s">
        <v>674</v>
      </c>
      <c r="AP70" t="s">
        <v>674</v>
      </c>
      <c r="AQ70" t="s">
        <v>674</v>
      </c>
      <c r="AR70" t="s">
        <v>674</v>
      </c>
      <c r="AS70" t="s">
        <v>674</v>
      </c>
      <c r="AT70" t="s">
        <v>674</v>
      </c>
      <c r="AU70" t="s">
        <v>674</v>
      </c>
      <c r="AV70" t="s">
        <v>674</v>
      </c>
      <c r="AW70" t="s">
        <v>674</v>
      </c>
      <c r="AX70" t="s">
        <v>674</v>
      </c>
      <c r="AY70" t="s">
        <v>674</v>
      </c>
      <c r="AZ70" t="s">
        <v>674</v>
      </c>
      <c r="BA70" t="s">
        <v>674</v>
      </c>
      <c r="BB70" t="s">
        <v>674</v>
      </c>
      <c r="BC70" t="s">
        <v>674</v>
      </c>
      <c r="BD70" t="s">
        <v>674</v>
      </c>
      <c r="BE70" t="s">
        <v>674</v>
      </c>
      <c r="BF70" t="s">
        <v>674</v>
      </c>
      <c r="BG70" t="s">
        <v>674</v>
      </c>
      <c r="BH70" t="s">
        <v>674</v>
      </c>
      <c r="BI70" t="s">
        <v>674</v>
      </c>
      <c r="BJ70" t="s">
        <v>674</v>
      </c>
      <c r="BK70" t="s">
        <v>674</v>
      </c>
      <c r="BL70" t="s">
        <v>674</v>
      </c>
      <c r="BM70" t="s">
        <v>674</v>
      </c>
      <c r="BN70" t="s">
        <v>674</v>
      </c>
      <c r="BO70" t="s">
        <v>674</v>
      </c>
      <c r="BP70" t="s">
        <v>674</v>
      </c>
      <c r="BQ70" t="s">
        <v>674</v>
      </c>
      <c r="BR70" t="s">
        <v>674</v>
      </c>
      <c r="BS70" t="s">
        <v>674</v>
      </c>
      <c r="BT70" t="s">
        <v>674</v>
      </c>
      <c r="BU70" t="s">
        <v>674</v>
      </c>
      <c r="BV70" t="s">
        <v>674</v>
      </c>
      <c r="BW70" t="s">
        <v>674</v>
      </c>
      <c r="BX70" t="s">
        <v>674</v>
      </c>
      <c r="BY70" t="s">
        <v>674</v>
      </c>
      <c r="BZ70" t="s">
        <v>674</v>
      </c>
      <c r="CA70" t="s">
        <v>674</v>
      </c>
      <c r="CB70" t="s">
        <v>674</v>
      </c>
      <c r="CC70" t="s">
        <v>674</v>
      </c>
      <c r="CD70" t="s">
        <v>674</v>
      </c>
      <c r="CE70" t="s">
        <v>674</v>
      </c>
      <c r="CF70" t="s">
        <v>674</v>
      </c>
      <c r="CG70" t="s">
        <v>674</v>
      </c>
      <c r="CH70" t="s">
        <v>674</v>
      </c>
      <c r="CI70" t="s">
        <v>674</v>
      </c>
    </row>
    <row r="71" spans="1:87" x14ac:dyDescent="0.25">
      <c r="A71" t="s">
        <v>239</v>
      </c>
      <c r="B71" t="s">
        <v>126</v>
      </c>
      <c r="C71">
        <v>2023</v>
      </c>
      <c r="D71" t="s">
        <v>240</v>
      </c>
      <c r="E71" t="s">
        <v>241</v>
      </c>
      <c r="F71" t="s">
        <v>242</v>
      </c>
      <c r="G71" t="s">
        <v>243</v>
      </c>
      <c r="H71" t="s">
        <v>674</v>
      </c>
      <c r="I71" t="s">
        <v>244</v>
      </c>
      <c r="J71" t="s">
        <v>245</v>
      </c>
      <c r="K71" t="s">
        <v>674</v>
      </c>
      <c r="L71" t="s">
        <v>682</v>
      </c>
      <c r="M71" s="1">
        <v>46257.902199074073</v>
      </c>
      <c r="N71" s="1">
        <v>46257.91815972222</v>
      </c>
      <c r="O71" s="1">
        <v>46257.902199074073</v>
      </c>
      <c r="P71" t="s">
        <v>683</v>
      </c>
      <c r="Q71" t="s">
        <v>674</v>
      </c>
      <c r="T71" t="s">
        <v>674</v>
      </c>
      <c r="U71" t="s">
        <v>674</v>
      </c>
      <c r="V71" t="s">
        <v>674</v>
      </c>
      <c r="W71" t="s">
        <v>674</v>
      </c>
      <c r="X71" t="s">
        <v>674</v>
      </c>
      <c r="Y71" t="s">
        <v>674</v>
      </c>
      <c r="Z71" t="s">
        <v>674</v>
      </c>
      <c r="AA71" t="s">
        <v>133</v>
      </c>
      <c r="AB71" t="s">
        <v>246</v>
      </c>
      <c r="AC71" t="s">
        <v>674</v>
      </c>
      <c r="AD71" t="s">
        <v>135</v>
      </c>
      <c r="AE71" t="s">
        <v>674</v>
      </c>
      <c r="AF71" t="s">
        <v>674</v>
      </c>
      <c r="AG71" t="s">
        <v>674</v>
      </c>
      <c r="AH71" t="s">
        <v>99</v>
      </c>
      <c r="AJ71" t="s">
        <v>674</v>
      </c>
      <c r="AK71" t="s">
        <v>674</v>
      </c>
      <c r="AL71" t="s">
        <v>247</v>
      </c>
      <c r="AM71" t="s">
        <v>674</v>
      </c>
      <c r="AN71" t="s">
        <v>248</v>
      </c>
      <c r="AO71" t="s">
        <v>674</v>
      </c>
      <c r="AP71" t="s">
        <v>674</v>
      </c>
      <c r="AQ71" t="s">
        <v>674</v>
      </c>
      <c r="AR71" t="s">
        <v>674</v>
      </c>
      <c r="AS71" t="s">
        <v>674</v>
      </c>
      <c r="AT71" t="s">
        <v>674</v>
      </c>
      <c r="AU71" t="s">
        <v>674</v>
      </c>
      <c r="AV71" t="s">
        <v>674</v>
      </c>
      <c r="AW71" t="s">
        <v>674</v>
      </c>
      <c r="AX71" t="s">
        <v>674</v>
      </c>
      <c r="AY71" t="s">
        <v>674</v>
      </c>
      <c r="AZ71" t="s">
        <v>674</v>
      </c>
      <c r="BA71" t="s">
        <v>674</v>
      </c>
      <c r="BB71" t="s">
        <v>674</v>
      </c>
      <c r="BC71" t="s">
        <v>674</v>
      </c>
      <c r="BD71" t="s">
        <v>674</v>
      </c>
      <c r="BE71" t="s">
        <v>674</v>
      </c>
      <c r="BF71" t="s">
        <v>674</v>
      </c>
      <c r="BG71" t="s">
        <v>674</v>
      </c>
      <c r="BH71" t="s">
        <v>674</v>
      </c>
      <c r="BI71" t="s">
        <v>674</v>
      </c>
      <c r="BJ71" t="s">
        <v>674</v>
      </c>
      <c r="BK71" t="s">
        <v>674</v>
      </c>
      <c r="BL71" t="s">
        <v>674</v>
      </c>
      <c r="BM71" t="s">
        <v>674</v>
      </c>
      <c r="BN71" t="s">
        <v>674</v>
      </c>
      <c r="BO71" t="s">
        <v>674</v>
      </c>
      <c r="BP71" t="s">
        <v>674</v>
      </c>
      <c r="BQ71" t="s">
        <v>674</v>
      </c>
      <c r="BR71" t="s">
        <v>674</v>
      </c>
      <c r="BS71" t="s">
        <v>674</v>
      </c>
      <c r="BT71" t="s">
        <v>242</v>
      </c>
      <c r="BU71" t="s">
        <v>674</v>
      </c>
      <c r="BV71" t="s">
        <v>674</v>
      </c>
      <c r="BW71" t="s">
        <v>674</v>
      </c>
      <c r="BX71" t="s">
        <v>674</v>
      </c>
      <c r="BY71" t="s">
        <v>674</v>
      </c>
      <c r="BZ71" t="s">
        <v>674</v>
      </c>
      <c r="CA71" t="s">
        <v>674</v>
      </c>
      <c r="CB71" t="s">
        <v>674</v>
      </c>
      <c r="CC71" t="s">
        <v>674</v>
      </c>
      <c r="CD71" t="s">
        <v>674</v>
      </c>
      <c r="CE71" t="s">
        <v>674</v>
      </c>
      <c r="CF71" t="s">
        <v>674</v>
      </c>
      <c r="CG71" t="s">
        <v>674</v>
      </c>
      <c r="CH71" t="s">
        <v>674</v>
      </c>
      <c r="CI71" t="s">
        <v>674</v>
      </c>
    </row>
    <row r="72" spans="1:87" x14ac:dyDescent="0.25">
      <c r="A72" t="s">
        <v>225</v>
      </c>
      <c r="B72" t="s">
        <v>126</v>
      </c>
      <c r="C72">
        <v>1989</v>
      </c>
      <c r="D72" t="s">
        <v>226</v>
      </c>
      <c r="E72" t="s">
        <v>227</v>
      </c>
      <c r="F72" t="s">
        <v>228</v>
      </c>
      <c r="G72" t="s">
        <v>674</v>
      </c>
      <c r="H72" t="s">
        <v>674</v>
      </c>
      <c r="I72" t="s">
        <v>229</v>
      </c>
      <c r="J72" t="s">
        <v>230</v>
      </c>
      <c r="K72" t="s">
        <v>674</v>
      </c>
      <c r="L72" t="s">
        <v>231</v>
      </c>
      <c r="M72" s="1">
        <v>46257.902141203704</v>
      </c>
      <c r="N72" s="1">
        <v>46257.917569444442</v>
      </c>
      <c r="O72" s="1">
        <v>46257.902129629627</v>
      </c>
      <c r="P72" t="s">
        <v>232</v>
      </c>
      <c r="Q72" t="s">
        <v>674</v>
      </c>
      <c r="T72" t="s">
        <v>674</v>
      </c>
      <c r="U72" t="s">
        <v>674</v>
      </c>
      <c r="V72" t="s">
        <v>674</v>
      </c>
      <c r="W72" t="s">
        <v>674</v>
      </c>
      <c r="X72" t="s">
        <v>674</v>
      </c>
      <c r="Y72" t="s">
        <v>674</v>
      </c>
      <c r="Z72" t="s">
        <v>674</v>
      </c>
      <c r="AA72" t="s">
        <v>133</v>
      </c>
      <c r="AB72" t="s">
        <v>233</v>
      </c>
      <c r="AC72" t="s">
        <v>674</v>
      </c>
      <c r="AD72" t="s">
        <v>674</v>
      </c>
      <c r="AE72" t="s">
        <v>674</v>
      </c>
      <c r="AF72" t="s">
        <v>674</v>
      </c>
      <c r="AG72" t="s">
        <v>674</v>
      </c>
      <c r="AH72" t="s">
        <v>99</v>
      </c>
      <c r="AJ72" t="s">
        <v>674</v>
      </c>
      <c r="AK72" t="s">
        <v>674</v>
      </c>
      <c r="AL72" t="s">
        <v>234</v>
      </c>
      <c r="AM72" t="s">
        <v>674</v>
      </c>
      <c r="AN72" t="s">
        <v>235</v>
      </c>
      <c r="AO72" t="s">
        <v>674</v>
      </c>
      <c r="AP72" t="s">
        <v>674</v>
      </c>
      <c r="AQ72" t="s">
        <v>674</v>
      </c>
      <c r="AR72" t="s">
        <v>674</v>
      </c>
      <c r="AS72" t="s">
        <v>674</v>
      </c>
      <c r="AT72" t="s">
        <v>674</v>
      </c>
      <c r="AU72" t="s">
        <v>674</v>
      </c>
      <c r="AV72" t="s">
        <v>674</v>
      </c>
      <c r="AW72" t="s">
        <v>674</v>
      </c>
      <c r="AX72" t="s">
        <v>674</v>
      </c>
      <c r="AY72" t="s">
        <v>674</v>
      </c>
      <c r="AZ72" t="s">
        <v>674</v>
      </c>
      <c r="BA72" t="s">
        <v>674</v>
      </c>
      <c r="BB72" t="s">
        <v>674</v>
      </c>
      <c r="BC72" t="s">
        <v>674</v>
      </c>
      <c r="BD72" t="s">
        <v>674</v>
      </c>
      <c r="BE72" t="s">
        <v>674</v>
      </c>
      <c r="BF72" t="s">
        <v>674</v>
      </c>
      <c r="BG72" t="s">
        <v>674</v>
      </c>
      <c r="BH72" t="s">
        <v>674</v>
      </c>
      <c r="BI72" t="s">
        <v>674</v>
      </c>
      <c r="BJ72" t="s">
        <v>674</v>
      </c>
      <c r="BK72" t="s">
        <v>674</v>
      </c>
      <c r="BL72" t="s">
        <v>674</v>
      </c>
      <c r="BM72" t="s">
        <v>674</v>
      </c>
      <c r="BN72" t="s">
        <v>674</v>
      </c>
      <c r="BO72" t="s">
        <v>674</v>
      </c>
      <c r="BP72" t="s">
        <v>674</v>
      </c>
      <c r="BQ72" t="s">
        <v>674</v>
      </c>
      <c r="BR72" t="s">
        <v>674</v>
      </c>
      <c r="BS72" t="s">
        <v>674</v>
      </c>
      <c r="BT72" t="s">
        <v>228</v>
      </c>
      <c r="BU72" t="s">
        <v>674</v>
      </c>
      <c r="BV72" t="s">
        <v>674</v>
      </c>
      <c r="BW72" t="s">
        <v>674</v>
      </c>
      <c r="BX72" t="s">
        <v>674</v>
      </c>
      <c r="BY72" t="s">
        <v>674</v>
      </c>
      <c r="BZ72" t="s">
        <v>674</v>
      </c>
      <c r="CA72" t="s">
        <v>674</v>
      </c>
      <c r="CB72" t="s">
        <v>674</v>
      </c>
      <c r="CC72" t="s">
        <v>674</v>
      </c>
      <c r="CD72" t="s">
        <v>674</v>
      </c>
      <c r="CE72" t="s">
        <v>674</v>
      </c>
      <c r="CF72" t="s">
        <v>674</v>
      </c>
      <c r="CG72" t="s">
        <v>674</v>
      </c>
      <c r="CH72" t="s">
        <v>674</v>
      </c>
      <c r="CI72" t="s">
        <v>674</v>
      </c>
    </row>
    <row r="73" spans="1:87" x14ac:dyDescent="0.25">
      <c r="A73" t="s">
        <v>249</v>
      </c>
      <c r="B73" t="s">
        <v>126</v>
      </c>
      <c r="C73">
        <v>2016</v>
      </c>
      <c r="D73" t="s">
        <v>250</v>
      </c>
      <c r="E73" t="s">
        <v>251</v>
      </c>
      <c r="F73" t="s">
        <v>252</v>
      </c>
      <c r="G73" t="s">
        <v>253</v>
      </c>
      <c r="H73" t="s">
        <v>674</v>
      </c>
      <c r="I73" t="s">
        <v>254</v>
      </c>
      <c r="J73" t="s">
        <v>255</v>
      </c>
      <c r="K73" t="s">
        <v>674</v>
      </c>
      <c r="L73" t="s">
        <v>256</v>
      </c>
      <c r="M73" s="1">
        <v>46257.902256944442</v>
      </c>
      <c r="N73" s="1">
        <v>46257.917442129627</v>
      </c>
      <c r="O73" s="1">
        <v>46257.902256944442</v>
      </c>
      <c r="P73" t="s">
        <v>684</v>
      </c>
      <c r="Q73" t="s">
        <v>674</v>
      </c>
      <c r="T73" t="s">
        <v>674</v>
      </c>
      <c r="U73" t="s">
        <v>674</v>
      </c>
      <c r="V73" t="s">
        <v>674</v>
      </c>
      <c r="W73" t="s">
        <v>674</v>
      </c>
      <c r="X73" t="s">
        <v>674</v>
      </c>
      <c r="Y73" t="s">
        <v>674</v>
      </c>
      <c r="Z73" t="s">
        <v>674</v>
      </c>
      <c r="AA73" t="s">
        <v>133</v>
      </c>
      <c r="AB73" t="s">
        <v>257</v>
      </c>
      <c r="AC73" t="s">
        <v>674</v>
      </c>
      <c r="AD73" t="s">
        <v>674</v>
      </c>
      <c r="AE73" t="s">
        <v>674</v>
      </c>
      <c r="AF73" t="s">
        <v>674</v>
      </c>
      <c r="AG73" t="s">
        <v>674</v>
      </c>
      <c r="AH73" t="s">
        <v>99</v>
      </c>
      <c r="AJ73" t="s">
        <v>674</v>
      </c>
      <c r="AK73" t="s">
        <v>674</v>
      </c>
      <c r="AL73" t="s">
        <v>258</v>
      </c>
      <c r="AM73" t="s">
        <v>674</v>
      </c>
      <c r="AN73" t="s">
        <v>235</v>
      </c>
      <c r="AO73" t="s">
        <v>674</v>
      </c>
      <c r="AP73" t="s">
        <v>674</v>
      </c>
      <c r="AQ73" t="s">
        <v>674</v>
      </c>
      <c r="AR73" t="s">
        <v>674</v>
      </c>
      <c r="AS73" t="s">
        <v>674</v>
      </c>
      <c r="AT73" t="s">
        <v>674</v>
      </c>
      <c r="AU73" t="s">
        <v>674</v>
      </c>
      <c r="AV73" t="s">
        <v>674</v>
      </c>
      <c r="AW73" t="s">
        <v>674</v>
      </c>
      <c r="AX73" t="s">
        <v>674</v>
      </c>
      <c r="AY73" t="s">
        <v>674</v>
      </c>
      <c r="AZ73" t="s">
        <v>674</v>
      </c>
      <c r="BA73" t="s">
        <v>674</v>
      </c>
      <c r="BB73" t="s">
        <v>674</v>
      </c>
      <c r="BC73" t="s">
        <v>674</v>
      </c>
      <c r="BD73" t="s">
        <v>674</v>
      </c>
      <c r="BE73" t="s">
        <v>674</v>
      </c>
      <c r="BF73" t="s">
        <v>674</v>
      </c>
      <c r="BG73" t="s">
        <v>674</v>
      </c>
      <c r="BH73" t="s">
        <v>674</v>
      </c>
      <c r="BI73" t="s">
        <v>674</v>
      </c>
      <c r="BJ73" t="s">
        <v>674</v>
      </c>
      <c r="BK73" t="s">
        <v>674</v>
      </c>
      <c r="BL73" t="s">
        <v>674</v>
      </c>
      <c r="BM73" t="s">
        <v>674</v>
      </c>
      <c r="BN73" t="s">
        <v>674</v>
      </c>
      <c r="BO73" t="s">
        <v>674</v>
      </c>
      <c r="BP73" t="s">
        <v>674</v>
      </c>
      <c r="BQ73" t="s">
        <v>674</v>
      </c>
      <c r="BR73" t="s">
        <v>674</v>
      </c>
      <c r="BS73" t="s">
        <v>674</v>
      </c>
      <c r="BT73" t="s">
        <v>252</v>
      </c>
      <c r="BU73" t="s">
        <v>674</v>
      </c>
      <c r="BV73" t="s">
        <v>674</v>
      </c>
      <c r="BW73" t="s">
        <v>674</v>
      </c>
      <c r="BX73" t="s">
        <v>674</v>
      </c>
      <c r="BY73" t="s">
        <v>674</v>
      </c>
      <c r="BZ73" t="s">
        <v>674</v>
      </c>
      <c r="CA73" t="s">
        <v>674</v>
      </c>
      <c r="CB73" t="s">
        <v>674</v>
      </c>
      <c r="CC73" t="s">
        <v>674</v>
      </c>
      <c r="CD73" t="s">
        <v>674</v>
      </c>
      <c r="CE73" t="s">
        <v>674</v>
      </c>
      <c r="CF73" t="s">
        <v>674</v>
      </c>
      <c r="CG73" t="s">
        <v>674</v>
      </c>
      <c r="CH73" t="s">
        <v>674</v>
      </c>
      <c r="CI73" t="s">
        <v>674</v>
      </c>
    </row>
    <row r="74" spans="1:87" x14ac:dyDescent="0.25">
      <c r="A74" t="s">
        <v>149</v>
      </c>
      <c r="B74" t="s">
        <v>88</v>
      </c>
      <c r="C74">
        <v>2015</v>
      </c>
      <c r="D74" t="s">
        <v>150</v>
      </c>
      <c r="E74" t="s">
        <v>151</v>
      </c>
      <c r="F74" t="s">
        <v>152</v>
      </c>
      <c r="G74" t="s">
        <v>674</v>
      </c>
      <c r="H74" t="s">
        <v>153</v>
      </c>
      <c r="I74" t="s">
        <v>154</v>
      </c>
      <c r="J74" t="s">
        <v>155</v>
      </c>
      <c r="K74" t="s">
        <v>674</v>
      </c>
      <c r="L74" t="s">
        <v>156</v>
      </c>
      <c r="M74" s="1">
        <v>46257.901712962965</v>
      </c>
      <c r="N74" s="1">
        <v>46257.91615740741</v>
      </c>
      <c r="O74" s="1">
        <v>46257.901712962965</v>
      </c>
      <c r="P74" t="s">
        <v>157</v>
      </c>
      <c r="Q74" t="s">
        <v>674</v>
      </c>
      <c r="R74">
        <v>6</v>
      </c>
      <c r="S74">
        <v>11</v>
      </c>
      <c r="T74" t="s">
        <v>674</v>
      </c>
      <c r="U74" t="s">
        <v>158</v>
      </c>
      <c r="V74" t="s">
        <v>674</v>
      </c>
      <c r="W74" t="s">
        <v>674</v>
      </c>
      <c r="X74" t="s">
        <v>674</v>
      </c>
      <c r="Y74" t="s">
        <v>674</v>
      </c>
      <c r="Z74" t="s">
        <v>674</v>
      </c>
      <c r="AA74" t="s">
        <v>674</v>
      </c>
      <c r="AB74" t="s">
        <v>674</v>
      </c>
      <c r="AC74" t="s">
        <v>674</v>
      </c>
      <c r="AD74" t="s">
        <v>122</v>
      </c>
      <c r="AE74" t="s">
        <v>674</v>
      </c>
      <c r="AF74" t="s">
        <v>674</v>
      </c>
      <c r="AG74" t="s">
        <v>674</v>
      </c>
      <c r="AH74" t="s">
        <v>99</v>
      </c>
      <c r="AJ74" t="s">
        <v>674</v>
      </c>
      <c r="AK74" t="s">
        <v>674</v>
      </c>
      <c r="AL74" t="s">
        <v>159</v>
      </c>
      <c r="AM74" t="s">
        <v>674</v>
      </c>
      <c r="AN74" t="s">
        <v>101</v>
      </c>
      <c r="AO74" t="s">
        <v>674</v>
      </c>
      <c r="AP74" t="s">
        <v>674</v>
      </c>
      <c r="AQ74" t="s">
        <v>674</v>
      </c>
      <c r="AR74" t="s">
        <v>674</v>
      </c>
      <c r="AS74" t="s">
        <v>674</v>
      </c>
      <c r="AT74" t="s">
        <v>674</v>
      </c>
      <c r="AU74" t="s">
        <v>674</v>
      </c>
      <c r="AV74" t="s">
        <v>674</v>
      </c>
      <c r="AW74" t="s">
        <v>674</v>
      </c>
      <c r="AX74" t="s">
        <v>674</v>
      </c>
      <c r="AY74" t="s">
        <v>674</v>
      </c>
      <c r="AZ74" t="s">
        <v>674</v>
      </c>
      <c r="BA74" t="s">
        <v>674</v>
      </c>
      <c r="BB74" t="s">
        <v>674</v>
      </c>
      <c r="BC74" t="s">
        <v>674</v>
      </c>
      <c r="BD74" t="s">
        <v>674</v>
      </c>
      <c r="BE74" t="s">
        <v>674</v>
      </c>
      <c r="BF74" t="s">
        <v>674</v>
      </c>
      <c r="BG74" t="s">
        <v>674</v>
      </c>
      <c r="BH74" t="s">
        <v>674</v>
      </c>
      <c r="BI74" t="s">
        <v>674</v>
      </c>
      <c r="BJ74" t="s">
        <v>674</v>
      </c>
      <c r="BK74" t="s">
        <v>674</v>
      </c>
      <c r="BL74" t="s">
        <v>674</v>
      </c>
      <c r="BM74" t="s">
        <v>674</v>
      </c>
      <c r="BN74" t="s">
        <v>674</v>
      </c>
      <c r="BO74" t="s">
        <v>674</v>
      </c>
      <c r="BP74" t="s">
        <v>674</v>
      </c>
      <c r="BQ74" t="s">
        <v>674</v>
      </c>
      <c r="BR74" t="s">
        <v>674</v>
      </c>
      <c r="BS74" t="s">
        <v>674</v>
      </c>
      <c r="BT74" t="s">
        <v>674</v>
      </c>
      <c r="BU74" t="s">
        <v>674</v>
      </c>
      <c r="BV74" t="s">
        <v>674</v>
      </c>
      <c r="BW74" t="s">
        <v>674</v>
      </c>
      <c r="BX74" t="s">
        <v>674</v>
      </c>
      <c r="BY74" t="s">
        <v>674</v>
      </c>
      <c r="BZ74" t="s">
        <v>674</v>
      </c>
      <c r="CA74" t="s">
        <v>674</v>
      </c>
      <c r="CB74" t="s">
        <v>674</v>
      </c>
      <c r="CC74" t="s">
        <v>674</v>
      </c>
      <c r="CD74" t="s">
        <v>674</v>
      </c>
      <c r="CE74" t="s">
        <v>674</v>
      </c>
      <c r="CF74" t="s">
        <v>674</v>
      </c>
      <c r="CG74" t="s">
        <v>674</v>
      </c>
      <c r="CH74" t="s">
        <v>674</v>
      </c>
      <c r="CI74" t="s">
        <v>674</v>
      </c>
    </row>
    <row r="75" spans="1:87" x14ac:dyDescent="0.25">
      <c r="A75" t="s">
        <v>214</v>
      </c>
      <c r="B75" t="s">
        <v>126</v>
      </c>
      <c r="C75">
        <v>2024</v>
      </c>
      <c r="D75" t="s">
        <v>215</v>
      </c>
      <c r="E75" t="s">
        <v>216</v>
      </c>
      <c r="F75" t="s">
        <v>217</v>
      </c>
      <c r="G75" t="s">
        <v>218</v>
      </c>
      <c r="H75" t="s">
        <v>674</v>
      </c>
      <c r="I75" t="s">
        <v>219</v>
      </c>
      <c r="J75" t="s">
        <v>220</v>
      </c>
      <c r="K75" t="s">
        <v>674</v>
      </c>
      <c r="L75" t="s">
        <v>681</v>
      </c>
      <c r="M75" s="1">
        <v>46257.902071759258</v>
      </c>
      <c r="N75" s="1">
        <v>46257.915439814817</v>
      </c>
      <c r="O75" s="1">
        <v>46257.902071759258</v>
      </c>
      <c r="P75" t="s">
        <v>221</v>
      </c>
      <c r="Q75" t="s">
        <v>674</v>
      </c>
      <c r="T75" t="s">
        <v>674</v>
      </c>
      <c r="U75" t="s">
        <v>674</v>
      </c>
      <c r="V75" t="s">
        <v>674</v>
      </c>
      <c r="W75" t="s">
        <v>674</v>
      </c>
      <c r="X75" t="s">
        <v>674</v>
      </c>
      <c r="Y75" t="s">
        <v>674</v>
      </c>
      <c r="Z75" t="s">
        <v>674</v>
      </c>
      <c r="AA75" t="s">
        <v>133</v>
      </c>
      <c r="AB75" t="s">
        <v>222</v>
      </c>
      <c r="AC75" t="s">
        <v>674</v>
      </c>
      <c r="AD75" t="s">
        <v>135</v>
      </c>
      <c r="AE75" t="s">
        <v>674</v>
      </c>
      <c r="AF75" t="s">
        <v>674</v>
      </c>
      <c r="AG75" t="s">
        <v>674</v>
      </c>
      <c r="AH75" t="s">
        <v>99</v>
      </c>
      <c r="AJ75" t="s">
        <v>674</v>
      </c>
      <c r="AK75" t="s">
        <v>674</v>
      </c>
      <c r="AL75" t="s">
        <v>223</v>
      </c>
      <c r="AM75" t="s">
        <v>674</v>
      </c>
      <c r="AN75" t="s">
        <v>224</v>
      </c>
      <c r="AO75" t="s">
        <v>674</v>
      </c>
      <c r="AP75" t="s">
        <v>674</v>
      </c>
      <c r="AQ75" t="s">
        <v>674</v>
      </c>
      <c r="AR75" t="s">
        <v>674</v>
      </c>
      <c r="AS75" t="s">
        <v>674</v>
      </c>
      <c r="AT75" t="s">
        <v>674</v>
      </c>
      <c r="AU75" t="s">
        <v>674</v>
      </c>
      <c r="AV75" t="s">
        <v>674</v>
      </c>
      <c r="AW75" t="s">
        <v>674</v>
      </c>
      <c r="AX75" t="s">
        <v>674</v>
      </c>
      <c r="AY75" t="s">
        <v>674</v>
      </c>
      <c r="AZ75" t="s">
        <v>674</v>
      </c>
      <c r="BA75" t="s">
        <v>674</v>
      </c>
      <c r="BB75" t="s">
        <v>674</v>
      </c>
      <c r="BC75" t="s">
        <v>674</v>
      </c>
      <c r="BD75" t="s">
        <v>674</v>
      </c>
      <c r="BE75" t="s">
        <v>674</v>
      </c>
      <c r="BF75" t="s">
        <v>674</v>
      </c>
      <c r="BG75" t="s">
        <v>674</v>
      </c>
      <c r="BH75" t="s">
        <v>674</v>
      </c>
      <c r="BI75" t="s">
        <v>674</v>
      </c>
      <c r="BJ75" t="s">
        <v>674</v>
      </c>
      <c r="BK75" t="s">
        <v>674</v>
      </c>
      <c r="BL75" t="s">
        <v>674</v>
      </c>
      <c r="BM75" t="s">
        <v>674</v>
      </c>
      <c r="BN75" t="s">
        <v>674</v>
      </c>
      <c r="BO75" t="s">
        <v>674</v>
      </c>
      <c r="BP75" t="s">
        <v>674</v>
      </c>
      <c r="BQ75" t="s">
        <v>674</v>
      </c>
      <c r="BR75" t="s">
        <v>674</v>
      </c>
      <c r="BS75" t="s">
        <v>674</v>
      </c>
      <c r="BT75" t="s">
        <v>217</v>
      </c>
      <c r="BU75" t="s">
        <v>674</v>
      </c>
      <c r="BV75" t="s">
        <v>674</v>
      </c>
      <c r="BW75" t="s">
        <v>674</v>
      </c>
      <c r="BX75" t="s">
        <v>674</v>
      </c>
      <c r="BY75" t="s">
        <v>674</v>
      </c>
      <c r="BZ75" t="s">
        <v>674</v>
      </c>
      <c r="CA75" t="s">
        <v>674</v>
      </c>
      <c r="CB75" t="s">
        <v>674</v>
      </c>
      <c r="CC75" t="s">
        <v>674</v>
      </c>
      <c r="CD75" t="s">
        <v>674</v>
      </c>
      <c r="CE75" t="s">
        <v>674</v>
      </c>
      <c r="CF75" t="s">
        <v>674</v>
      </c>
      <c r="CG75" t="s">
        <v>674</v>
      </c>
      <c r="CH75" t="s">
        <v>674</v>
      </c>
      <c r="CI75" t="s">
        <v>674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60E99-491C-405B-B13F-A1291785CAC6}">
  <dimension ref="A1:CI65"/>
  <sheetViews>
    <sheetView topLeftCell="I1" workbookViewId="0">
      <selection activeCell="L66" sqref="L66"/>
    </sheetView>
  </sheetViews>
  <sheetFormatPr baseColWidth="10" defaultRowHeight="15" x14ac:dyDescent="0.25"/>
  <cols>
    <col min="1" max="1" width="11" bestFit="1" customWidth="1"/>
    <col min="2" max="2" width="15.85546875" bestFit="1" customWidth="1"/>
    <col min="3" max="3" width="17.85546875" bestFit="1" customWidth="1"/>
    <col min="4" max="6" width="81.140625" bestFit="1" customWidth="1"/>
    <col min="7" max="7" width="33.7109375" bestFit="1" customWidth="1"/>
    <col min="8" max="8" width="29.5703125" bestFit="1" customWidth="1"/>
    <col min="9" max="9" width="47.28515625" bestFit="1" customWidth="1"/>
    <col min="10" max="10" width="66.85546875" bestFit="1" customWidth="1"/>
    <col min="11" max="11" width="81.140625" bestFit="1" customWidth="1"/>
    <col min="12" max="12" width="10.42578125" bestFit="1" customWidth="1"/>
    <col min="13" max="13" width="15.42578125" bestFit="1" customWidth="1"/>
    <col min="14" max="14" width="16" bestFit="1" customWidth="1"/>
    <col min="15" max="15" width="15.42578125" bestFit="1" customWidth="1"/>
    <col min="16" max="16" width="11.7109375" bestFit="1" customWidth="1"/>
    <col min="17" max="17" width="13.28515625" bestFit="1" customWidth="1"/>
    <col min="18" max="18" width="8.140625" bestFit="1" customWidth="1"/>
    <col min="19" max="19" width="10.140625" bestFit="1" customWidth="1"/>
    <col min="20" max="20" width="21.5703125" bestFit="1" customWidth="1"/>
    <col min="21" max="21" width="37.140625" bestFit="1" customWidth="1"/>
    <col min="22" max="22" width="70.7109375" bestFit="1" customWidth="1"/>
    <col min="23" max="23" width="35.42578125" bestFit="1" customWidth="1"/>
    <col min="24" max="24" width="16.7109375" bestFit="1" customWidth="1"/>
    <col min="25" max="25" width="13.28515625" bestFit="1" customWidth="1"/>
    <col min="26" max="26" width="13.42578125" bestFit="1" customWidth="1"/>
    <col min="27" max="27" width="39.140625" bestFit="1" customWidth="1"/>
    <col min="28" max="28" width="26.7109375" bestFit="1" customWidth="1"/>
    <col min="29" max="29" width="11.7109375" bestFit="1" customWidth="1"/>
    <col min="30" max="30" width="73.5703125" bestFit="1" customWidth="1"/>
    <col min="31" max="31" width="18.85546875" bestFit="1" customWidth="1"/>
    <col min="32" max="32" width="10" bestFit="1" customWidth="1"/>
    <col min="33" max="33" width="18.140625" bestFit="1" customWidth="1"/>
    <col min="34" max="34" width="17" bestFit="1" customWidth="1"/>
    <col min="35" max="35" width="14.5703125" bestFit="1" customWidth="1"/>
    <col min="36" max="36" width="24.85546875" bestFit="1" customWidth="1"/>
    <col min="37" max="37" width="8.7109375" bestFit="1" customWidth="1"/>
    <col min="38" max="38" width="81.140625" bestFit="1" customWidth="1"/>
    <col min="39" max="39" width="19" bestFit="1" customWidth="1"/>
    <col min="40" max="40" width="79.42578125" bestFit="1" customWidth="1"/>
    <col min="41" max="41" width="81.140625" bestFit="1" customWidth="1"/>
    <col min="42" max="42" width="14.28515625" bestFit="1" customWidth="1"/>
    <col min="43" max="43" width="14.85546875" bestFit="1" customWidth="1"/>
    <col min="44" max="44" width="12.28515625" bestFit="1" customWidth="1"/>
    <col min="45" max="45" width="13.85546875" bestFit="1" customWidth="1"/>
    <col min="46" max="46" width="16.5703125" bestFit="1" customWidth="1"/>
    <col min="47" max="47" width="14.140625" bestFit="1" customWidth="1"/>
    <col min="48" max="48" width="15.28515625" bestFit="1" customWidth="1"/>
    <col min="49" max="49" width="14.140625" bestFit="1" customWidth="1"/>
    <col min="50" max="50" width="12.7109375" bestFit="1" customWidth="1"/>
    <col min="51" max="51" width="13.140625" bestFit="1" customWidth="1"/>
    <col min="52" max="52" width="10.85546875" bestFit="1" customWidth="1"/>
    <col min="53" max="53" width="13.5703125" bestFit="1" customWidth="1"/>
    <col min="55" max="55" width="12" bestFit="1" customWidth="1"/>
    <col min="56" max="56" width="18.7109375" bestFit="1" customWidth="1"/>
    <col min="57" max="57" width="13.85546875" bestFit="1" customWidth="1"/>
    <col min="58" max="58" width="11.7109375" bestFit="1" customWidth="1"/>
    <col min="59" max="59" width="8.7109375" bestFit="1" customWidth="1"/>
    <col min="60" max="60" width="10.5703125" bestFit="1" customWidth="1"/>
    <col min="61" max="61" width="9.7109375" bestFit="1" customWidth="1"/>
    <col min="62" max="62" width="15.5703125" bestFit="1" customWidth="1"/>
    <col min="63" max="63" width="8.140625" bestFit="1" customWidth="1"/>
    <col min="64" max="64" width="10.5703125" bestFit="1" customWidth="1"/>
    <col min="65" max="65" width="14.28515625" bestFit="1" customWidth="1"/>
    <col min="66" max="66" width="12.85546875" bestFit="1" customWidth="1"/>
    <col min="67" max="67" width="21.28515625" bestFit="1" customWidth="1"/>
    <col min="69" max="69" width="18.5703125" bestFit="1" customWidth="1"/>
    <col min="70" max="70" width="10.5703125" bestFit="1" customWidth="1"/>
    <col min="71" max="71" width="16.28515625" bestFit="1" customWidth="1"/>
    <col min="72" max="72" width="81.140625" bestFit="1" customWidth="1"/>
    <col min="73" max="73" width="8.42578125" bestFit="1" customWidth="1"/>
    <col min="74" max="74" width="13.7109375" bestFit="1" customWidth="1"/>
    <col min="75" max="75" width="11.28515625" bestFit="1" customWidth="1"/>
    <col min="76" max="76" width="14.140625" bestFit="1" customWidth="1"/>
    <col min="77" max="77" width="18.7109375" bestFit="1" customWidth="1"/>
    <col min="78" max="78" width="24.28515625" bestFit="1" customWidth="1"/>
    <col min="79" max="79" width="10.140625" bestFit="1" customWidth="1"/>
    <col min="80" max="80" width="10" bestFit="1" customWidth="1"/>
    <col min="81" max="81" width="8.140625" bestFit="1" customWidth="1"/>
    <col min="82" max="82" width="15.85546875" bestFit="1" customWidth="1"/>
    <col min="83" max="83" width="10.140625" bestFit="1" customWidth="1"/>
    <col min="84" max="84" width="10.42578125" bestFit="1" customWidth="1"/>
    <col min="85" max="85" width="13.5703125" bestFit="1" customWidth="1"/>
    <col min="86" max="86" width="9.85546875" bestFit="1" customWidth="1"/>
    <col min="87" max="87" width="17.85546875" bestFit="1" customWidth="1"/>
  </cols>
  <sheetData>
    <row r="1" spans="1:8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row>
    <row r="2" spans="1:87" x14ac:dyDescent="0.25">
      <c r="A2" t="s">
        <v>899</v>
      </c>
      <c r="B2" t="s">
        <v>103</v>
      </c>
      <c r="C2">
        <v>2004</v>
      </c>
      <c r="D2" t="s">
        <v>900</v>
      </c>
      <c r="E2" t="s">
        <v>901</v>
      </c>
      <c r="F2" t="s">
        <v>674</v>
      </c>
      <c r="G2" t="s">
        <v>674</v>
      </c>
      <c r="H2" t="s">
        <v>674</v>
      </c>
      <c r="I2" t="s">
        <v>902</v>
      </c>
      <c r="J2" t="s">
        <v>903</v>
      </c>
      <c r="K2" t="s">
        <v>904</v>
      </c>
      <c r="L2" t="s">
        <v>905</v>
      </c>
      <c r="M2" s="1">
        <v>46274.90053240741</v>
      </c>
      <c r="N2" s="1">
        <v>46274.900543981479</v>
      </c>
      <c r="O2" s="1">
        <v>46274.90053240741</v>
      </c>
      <c r="P2" t="s">
        <v>674</v>
      </c>
      <c r="Q2" t="s">
        <v>674</v>
      </c>
      <c r="T2" t="s">
        <v>674</v>
      </c>
      <c r="U2" t="s">
        <v>674</v>
      </c>
      <c r="V2" t="s">
        <v>674</v>
      </c>
      <c r="W2" t="s">
        <v>674</v>
      </c>
      <c r="X2" t="s">
        <v>674</v>
      </c>
      <c r="Y2" t="s">
        <v>674</v>
      </c>
      <c r="Z2" t="s">
        <v>674</v>
      </c>
      <c r="AA2" t="s">
        <v>906</v>
      </c>
      <c r="AB2" t="s">
        <v>674</v>
      </c>
      <c r="AC2" t="s">
        <v>710</v>
      </c>
      <c r="AD2" t="s">
        <v>907</v>
      </c>
      <c r="AE2" t="s">
        <v>908</v>
      </c>
      <c r="AF2" t="s">
        <v>674</v>
      </c>
      <c r="AG2" t="s">
        <v>674</v>
      </c>
      <c r="AH2" t="s">
        <v>99</v>
      </c>
      <c r="AJ2" t="s">
        <v>674</v>
      </c>
      <c r="AK2" t="s">
        <v>674</v>
      </c>
      <c r="AL2" t="s">
        <v>909</v>
      </c>
      <c r="AM2" t="s">
        <v>674</v>
      </c>
      <c r="AN2" t="s">
        <v>674</v>
      </c>
      <c r="AO2" t="s">
        <v>712</v>
      </c>
      <c r="AP2" t="s">
        <v>674</v>
      </c>
      <c r="AQ2" t="s">
        <v>674</v>
      </c>
      <c r="AR2" t="s">
        <v>674</v>
      </c>
      <c r="AS2" t="s">
        <v>674</v>
      </c>
      <c r="AT2" t="s">
        <v>674</v>
      </c>
      <c r="AU2" t="s">
        <v>674</v>
      </c>
      <c r="AV2" t="s">
        <v>674</v>
      </c>
      <c r="AW2" t="s">
        <v>674</v>
      </c>
      <c r="AX2" t="s">
        <v>674</v>
      </c>
      <c r="AY2" t="s">
        <v>674</v>
      </c>
      <c r="AZ2" t="s">
        <v>674</v>
      </c>
      <c r="BA2" t="s">
        <v>674</v>
      </c>
      <c r="BB2" t="s">
        <v>674</v>
      </c>
      <c r="BC2" t="s">
        <v>674</v>
      </c>
      <c r="BD2" t="s">
        <v>674</v>
      </c>
      <c r="BE2" t="s">
        <v>674</v>
      </c>
      <c r="BF2" t="s">
        <v>674</v>
      </c>
      <c r="BG2" t="s">
        <v>674</v>
      </c>
      <c r="BH2" t="s">
        <v>674</v>
      </c>
      <c r="BI2" t="s">
        <v>674</v>
      </c>
      <c r="BJ2" t="s">
        <v>674</v>
      </c>
      <c r="BK2" t="s">
        <v>674</v>
      </c>
      <c r="BL2" t="s">
        <v>674</v>
      </c>
      <c r="BM2" t="s">
        <v>674</v>
      </c>
      <c r="BN2" t="s">
        <v>674</v>
      </c>
      <c r="BO2" t="s">
        <v>674</v>
      </c>
      <c r="BP2" t="s">
        <v>674</v>
      </c>
      <c r="BQ2" t="s">
        <v>674</v>
      </c>
      <c r="BR2" t="s">
        <v>674</v>
      </c>
      <c r="BS2" t="s">
        <v>674</v>
      </c>
      <c r="BT2" t="s">
        <v>674</v>
      </c>
      <c r="BU2" t="s">
        <v>674</v>
      </c>
      <c r="BV2" t="s">
        <v>674</v>
      </c>
      <c r="BW2" t="s">
        <v>674</v>
      </c>
      <c r="BX2" t="s">
        <v>674</v>
      </c>
      <c r="BY2" t="s">
        <v>674</v>
      </c>
      <c r="BZ2" t="s">
        <v>674</v>
      </c>
      <c r="CA2" t="s">
        <v>674</v>
      </c>
      <c r="CB2" t="s">
        <v>674</v>
      </c>
      <c r="CC2" t="s">
        <v>674</v>
      </c>
      <c r="CD2" t="s">
        <v>674</v>
      </c>
      <c r="CE2" t="s">
        <v>674</v>
      </c>
      <c r="CF2" t="s">
        <v>674</v>
      </c>
      <c r="CG2" t="s">
        <v>674</v>
      </c>
      <c r="CH2" t="s">
        <v>674</v>
      </c>
      <c r="CI2" t="s">
        <v>674</v>
      </c>
    </row>
    <row r="3" spans="1:87" x14ac:dyDescent="0.25">
      <c r="A3" t="s">
        <v>889</v>
      </c>
      <c r="B3" t="s">
        <v>890</v>
      </c>
      <c r="C3">
        <v>2016</v>
      </c>
      <c r="D3" t="s">
        <v>891</v>
      </c>
      <c r="E3" t="s">
        <v>892</v>
      </c>
      <c r="F3" t="s">
        <v>674</v>
      </c>
      <c r="G3" t="s">
        <v>893</v>
      </c>
      <c r="H3" t="s">
        <v>674</v>
      </c>
      <c r="I3" t="s">
        <v>674</v>
      </c>
      <c r="J3" t="s">
        <v>674</v>
      </c>
      <c r="K3" t="s">
        <v>674</v>
      </c>
      <c r="L3" t="s">
        <v>894</v>
      </c>
      <c r="M3" s="1">
        <v>46274.900497685187</v>
      </c>
      <c r="N3" s="1">
        <v>46274.900497685187</v>
      </c>
      <c r="O3" s="1"/>
      <c r="P3" t="s">
        <v>674</v>
      </c>
      <c r="Q3" t="s">
        <v>674</v>
      </c>
      <c r="T3" t="s">
        <v>674</v>
      </c>
      <c r="U3" t="s">
        <v>674</v>
      </c>
      <c r="V3" t="s">
        <v>674</v>
      </c>
      <c r="W3" t="s">
        <v>895</v>
      </c>
      <c r="X3" t="s">
        <v>674</v>
      </c>
      <c r="Y3" t="s">
        <v>674</v>
      </c>
      <c r="Z3" t="s">
        <v>674</v>
      </c>
      <c r="AA3" t="s">
        <v>896</v>
      </c>
      <c r="AB3" t="s">
        <v>897</v>
      </c>
      <c r="AC3" t="s">
        <v>97</v>
      </c>
      <c r="AD3" t="s">
        <v>674</v>
      </c>
      <c r="AE3" t="s">
        <v>674</v>
      </c>
      <c r="AF3" t="s">
        <v>674</v>
      </c>
      <c r="AG3" t="s">
        <v>674</v>
      </c>
      <c r="AH3" t="s">
        <v>898</v>
      </c>
      <c r="AI3">
        <v>621312</v>
      </c>
      <c r="AJ3" t="s">
        <v>674</v>
      </c>
      <c r="AK3" t="s">
        <v>674</v>
      </c>
      <c r="AL3" t="s">
        <v>674</v>
      </c>
      <c r="AM3" t="s">
        <v>674</v>
      </c>
      <c r="AN3" t="s">
        <v>674</v>
      </c>
      <c r="AO3" t="s">
        <v>712</v>
      </c>
      <c r="AP3" t="s">
        <v>674</v>
      </c>
      <c r="AQ3" t="s">
        <v>674</v>
      </c>
      <c r="AR3" t="s">
        <v>674</v>
      </c>
      <c r="AS3" t="s">
        <v>674</v>
      </c>
      <c r="AT3" t="s">
        <v>674</v>
      </c>
      <c r="AU3" t="s">
        <v>674</v>
      </c>
      <c r="AV3" t="s">
        <v>674</v>
      </c>
      <c r="AW3" t="s">
        <v>674</v>
      </c>
      <c r="AX3" t="s">
        <v>674</v>
      </c>
      <c r="AY3" t="s">
        <v>674</v>
      </c>
      <c r="AZ3" t="s">
        <v>674</v>
      </c>
      <c r="BA3" t="s">
        <v>674</v>
      </c>
      <c r="BB3" t="s">
        <v>674</v>
      </c>
      <c r="BC3" t="s">
        <v>674</v>
      </c>
      <c r="BD3" t="s">
        <v>674</v>
      </c>
      <c r="BE3" t="s">
        <v>674</v>
      </c>
      <c r="BF3" t="s">
        <v>674</v>
      </c>
      <c r="BG3" t="s">
        <v>674</v>
      </c>
      <c r="BH3" t="s">
        <v>674</v>
      </c>
      <c r="BI3" t="s">
        <v>674</v>
      </c>
      <c r="BJ3" t="s">
        <v>674</v>
      </c>
      <c r="BK3" t="s">
        <v>674</v>
      </c>
      <c r="BL3" t="s">
        <v>674</v>
      </c>
      <c r="BM3" t="s">
        <v>674</v>
      </c>
      <c r="BN3" t="s">
        <v>674</v>
      </c>
      <c r="BO3" t="s">
        <v>674</v>
      </c>
      <c r="BP3" t="s">
        <v>674</v>
      </c>
      <c r="BQ3" t="s">
        <v>674</v>
      </c>
      <c r="BR3" t="s">
        <v>674</v>
      </c>
      <c r="BS3" t="s">
        <v>674</v>
      </c>
      <c r="BT3" t="s">
        <v>674</v>
      </c>
      <c r="BU3" t="s">
        <v>674</v>
      </c>
      <c r="BV3" t="s">
        <v>674</v>
      </c>
      <c r="BW3" t="s">
        <v>674</v>
      </c>
      <c r="BX3" t="s">
        <v>674</v>
      </c>
      <c r="BY3" t="s">
        <v>674</v>
      </c>
      <c r="BZ3" t="s">
        <v>674</v>
      </c>
      <c r="CA3" t="s">
        <v>674</v>
      </c>
      <c r="CB3" t="s">
        <v>674</v>
      </c>
      <c r="CC3" t="s">
        <v>674</v>
      </c>
      <c r="CD3" t="s">
        <v>674</v>
      </c>
      <c r="CE3" t="s">
        <v>674</v>
      </c>
      <c r="CF3" t="s">
        <v>674</v>
      </c>
      <c r="CG3" t="s">
        <v>674</v>
      </c>
      <c r="CH3" t="s">
        <v>674</v>
      </c>
      <c r="CI3" t="s">
        <v>674</v>
      </c>
    </row>
    <row r="4" spans="1:87" x14ac:dyDescent="0.25">
      <c r="A4" t="s">
        <v>880</v>
      </c>
      <c r="B4" t="s">
        <v>88</v>
      </c>
      <c r="C4">
        <v>2026</v>
      </c>
      <c r="D4" t="s">
        <v>881</v>
      </c>
      <c r="E4" t="s">
        <v>882</v>
      </c>
      <c r="F4" t="s">
        <v>499</v>
      </c>
      <c r="G4" t="s">
        <v>674</v>
      </c>
      <c r="H4" t="s">
        <v>500</v>
      </c>
      <c r="I4" t="s">
        <v>883</v>
      </c>
      <c r="J4" t="s">
        <v>884</v>
      </c>
      <c r="K4" t="s">
        <v>885</v>
      </c>
      <c r="L4" t="s">
        <v>886</v>
      </c>
      <c r="M4" s="1">
        <v>46274.900416666664</v>
      </c>
      <c r="N4" s="1">
        <v>46274.900439814817</v>
      </c>
      <c r="O4" s="1">
        <v>46274.900416666664</v>
      </c>
      <c r="P4" t="s">
        <v>887</v>
      </c>
      <c r="Q4" t="s">
        <v>674</v>
      </c>
      <c r="R4">
        <v>4</v>
      </c>
      <c r="S4">
        <v>41</v>
      </c>
      <c r="T4" t="s">
        <v>674</v>
      </c>
      <c r="U4" t="s">
        <v>505</v>
      </c>
      <c r="V4" t="s">
        <v>674</v>
      </c>
      <c r="W4" t="s">
        <v>674</v>
      </c>
      <c r="X4" t="s">
        <v>674</v>
      </c>
      <c r="Y4" t="s">
        <v>674</v>
      </c>
      <c r="Z4" t="s">
        <v>674</v>
      </c>
      <c r="AA4" t="s">
        <v>674</v>
      </c>
      <c r="AB4" t="s">
        <v>674</v>
      </c>
      <c r="AC4" t="s">
        <v>97</v>
      </c>
      <c r="AD4" t="s">
        <v>122</v>
      </c>
      <c r="AE4" t="s">
        <v>674</v>
      </c>
      <c r="AF4" t="s">
        <v>674</v>
      </c>
      <c r="AG4" t="s">
        <v>674</v>
      </c>
      <c r="AH4" t="s">
        <v>99</v>
      </c>
      <c r="AJ4" t="s">
        <v>674</v>
      </c>
      <c r="AK4" t="s">
        <v>674</v>
      </c>
      <c r="AL4" t="s">
        <v>888</v>
      </c>
      <c r="AM4" t="s">
        <v>674</v>
      </c>
      <c r="AN4" t="s">
        <v>674</v>
      </c>
      <c r="AO4" t="s">
        <v>712</v>
      </c>
      <c r="AP4" t="s">
        <v>674</v>
      </c>
      <c r="AQ4" t="s">
        <v>674</v>
      </c>
      <c r="AR4" t="s">
        <v>674</v>
      </c>
      <c r="AS4" t="s">
        <v>674</v>
      </c>
      <c r="AT4" t="s">
        <v>674</v>
      </c>
      <c r="AU4" t="s">
        <v>674</v>
      </c>
      <c r="AV4" t="s">
        <v>674</v>
      </c>
      <c r="AW4" t="s">
        <v>674</v>
      </c>
      <c r="AX4" t="s">
        <v>674</v>
      </c>
      <c r="AY4" t="s">
        <v>674</v>
      </c>
      <c r="AZ4" t="s">
        <v>674</v>
      </c>
      <c r="BA4" t="s">
        <v>674</v>
      </c>
      <c r="BB4" t="s">
        <v>674</v>
      </c>
      <c r="BC4" t="s">
        <v>674</v>
      </c>
      <c r="BD4" t="s">
        <v>674</v>
      </c>
      <c r="BE4" t="s">
        <v>674</v>
      </c>
      <c r="BF4" t="s">
        <v>674</v>
      </c>
      <c r="BG4" t="s">
        <v>674</v>
      </c>
      <c r="BH4" t="s">
        <v>674</v>
      </c>
      <c r="BI4" t="s">
        <v>674</v>
      </c>
      <c r="BJ4" t="s">
        <v>674</v>
      </c>
      <c r="BK4" t="s">
        <v>674</v>
      </c>
      <c r="BL4" t="s">
        <v>674</v>
      </c>
      <c r="BM4" t="s">
        <v>674</v>
      </c>
      <c r="BN4" t="s">
        <v>674</v>
      </c>
      <c r="BO4" t="s">
        <v>674</v>
      </c>
      <c r="BP4" t="s">
        <v>674</v>
      </c>
      <c r="BQ4" t="s">
        <v>674</v>
      </c>
      <c r="BR4" t="s">
        <v>674</v>
      </c>
      <c r="BS4" t="s">
        <v>674</v>
      </c>
      <c r="BT4" t="s">
        <v>674</v>
      </c>
      <c r="BU4" t="s">
        <v>674</v>
      </c>
      <c r="BV4" t="s">
        <v>674</v>
      </c>
      <c r="BW4" t="s">
        <v>674</v>
      </c>
      <c r="BX4" t="s">
        <v>674</v>
      </c>
      <c r="BY4" t="s">
        <v>674</v>
      </c>
      <c r="BZ4" t="s">
        <v>674</v>
      </c>
      <c r="CA4" t="s">
        <v>674</v>
      </c>
      <c r="CB4" t="s">
        <v>674</v>
      </c>
      <c r="CC4" t="s">
        <v>674</v>
      </c>
      <c r="CD4" t="s">
        <v>674</v>
      </c>
      <c r="CE4" t="s">
        <v>674</v>
      </c>
      <c r="CF4" t="s">
        <v>674</v>
      </c>
      <c r="CG4" t="s">
        <v>674</v>
      </c>
      <c r="CH4" t="s">
        <v>674</v>
      </c>
      <c r="CI4" t="s">
        <v>674</v>
      </c>
    </row>
    <row r="5" spans="1:87" x14ac:dyDescent="0.25">
      <c r="A5" t="s">
        <v>877</v>
      </c>
      <c r="B5" t="s">
        <v>88</v>
      </c>
      <c r="D5" t="s">
        <v>871</v>
      </c>
      <c r="E5" t="s">
        <v>878</v>
      </c>
      <c r="F5" t="s">
        <v>674</v>
      </c>
      <c r="G5" t="s">
        <v>674</v>
      </c>
      <c r="H5" t="s">
        <v>674</v>
      </c>
      <c r="I5" t="s">
        <v>674</v>
      </c>
      <c r="J5" t="s">
        <v>674</v>
      </c>
      <c r="K5" t="s">
        <v>674</v>
      </c>
      <c r="L5" t="s">
        <v>674</v>
      </c>
      <c r="M5" s="1">
        <v>46274.900300925925</v>
      </c>
      <c r="N5" s="1">
        <v>46274.900300925925</v>
      </c>
      <c r="O5" s="1"/>
      <c r="P5" t="s">
        <v>674</v>
      </c>
      <c r="Q5" t="s">
        <v>674</v>
      </c>
      <c r="R5">
        <v>2</v>
      </c>
      <c r="T5" t="s">
        <v>674</v>
      </c>
      <c r="U5" t="s">
        <v>674</v>
      </c>
      <c r="V5" t="s">
        <v>674</v>
      </c>
      <c r="W5" t="s">
        <v>674</v>
      </c>
      <c r="X5" t="s">
        <v>674</v>
      </c>
      <c r="Y5" t="s">
        <v>674</v>
      </c>
      <c r="Z5" t="s">
        <v>674</v>
      </c>
      <c r="AA5" t="s">
        <v>674</v>
      </c>
      <c r="AB5" t="s">
        <v>674</v>
      </c>
      <c r="AC5" t="s">
        <v>710</v>
      </c>
      <c r="AD5" t="s">
        <v>674</v>
      </c>
      <c r="AE5" t="s">
        <v>674</v>
      </c>
      <c r="AF5" t="s">
        <v>674</v>
      </c>
      <c r="AG5" t="s">
        <v>674</v>
      </c>
      <c r="AH5" t="s">
        <v>163</v>
      </c>
      <c r="AJ5" t="s">
        <v>674</v>
      </c>
      <c r="AK5" t="s">
        <v>674</v>
      </c>
      <c r="AL5" t="s">
        <v>879</v>
      </c>
      <c r="AM5" t="s">
        <v>674</v>
      </c>
      <c r="AN5" t="s">
        <v>674</v>
      </c>
      <c r="AO5" t="s">
        <v>712</v>
      </c>
      <c r="AP5" t="s">
        <v>674</v>
      </c>
      <c r="AQ5" t="s">
        <v>674</v>
      </c>
      <c r="AR5" t="s">
        <v>674</v>
      </c>
      <c r="AS5" t="s">
        <v>674</v>
      </c>
      <c r="AT5" t="s">
        <v>674</v>
      </c>
      <c r="AU5" t="s">
        <v>674</v>
      </c>
      <c r="AV5" t="s">
        <v>674</v>
      </c>
      <c r="AW5" t="s">
        <v>674</v>
      </c>
      <c r="AX5" t="s">
        <v>674</v>
      </c>
      <c r="AY5" t="s">
        <v>674</v>
      </c>
      <c r="AZ5" t="s">
        <v>674</v>
      </c>
      <c r="BA5" t="s">
        <v>674</v>
      </c>
      <c r="BB5" t="s">
        <v>674</v>
      </c>
      <c r="BC5" t="s">
        <v>674</v>
      </c>
      <c r="BD5" t="s">
        <v>674</v>
      </c>
      <c r="BE5" t="s">
        <v>674</v>
      </c>
      <c r="BF5" t="s">
        <v>674</v>
      </c>
      <c r="BG5" t="s">
        <v>674</v>
      </c>
      <c r="BH5" t="s">
        <v>674</v>
      </c>
      <c r="BI5" t="s">
        <v>674</v>
      </c>
      <c r="BJ5" t="s">
        <v>674</v>
      </c>
      <c r="BK5" t="s">
        <v>674</v>
      </c>
      <c r="BL5" t="s">
        <v>674</v>
      </c>
      <c r="BM5" t="s">
        <v>674</v>
      </c>
      <c r="BN5" t="s">
        <v>674</v>
      </c>
      <c r="BO5" t="s">
        <v>674</v>
      </c>
      <c r="BP5" t="s">
        <v>674</v>
      </c>
      <c r="BQ5" t="s">
        <v>674</v>
      </c>
      <c r="BR5" t="s">
        <v>674</v>
      </c>
      <c r="BS5" t="s">
        <v>674</v>
      </c>
      <c r="BT5" t="s">
        <v>674</v>
      </c>
      <c r="BU5" t="s">
        <v>674</v>
      </c>
      <c r="BV5" t="s">
        <v>674</v>
      </c>
      <c r="BW5" t="s">
        <v>674</v>
      </c>
      <c r="BX5" t="s">
        <v>674</v>
      </c>
      <c r="BY5" t="s">
        <v>674</v>
      </c>
      <c r="BZ5" t="s">
        <v>674</v>
      </c>
      <c r="CA5" t="s">
        <v>674</v>
      </c>
      <c r="CB5" t="s">
        <v>674</v>
      </c>
      <c r="CC5" t="s">
        <v>674</v>
      </c>
      <c r="CD5" t="s">
        <v>674</v>
      </c>
      <c r="CE5" t="s">
        <v>674</v>
      </c>
      <c r="CF5" t="s">
        <v>674</v>
      </c>
      <c r="CG5" t="s">
        <v>674</v>
      </c>
      <c r="CH5" t="s">
        <v>674</v>
      </c>
      <c r="CI5" t="s">
        <v>674</v>
      </c>
    </row>
    <row r="6" spans="1:87" x14ac:dyDescent="0.25">
      <c r="A6" t="s">
        <v>874</v>
      </c>
      <c r="B6" t="s">
        <v>88</v>
      </c>
      <c r="D6" t="s">
        <v>871</v>
      </c>
      <c r="E6" t="s">
        <v>875</v>
      </c>
      <c r="F6" t="s">
        <v>674</v>
      </c>
      <c r="G6" t="s">
        <v>674</v>
      </c>
      <c r="H6" t="s">
        <v>674</v>
      </c>
      <c r="I6" t="s">
        <v>674</v>
      </c>
      <c r="J6" t="s">
        <v>674</v>
      </c>
      <c r="K6" t="s">
        <v>674</v>
      </c>
      <c r="L6" t="s">
        <v>674</v>
      </c>
      <c r="M6" s="1">
        <v>46274.900254629632</v>
      </c>
      <c r="N6" s="1">
        <v>46274.900266203702</v>
      </c>
      <c r="O6" s="1"/>
      <c r="P6" t="s">
        <v>674</v>
      </c>
      <c r="Q6" t="s">
        <v>674</v>
      </c>
      <c r="R6">
        <v>2</v>
      </c>
      <c r="T6" t="s">
        <v>674</v>
      </c>
      <c r="U6" t="s">
        <v>674</v>
      </c>
      <c r="V6" t="s">
        <v>674</v>
      </c>
      <c r="W6" t="s">
        <v>674</v>
      </c>
      <c r="X6" t="s">
        <v>674</v>
      </c>
      <c r="Y6" t="s">
        <v>674</v>
      </c>
      <c r="Z6" t="s">
        <v>674</v>
      </c>
      <c r="AA6" t="s">
        <v>674</v>
      </c>
      <c r="AB6" t="s">
        <v>674</v>
      </c>
      <c r="AC6" t="s">
        <v>710</v>
      </c>
      <c r="AD6" t="s">
        <v>674</v>
      </c>
      <c r="AE6" t="s">
        <v>674</v>
      </c>
      <c r="AF6" t="s">
        <v>674</v>
      </c>
      <c r="AG6" t="s">
        <v>674</v>
      </c>
      <c r="AH6" t="s">
        <v>163</v>
      </c>
      <c r="AJ6" t="s">
        <v>674</v>
      </c>
      <c r="AK6" t="s">
        <v>674</v>
      </c>
      <c r="AL6" t="s">
        <v>876</v>
      </c>
      <c r="AM6" t="s">
        <v>674</v>
      </c>
      <c r="AN6" t="s">
        <v>674</v>
      </c>
      <c r="AO6" t="s">
        <v>712</v>
      </c>
      <c r="AP6" t="s">
        <v>674</v>
      </c>
      <c r="AQ6" t="s">
        <v>674</v>
      </c>
      <c r="AR6" t="s">
        <v>674</v>
      </c>
      <c r="AS6" t="s">
        <v>674</v>
      </c>
      <c r="AT6" t="s">
        <v>674</v>
      </c>
      <c r="AU6" t="s">
        <v>674</v>
      </c>
      <c r="AV6" t="s">
        <v>674</v>
      </c>
      <c r="AW6" t="s">
        <v>674</v>
      </c>
      <c r="AX6" t="s">
        <v>674</v>
      </c>
      <c r="AY6" t="s">
        <v>674</v>
      </c>
      <c r="AZ6" t="s">
        <v>674</v>
      </c>
      <c r="BA6" t="s">
        <v>674</v>
      </c>
      <c r="BB6" t="s">
        <v>674</v>
      </c>
      <c r="BC6" t="s">
        <v>674</v>
      </c>
      <c r="BD6" t="s">
        <v>674</v>
      </c>
      <c r="BE6" t="s">
        <v>674</v>
      </c>
      <c r="BF6" t="s">
        <v>674</v>
      </c>
      <c r="BG6" t="s">
        <v>674</v>
      </c>
      <c r="BH6" t="s">
        <v>674</v>
      </c>
      <c r="BI6" t="s">
        <v>674</v>
      </c>
      <c r="BJ6" t="s">
        <v>674</v>
      </c>
      <c r="BK6" t="s">
        <v>674</v>
      </c>
      <c r="BL6" t="s">
        <v>674</v>
      </c>
      <c r="BM6" t="s">
        <v>674</v>
      </c>
      <c r="BN6" t="s">
        <v>674</v>
      </c>
      <c r="BO6" t="s">
        <v>674</v>
      </c>
      <c r="BP6" t="s">
        <v>674</v>
      </c>
      <c r="BQ6" t="s">
        <v>674</v>
      </c>
      <c r="BR6" t="s">
        <v>674</v>
      </c>
      <c r="BS6" t="s">
        <v>674</v>
      </c>
      <c r="BT6" t="s">
        <v>674</v>
      </c>
      <c r="BU6" t="s">
        <v>674</v>
      </c>
      <c r="BV6" t="s">
        <v>674</v>
      </c>
      <c r="BW6" t="s">
        <v>674</v>
      </c>
      <c r="BX6" t="s">
        <v>674</v>
      </c>
      <c r="BY6" t="s">
        <v>674</v>
      </c>
      <c r="BZ6" t="s">
        <v>674</v>
      </c>
      <c r="CA6" t="s">
        <v>674</v>
      </c>
      <c r="CB6" t="s">
        <v>674</v>
      </c>
      <c r="CC6" t="s">
        <v>674</v>
      </c>
      <c r="CD6" t="s">
        <v>674</v>
      </c>
      <c r="CE6" t="s">
        <v>674</v>
      </c>
      <c r="CF6" t="s">
        <v>674</v>
      </c>
      <c r="CG6" t="s">
        <v>674</v>
      </c>
      <c r="CH6" t="s">
        <v>674</v>
      </c>
      <c r="CI6" t="s">
        <v>674</v>
      </c>
    </row>
    <row r="7" spans="1:87" x14ac:dyDescent="0.25">
      <c r="A7" t="s">
        <v>870</v>
      </c>
      <c r="B7" t="s">
        <v>88</v>
      </c>
      <c r="D7" t="s">
        <v>871</v>
      </c>
      <c r="E7" t="s">
        <v>872</v>
      </c>
      <c r="F7" t="s">
        <v>674</v>
      </c>
      <c r="G7" t="s">
        <v>674</v>
      </c>
      <c r="H7" t="s">
        <v>674</v>
      </c>
      <c r="I7" t="s">
        <v>674</v>
      </c>
      <c r="J7" t="s">
        <v>674</v>
      </c>
      <c r="K7" t="s">
        <v>674</v>
      </c>
      <c r="L7" t="s">
        <v>674</v>
      </c>
      <c r="M7" s="1">
        <v>46274.900208333333</v>
      </c>
      <c r="N7" s="1">
        <v>46274.900208333333</v>
      </c>
      <c r="O7" s="1"/>
      <c r="P7" t="s">
        <v>674</v>
      </c>
      <c r="Q7" t="s">
        <v>674</v>
      </c>
      <c r="T7" t="s">
        <v>674</v>
      </c>
      <c r="U7" t="s">
        <v>674</v>
      </c>
      <c r="V7" t="s">
        <v>674</v>
      </c>
      <c r="W7" t="s">
        <v>674</v>
      </c>
      <c r="X7" t="s">
        <v>674</v>
      </c>
      <c r="Y7" t="s">
        <v>674</v>
      </c>
      <c r="Z7" t="s">
        <v>674</v>
      </c>
      <c r="AA7" t="s">
        <v>674</v>
      </c>
      <c r="AB7" t="s">
        <v>674</v>
      </c>
      <c r="AC7" t="s">
        <v>710</v>
      </c>
      <c r="AD7" t="s">
        <v>674</v>
      </c>
      <c r="AE7" t="s">
        <v>674</v>
      </c>
      <c r="AF7" t="s">
        <v>674</v>
      </c>
      <c r="AG7" t="s">
        <v>674</v>
      </c>
      <c r="AH7" t="s">
        <v>163</v>
      </c>
      <c r="AJ7" t="s">
        <v>674</v>
      </c>
      <c r="AK7" t="s">
        <v>674</v>
      </c>
      <c r="AL7" t="s">
        <v>873</v>
      </c>
      <c r="AM7" t="s">
        <v>674</v>
      </c>
      <c r="AN7" t="s">
        <v>674</v>
      </c>
      <c r="AO7" t="s">
        <v>712</v>
      </c>
      <c r="AP7" t="s">
        <v>674</v>
      </c>
      <c r="AQ7" t="s">
        <v>674</v>
      </c>
      <c r="AR7" t="s">
        <v>674</v>
      </c>
      <c r="AS7" t="s">
        <v>674</v>
      </c>
      <c r="AT7" t="s">
        <v>674</v>
      </c>
      <c r="AU7" t="s">
        <v>674</v>
      </c>
      <c r="AV7" t="s">
        <v>674</v>
      </c>
      <c r="AW7" t="s">
        <v>674</v>
      </c>
      <c r="AX7" t="s">
        <v>674</v>
      </c>
      <c r="AY7" t="s">
        <v>674</v>
      </c>
      <c r="AZ7" t="s">
        <v>674</v>
      </c>
      <c r="BA7" t="s">
        <v>674</v>
      </c>
      <c r="BB7" t="s">
        <v>674</v>
      </c>
      <c r="BC7" t="s">
        <v>674</v>
      </c>
      <c r="BD7" t="s">
        <v>674</v>
      </c>
      <c r="BE7" t="s">
        <v>674</v>
      </c>
      <c r="BF7" t="s">
        <v>674</v>
      </c>
      <c r="BG7" t="s">
        <v>674</v>
      </c>
      <c r="BH7" t="s">
        <v>674</v>
      </c>
      <c r="BI7" t="s">
        <v>674</v>
      </c>
      <c r="BJ7" t="s">
        <v>674</v>
      </c>
      <c r="BK7" t="s">
        <v>674</v>
      </c>
      <c r="BL7" t="s">
        <v>674</v>
      </c>
      <c r="BM7" t="s">
        <v>674</v>
      </c>
      <c r="BN7" t="s">
        <v>674</v>
      </c>
      <c r="BO7" t="s">
        <v>674</v>
      </c>
      <c r="BP7" t="s">
        <v>674</v>
      </c>
      <c r="BQ7" t="s">
        <v>674</v>
      </c>
      <c r="BR7" t="s">
        <v>674</v>
      </c>
      <c r="BS7" t="s">
        <v>674</v>
      </c>
      <c r="BT7" t="s">
        <v>674</v>
      </c>
      <c r="BU7" t="s">
        <v>674</v>
      </c>
      <c r="BV7" t="s">
        <v>674</v>
      </c>
      <c r="BW7" t="s">
        <v>674</v>
      </c>
      <c r="BX7" t="s">
        <v>674</v>
      </c>
      <c r="BY7" t="s">
        <v>674</v>
      </c>
      <c r="BZ7" t="s">
        <v>674</v>
      </c>
      <c r="CA7" t="s">
        <v>674</v>
      </c>
      <c r="CB7" t="s">
        <v>674</v>
      </c>
      <c r="CC7" t="s">
        <v>674</v>
      </c>
      <c r="CD7" t="s">
        <v>674</v>
      </c>
      <c r="CE7" t="s">
        <v>674</v>
      </c>
      <c r="CF7" t="s">
        <v>674</v>
      </c>
      <c r="CG7" t="s">
        <v>674</v>
      </c>
      <c r="CH7" t="s">
        <v>674</v>
      </c>
      <c r="CI7" t="s">
        <v>674</v>
      </c>
    </row>
    <row r="8" spans="1:87" x14ac:dyDescent="0.25">
      <c r="A8" t="s">
        <v>859</v>
      </c>
      <c r="B8" t="s">
        <v>88</v>
      </c>
      <c r="C8">
        <v>2016</v>
      </c>
      <c r="D8" t="s">
        <v>860</v>
      </c>
      <c r="E8" t="s">
        <v>861</v>
      </c>
      <c r="F8" t="s">
        <v>862</v>
      </c>
      <c r="G8" t="s">
        <v>674</v>
      </c>
      <c r="H8" t="s">
        <v>863</v>
      </c>
      <c r="I8" t="s">
        <v>864</v>
      </c>
      <c r="J8" t="s">
        <v>865</v>
      </c>
      <c r="K8" t="s">
        <v>674</v>
      </c>
      <c r="L8" t="s">
        <v>866</v>
      </c>
      <c r="M8" s="1">
        <v>46274.90016203704</v>
      </c>
      <c r="N8" s="1">
        <v>46274.900173611109</v>
      </c>
      <c r="O8" s="1">
        <v>46274.90016203704</v>
      </c>
      <c r="P8" t="s">
        <v>867</v>
      </c>
      <c r="Q8" t="s">
        <v>674</v>
      </c>
      <c r="R8">
        <v>12</v>
      </c>
      <c r="S8">
        <v>1</v>
      </c>
      <c r="T8" t="s">
        <v>674</v>
      </c>
      <c r="U8" t="s">
        <v>868</v>
      </c>
      <c r="V8" t="s">
        <v>674</v>
      </c>
      <c r="W8" t="s">
        <v>674</v>
      </c>
      <c r="X8" t="s">
        <v>674</v>
      </c>
      <c r="Y8" t="s">
        <v>674</v>
      </c>
      <c r="Z8" t="s">
        <v>674</v>
      </c>
      <c r="AA8" t="s">
        <v>674</v>
      </c>
      <c r="AB8" t="s">
        <v>674</v>
      </c>
      <c r="AC8" t="s">
        <v>97</v>
      </c>
      <c r="AD8" t="s">
        <v>674</v>
      </c>
      <c r="AE8" t="s">
        <v>674</v>
      </c>
      <c r="AF8" t="s">
        <v>674</v>
      </c>
      <c r="AG8" t="s">
        <v>674</v>
      </c>
      <c r="AH8" t="s">
        <v>99</v>
      </c>
      <c r="AJ8" t="s">
        <v>674</v>
      </c>
      <c r="AK8" t="s">
        <v>674</v>
      </c>
      <c r="AL8" t="s">
        <v>869</v>
      </c>
      <c r="AM8" t="s">
        <v>674</v>
      </c>
      <c r="AN8" t="s">
        <v>674</v>
      </c>
      <c r="AO8" t="s">
        <v>712</v>
      </c>
      <c r="AP8" t="s">
        <v>674</v>
      </c>
      <c r="AQ8" t="s">
        <v>674</v>
      </c>
      <c r="AR8" t="s">
        <v>674</v>
      </c>
      <c r="AS8" t="s">
        <v>674</v>
      </c>
      <c r="AT8" t="s">
        <v>674</v>
      </c>
      <c r="AU8" t="s">
        <v>674</v>
      </c>
      <c r="AV8" t="s">
        <v>674</v>
      </c>
      <c r="AW8" t="s">
        <v>674</v>
      </c>
      <c r="AX8" t="s">
        <v>674</v>
      </c>
      <c r="AY8" t="s">
        <v>674</v>
      </c>
      <c r="AZ8" t="s">
        <v>674</v>
      </c>
      <c r="BA8" t="s">
        <v>674</v>
      </c>
      <c r="BB8" t="s">
        <v>674</v>
      </c>
      <c r="BC8" t="s">
        <v>674</v>
      </c>
      <c r="BD8" t="s">
        <v>674</v>
      </c>
      <c r="BE8" t="s">
        <v>674</v>
      </c>
      <c r="BF8" t="s">
        <v>674</v>
      </c>
      <c r="BG8" t="s">
        <v>674</v>
      </c>
      <c r="BH8" t="s">
        <v>674</v>
      </c>
      <c r="BI8" t="s">
        <v>674</v>
      </c>
      <c r="BJ8" t="s">
        <v>674</v>
      </c>
      <c r="BK8" t="s">
        <v>674</v>
      </c>
      <c r="BL8" t="s">
        <v>674</v>
      </c>
      <c r="BM8" t="s">
        <v>674</v>
      </c>
      <c r="BN8" t="s">
        <v>674</v>
      </c>
      <c r="BO8" t="s">
        <v>674</v>
      </c>
      <c r="BP8" t="s">
        <v>674</v>
      </c>
      <c r="BQ8" t="s">
        <v>674</v>
      </c>
      <c r="BR8" t="s">
        <v>674</v>
      </c>
      <c r="BS8" t="s">
        <v>674</v>
      </c>
      <c r="BT8" t="s">
        <v>674</v>
      </c>
      <c r="BU8" t="s">
        <v>674</v>
      </c>
      <c r="BV8" t="s">
        <v>674</v>
      </c>
      <c r="BW8" t="s">
        <v>674</v>
      </c>
      <c r="BX8" t="s">
        <v>674</v>
      </c>
      <c r="BY8" t="s">
        <v>674</v>
      </c>
      <c r="BZ8" t="s">
        <v>674</v>
      </c>
      <c r="CA8" t="s">
        <v>674</v>
      </c>
      <c r="CB8" t="s">
        <v>674</v>
      </c>
      <c r="CC8" t="s">
        <v>674</v>
      </c>
      <c r="CD8" t="s">
        <v>674</v>
      </c>
      <c r="CE8" t="s">
        <v>674</v>
      </c>
      <c r="CF8" t="s">
        <v>674</v>
      </c>
      <c r="CG8" t="s">
        <v>674</v>
      </c>
      <c r="CH8" t="s">
        <v>674</v>
      </c>
      <c r="CI8" t="s">
        <v>674</v>
      </c>
    </row>
    <row r="9" spans="1:87" x14ac:dyDescent="0.25">
      <c r="A9" t="s">
        <v>847</v>
      </c>
      <c r="B9" t="s">
        <v>126</v>
      </c>
      <c r="C9">
        <v>2016</v>
      </c>
      <c r="D9" t="s">
        <v>848</v>
      </c>
      <c r="E9" t="s">
        <v>849</v>
      </c>
      <c r="F9" t="s">
        <v>850</v>
      </c>
      <c r="G9" t="s">
        <v>851</v>
      </c>
      <c r="H9" t="s">
        <v>674</v>
      </c>
      <c r="I9" t="s">
        <v>852</v>
      </c>
      <c r="J9" t="s">
        <v>853</v>
      </c>
      <c r="K9" t="s">
        <v>854</v>
      </c>
      <c r="L9" t="s">
        <v>855</v>
      </c>
      <c r="M9" s="1">
        <v>46274.900092592594</v>
      </c>
      <c r="N9" s="1">
        <v>46274.90011574074</v>
      </c>
      <c r="O9" s="1">
        <v>46274.900092592594</v>
      </c>
      <c r="P9" t="s">
        <v>856</v>
      </c>
      <c r="Q9" t="s">
        <v>674</v>
      </c>
      <c r="T9" t="s">
        <v>674</v>
      </c>
      <c r="U9" t="s">
        <v>674</v>
      </c>
      <c r="V9" t="s">
        <v>674</v>
      </c>
      <c r="W9" t="s">
        <v>674</v>
      </c>
      <c r="X9" t="s">
        <v>674</v>
      </c>
      <c r="Y9" t="s">
        <v>674</v>
      </c>
      <c r="Z9" t="s">
        <v>674</v>
      </c>
      <c r="AA9" t="s">
        <v>133</v>
      </c>
      <c r="AB9" t="s">
        <v>857</v>
      </c>
      <c r="AC9" t="s">
        <v>97</v>
      </c>
      <c r="AD9" t="s">
        <v>674</v>
      </c>
      <c r="AE9" t="s">
        <v>674</v>
      </c>
      <c r="AF9" t="s">
        <v>674</v>
      </c>
      <c r="AG9" t="s">
        <v>674</v>
      </c>
      <c r="AH9" t="s">
        <v>99</v>
      </c>
      <c r="AJ9" t="s">
        <v>674</v>
      </c>
      <c r="AK9" t="s">
        <v>674</v>
      </c>
      <c r="AL9" t="s">
        <v>858</v>
      </c>
      <c r="AM9" t="s">
        <v>674</v>
      </c>
      <c r="AN9" t="s">
        <v>674</v>
      </c>
      <c r="AO9" t="s">
        <v>712</v>
      </c>
      <c r="AP9" t="s">
        <v>674</v>
      </c>
      <c r="AQ9" t="s">
        <v>674</v>
      </c>
      <c r="AR9" t="s">
        <v>674</v>
      </c>
      <c r="AS9" t="s">
        <v>674</v>
      </c>
      <c r="AT9" t="s">
        <v>674</v>
      </c>
      <c r="AU9" t="s">
        <v>674</v>
      </c>
      <c r="AV9" t="s">
        <v>674</v>
      </c>
      <c r="AW9" t="s">
        <v>674</v>
      </c>
      <c r="AX9" t="s">
        <v>674</v>
      </c>
      <c r="AY9" t="s">
        <v>674</v>
      </c>
      <c r="AZ9" t="s">
        <v>674</v>
      </c>
      <c r="BA9" t="s">
        <v>674</v>
      </c>
      <c r="BB9" t="s">
        <v>674</v>
      </c>
      <c r="BC9" t="s">
        <v>674</v>
      </c>
      <c r="BD9" t="s">
        <v>674</v>
      </c>
      <c r="BE9" t="s">
        <v>674</v>
      </c>
      <c r="BF9" t="s">
        <v>674</v>
      </c>
      <c r="BG9" t="s">
        <v>674</v>
      </c>
      <c r="BH9" t="s">
        <v>674</v>
      </c>
      <c r="BI9" t="s">
        <v>674</v>
      </c>
      <c r="BJ9" t="s">
        <v>674</v>
      </c>
      <c r="BK9" t="s">
        <v>674</v>
      </c>
      <c r="BL9" t="s">
        <v>674</v>
      </c>
      <c r="BM9" t="s">
        <v>674</v>
      </c>
      <c r="BN9" t="s">
        <v>674</v>
      </c>
      <c r="BO9" t="s">
        <v>674</v>
      </c>
      <c r="BP9" t="s">
        <v>674</v>
      </c>
      <c r="BQ9" t="s">
        <v>674</v>
      </c>
      <c r="BR9" t="s">
        <v>674</v>
      </c>
      <c r="BS9" t="s">
        <v>674</v>
      </c>
      <c r="BT9" t="s">
        <v>850</v>
      </c>
      <c r="BU9" t="s">
        <v>674</v>
      </c>
      <c r="BV9" t="s">
        <v>674</v>
      </c>
      <c r="BW9" t="s">
        <v>674</v>
      </c>
      <c r="BX9" t="s">
        <v>674</v>
      </c>
      <c r="BY9" t="s">
        <v>674</v>
      </c>
      <c r="BZ9" t="s">
        <v>674</v>
      </c>
      <c r="CA9" t="s">
        <v>674</v>
      </c>
      <c r="CB9" t="s">
        <v>674</v>
      </c>
      <c r="CC9" t="s">
        <v>674</v>
      </c>
      <c r="CD9" t="s">
        <v>674</v>
      </c>
      <c r="CE9" t="s">
        <v>674</v>
      </c>
      <c r="CF9" t="s">
        <v>674</v>
      </c>
      <c r="CG9" t="s">
        <v>674</v>
      </c>
      <c r="CH9" t="s">
        <v>674</v>
      </c>
      <c r="CI9" t="s">
        <v>674</v>
      </c>
    </row>
    <row r="10" spans="1:87" x14ac:dyDescent="0.25">
      <c r="A10" t="s">
        <v>838</v>
      </c>
      <c r="B10" t="s">
        <v>88</v>
      </c>
      <c r="C10">
        <v>2013</v>
      </c>
      <c r="D10" t="s">
        <v>839</v>
      </c>
      <c r="E10" t="s">
        <v>840</v>
      </c>
      <c r="F10" t="s">
        <v>115</v>
      </c>
      <c r="G10" t="s">
        <v>674</v>
      </c>
      <c r="H10" t="s">
        <v>116</v>
      </c>
      <c r="I10" t="s">
        <v>841</v>
      </c>
      <c r="J10" t="s">
        <v>842</v>
      </c>
      <c r="K10" t="s">
        <v>843</v>
      </c>
      <c r="L10" t="s">
        <v>844</v>
      </c>
      <c r="M10" s="1">
        <v>46274.900034722225</v>
      </c>
      <c r="N10" s="1">
        <v>46274.900046296294</v>
      </c>
      <c r="O10" s="1">
        <v>46274.900034722225</v>
      </c>
      <c r="P10" t="s">
        <v>845</v>
      </c>
      <c r="Q10" t="s">
        <v>674</v>
      </c>
      <c r="R10">
        <v>8</v>
      </c>
      <c r="S10">
        <v>60</v>
      </c>
      <c r="T10" t="s">
        <v>674</v>
      </c>
      <c r="U10" t="s">
        <v>121</v>
      </c>
      <c r="V10" t="s">
        <v>674</v>
      </c>
      <c r="W10" t="s">
        <v>674</v>
      </c>
      <c r="X10" t="s">
        <v>674</v>
      </c>
      <c r="Y10" t="s">
        <v>674</v>
      </c>
      <c r="Z10" t="s">
        <v>674</v>
      </c>
      <c r="AA10" t="s">
        <v>674</v>
      </c>
      <c r="AB10" t="s">
        <v>674</v>
      </c>
      <c r="AC10" t="s">
        <v>97</v>
      </c>
      <c r="AD10" t="s">
        <v>122</v>
      </c>
      <c r="AE10" t="s">
        <v>674</v>
      </c>
      <c r="AF10" t="s">
        <v>674</v>
      </c>
      <c r="AG10" t="s">
        <v>674</v>
      </c>
      <c r="AH10" t="s">
        <v>99</v>
      </c>
      <c r="AJ10" t="s">
        <v>674</v>
      </c>
      <c r="AK10" t="s">
        <v>674</v>
      </c>
      <c r="AL10" t="s">
        <v>846</v>
      </c>
      <c r="AM10" t="s">
        <v>674</v>
      </c>
      <c r="AN10" t="s">
        <v>674</v>
      </c>
      <c r="AO10" t="s">
        <v>712</v>
      </c>
      <c r="AP10" t="s">
        <v>674</v>
      </c>
      <c r="AQ10" t="s">
        <v>674</v>
      </c>
      <c r="AR10" t="s">
        <v>674</v>
      </c>
      <c r="AS10" t="s">
        <v>674</v>
      </c>
      <c r="AT10" t="s">
        <v>674</v>
      </c>
      <c r="AU10" t="s">
        <v>674</v>
      </c>
      <c r="AV10" t="s">
        <v>674</v>
      </c>
      <c r="AW10" t="s">
        <v>674</v>
      </c>
      <c r="AX10" t="s">
        <v>674</v>
      </c>
      <c r="AY10" t="s">
        <v>674</v>
      </c>
      <c r="AZ10" t="s">
        <v>674</v>
      </c>
      <c r="BA10" t="s">
        <v>674</v>
      </c>
      <c r="BB10" t="s">
        <v>674</v>
      </c>
      <c r="BC10" t="s">
        <v>674</v>
      </c>
      <c r="BD10" t="s">
        <v>674</v>
      </c>
      <c r="BE10" t="s">
        <v>674</v>
      </c>
      <c r="BF10" t="s">
        <v>674</v>
      </c>
      <c r="BG10" t="s">
        <v>674</v>
      </c>
      <c r="BH10" t="s">
        <v>674</v>
      </c>
      <c r="BI10" t="s">
        <v>674</v>
      </c>
      <c r="BJ10" t="s">
        <v>674</v>
      </c>
      <c r="BK10" t="s">
        <v>674</v>
      </c>
      <c r="BL10" t="s">
        <v>674</v>
      </c>
      <c r="BM10" t="s">
        <v>674</v>
      </c>
      <c r="BN10" t="s">
        <v>674</v>
      </c>
      <c r="BO10" t="s">
        <v>674</v>
      </c>
      <c r="BP10" t="s">
        <v>674</v>
      </c>
      <c r="BQ10" t="s">
        <v>674</v>
      </c>
      <c r="BR10" t="s">
        <v>674</v>
      </c>
      <c r="BS10" t="s">
        <v>674</v>
      </c>
      <c r="BT10" t="s">
        <v>674</v>
      </c>
      <c r="BU10" t="s">
        <v>674</v>
      </c>
      <c r="BV10" t="s">
        <v>674</v>
      </c>
      <c r="BW10" t="s">
        <v>674</v>
      </c>
      <c r="BX10" t="s">
        <v>674</v>
      </c>
      <c r="BY10" t="s">
        <v>674</v>
      </c>
      <c r="BZ10" t="s">
        <v>674</v>
      </c>
      <c r="CA10" t="s">
        <v>674</v>
      </c>
      <c r="CB10" t="s">
        <v>674</v>
      </c>
      <c r="CC10" t="s">
        <v>674</v>
      </c>
      <c r="CD10" t="s">
        <v>674</v>
      </c>
      <c r="CE10" t="s">
        <v>674</v>
      </c>
      <c r="CF10" t="s">
        <v>674</v>
      </c>
      <c r="CG10" t="s">
        <v>674</v>
      </c>
      <c r="CH10" t="s">
        <v>674</v>
      </c>
      <c r="CI10" t="s">
        <v>674</v>
      </c>
    </row>
    <row r="11" spans="1:87" x14ac:dyDescent="0.25">
      <c r="A11" t="s">
        <v>825</v>
      </c>
      <c r="B11" t="s">
        <v>126</v>
      </c>
      <c r="C11">
        <v>2008</v>
      </c>
      <c r="D11" t="s">
        <v>826</v>
      </c>
      <c r="E11" t="s">
        <v>827</v>
      </c>
      <c r="F11" t="s">
        <v>828</v>
      </c>
      <c r="G11" t="s">
        <v>829</v>
      </c>
      <c r="H11" t="s">
        <v>674</v>
      </c>
      <c r="I11" t="s">
        <v>830</v>
      </c>
      <c r="J11" t="s">
        <v>831</v>
      </c>
      <c r="K11" t="s">
        <v>832</v>
      </c>
      <c r="L11" t="s">
        <v>833</v>
      </c>
      <c r="M11" s="1">
        <v>46274.899965277778</v>
      </c>
      <c r="N11" s="1">
        <v>46274.899976851855</v>
      </c>
      <c r="O11" s="1">
        <v>46274.899965277778</v>
      </c>
      <c r="P11" t="s">
        <v>834</v>
      </c>
      <c r="Q11" t="s">
        <v>674</v>
      </c>
      <c r="T11" t="s">
        <v>674</v>
      </c>
      <c r="U11" t="s">
        <v>674</v>
      </c>
      <c r="V11" t="s">
        <v>674</v>
      </c>
      <c r="W11" t="s">
        <v>674</v>
      </c>
      <c r="X11" t="s">
        <v>674</v>
      </c>
      <c r="Y11" t="s">
        <v>674</v>
      </c>
      <c r="Z11" t="s">
        <v>674</v>
      </c>
      <c r="AA11" t="s">
        <v>133</v>
      </c>
      <c r="AB11" t="s">
        <v>835</v>
      </c>
      <c r="AC11" t="s">
        <v>97</v>
      </c>
      <c r="AD11" t="s">
        <v>674</v>
      </c>
      <c r="AE11" t="s">
        <v>674</v>
      </c>
      <c r="AF11" t="s">
        <v>674</v>
      </c>
      <c r="AG11" t="s">
        <v>674</v>
      </c>
      <c r="AH11" t="s">
        <v>99</v>
      </c>
      <c r="AJ11" t="s">
        <v>674</v>
      </c>
      <c r="AK11" t="s">
        <v>674</v>
      </c>
      <c r="AL11" t="s">
        <v>836</v>
      </c>
      <c r="AM11" t="s">
        <v>674</v>
      </c>
      <c r="AN11" t="s">
        <v>674</v>
      </c>
      <c r="AO11" t="s">
        <v>712</v>
      </c>
      <c r="AP11" t="s">
        <v>674</v>
      </c>
      <c r="AQ11" t="s">
        <v>674</v>
      </c>
      <c r="AR11" t="s">
        <v>674</v>
      </c>
      <c r="AS11" t="s">
        <v>674</v>
      </c>
      <c r="AT11" t="s">
        <v>674</v>
      </c>
      <c r="AU11" t="s">
        <v>674</v>
      </c>
      <c r="AV11" t="s">
        <v>674</v>
      </c>
      <c r="AW11" t="s">
        <v>674</v>
      </c>
      <c r="AX11" t="s">
        <v>674</v>
      </c>
      <c r="AY11" t="s">
        <v>674</v>
      </c>
      <c r="AZ11" t="s">
        <v>674</v>
      </c>
      <c r="BA11" t="s">
        <v>674</v>
      </c>
      <c r="BB11" t="s">
        <v>674</v>
      </c>
      <c r="BC11" t="s">
        <v>674</v>
      </c>
      <c r="BD11" t="s">
        <v>674</v>
      </c>
      <c r="BE11" t="s">
        <v>674</v>
      </c>
      <c r="BF11" t="s">
        <v>674</v>
      </c>
      <c r="BG11" t="s">
        <v>674</v>
      </c>
      <c r="BH11" t="s">
        <v>674</v>
      </c>
      <c r="BI11" t="s">
        <v>674</v>
      </c>
      <c r="BJ11" t="s">
        <v>674</v>
      </c>
      <c r="BK11" t="s">
        <v>674</v>
      </c>
      <c r="BL11" t="s">
        <v>674</v>
      </c>
      <c r="BM11" t="s">
        <v>674</v>
      </c>
      <c r="BN11" t="s">
        <v>674</v>
      </c>
      <c r="BO11" t="s">
        <v>674</v>
      </c>
      <c r="BP11" t="s">
        <v>674</v>
      </c>
      <c r="BQ11" t="s">
        <v>674</v>
      </c>
      <c r="BR11" t="s">
        <v>674</v>
      </c>
      <c r="BS11" t="s">
        <v>674</v>
      </c>
      <c r="BT11" t="s">
        <v>837</v>
      </c>
      <c r="BU11" t="s">
        <v>674</v>
      </c>
      <c r="BV11" t="s">
        <v>674</v>
      </c>
      <c r="BW11" t="s">
        <v>674</v>
      </c>
      <c r="BX11" t="s">
        <v>674</v>
      </c>
      <c r="BY11" t="s">
        <v>674</v>
      </c>
      <c r="BZ11" t="s">
        <v>674</v>
      </c>
      <c r="CA11" t="s">
        <v>674</v>
      </c>
      <c r="CB11" t="s">
        <v>674</v>
      </c>
      <c r="CC11" t="s">
        <v>674</v>
      </c>
      <c r="CD11" t="s">
        <v>674</v>
      </c>
      <c r="CE11" t="s">
        <v>674</v>
      </c>
      <c r="CF11" t="s">
        <v>674</v>
      </c>
      <c r="CG11" t="s">
        <v>674</v>
      </c>
      <c r="CH11" t="s">
        <v>674</v>
      </c>
      <c r="CI11" t="s">
        <v>674</v>
      </c>
    </row>
    <row r="12" spans="1:87" x14ac:dyDescent="0.25">
      <c r="A12" t="s">
        <v>812</v>
      </c>
      <c r="B12" t="s">
        <v>126</v>
      </c>
      <c r="C12">
        <v>2009</v>
      </c>
      <c r="D12" t="s">
        <v>813</v>
      </c>
      <c r="E12" t="s">
        <v>814</v>
      </c>
      <c r="F12" t="s">
        <v>815</v>
      </c>
      <c r="G12" t="s">
        <v>816</v>
      </c>
      <c r="H12" t="s">
        <v>674</v>
      </c>
      <c r="I12" t="s">
        <v>817</v>
      </c>
      <c r="J12" t="s">
        <v>818</v>
      </c>
      <c r="K12" t="s">
        <v>819</v>
      </c>
      <c r="L12" t="s">
        <v>820</v>
      </c>
      <c r="M12" s="1">
        <v>46274.899895833332</v>
      </c>
      <c r="N12" s="1">
        <v>46274.899918981479</v>
      </c>
      <c r="O12" s="1">
        <v>46274.899895833332</v>
      </c>
      <c r="P12" t="s">
        <v>821</v>
      </c>
      <c r="Q12" t="s">
        <v>674</v>
      </c>
      <c r="T12" t="s">
        <v>674</v>
      </c>
      <c r="U12" t="s">
        <v>674</v>
      </c>
      <c r="V12" t="s">
        <v>674</v>
      </c>
      <c r="W12" t="s">
        <v>674</v>
      </c>
      <c r="X12" t="s">
        <v>674</v>
      </c>
      <c r="Y12" t="s">
        <v>674</v>
      </c>
      <c r="Z12" t="s">
        <v>674</v>
      </c>
      <c r="AA12" t="s">
        <v>133</v>
      </c>
      <c r="AB12" t="s">
        <v>822</v>
      </c>
      <c r="AC12" t="s">
        <v>97</v>
      </c>
      <c r="AD12" t="s">
        <v>674</v>
      </c>
      <c r="AE12" t="s">
        <v>674</v>
      </c>
      <c r="AF12" t="s">
        <v>674</v>
      </c>
      <c r="AG12" t="s">
        <v>674</v>
      </c>
      <c r="AH12" t="s">
        <v>99</v>
      </c>
      <c r="AJ12" t="s">
        <v>674</v>
      </c>
      <c r="AK12" t="s">
        <v>674</v>
      </c>
      <c r="AL12" t="s">
        <v>823</v>
      </c>
      <c r="AM12" t="s">
        <v>674</v>
      </c>
      <c r="AN12" t="s">
        <v>674</v>
      </c>
      <c r="AO12" t="s">
        <v>712</v>
      </c>
      <c r="AP12" t="s">
        <v>674</v>
      </c>
      <c r="AQ12" t="s">
        <v>674</v>
      </c>
      <c r="AR12" t="s">
        <v>674</v>
      </c>
      <c r="AS12" t="s">
        <v>674</v>
      </c>
      <c r="AT12" t="s">
        <v>674</v>
      </c>
      <c r="AU12" t="s">
        <v>674</v>
      </c>
      <c r="AV12" t="s">
        <v>674</v>
      </c>
      <c r="AW12" t="s">
        <v>674</v>
      </c>
      <c r="AX12" t="s">
        <v>674</v>
      </c>
      <c r="AY12" t="s">
        <v>674</v>
      </c>
      <c r="AZ12" t="s">
        <v>674</v>
      </c>
      <c r="BA12" t="s">
        <v>674</v>
      </c>
      <c r="BB12" t="s">
        <v>674</v>
      </c>
      <c r="BC12" t="s">
        <v>674</v>
      </c>
      <c r="BD12" t="s">
        <v>674</v>
      </c>
      <c r="BE12" t="s">
        <v>674</v>
      </c>
      <c r="BF12" t="s">
        <v>674</v>
      </c>
      <c r="BG12" t="s">
        <v>674</v>
      </c>
      <c r="BH12" t="s">
        <v>674</v>
      </c>
      <c r="BI12" t="s">
        <v>674</v>
      </c>
      <c r="BJ12" t="s">
        <v>674</v>
      </c>
      <c r="BK12" t="s">
        <v>674</v>
      </c>
      <c r="BL12" t="s">
        <v>674</v>
      </c>
      <c r="BM12" t="s">
        <v>674</v>
      </c>
      <c r="BN12" t="s">
        <v>674</v>
      </c>
      <c r="BO12" t="s">
        <v>674</v>
      </c>
      <c r="BP12" t="s">
        <v>674</v>
      </c>
      <c r="BQ12" t="s">
        <v>674</v>
      </c>
      <c r="BR12" t="s">
        <v>674</v>
      </c>
      <c r="BS12" t="s">
        <v>674</v>
      </c>
      <c r="BT12" t="s">
        <v>824</v>
      </c>
      <c r="BU12" t="s">
        <v>674</v>
      </c>
      <c r="BV12" t="s">
        <v>674</v>
      </c>
      <c r="BW12" t="s">
        <v>674</v>
      </c>
      <c r="BX12" t="s">
        <v>674</v>
      </c>
      <c r="BY12" t="s">
        <v>674</v>
      </c>
      <c r="BZ12" t="s">
        <v>674</v>
      </c>
      <c r="CA12" t="s">
        <v>674</v>
      </c>
      <c r="CB12" t="s">
        <v>674</v>
      </c>
      <c r="CC12" t="s">
        <v>674</v>
      </c>
      <c r="CD12" t="s">
        <v>674</v>
      </c>
      <c r="CE12" t="s">
        <v>674</v>
      </c>
      <c r="CF12" t="s">
        <v>674</v>
      </c>
      <c r="CG12" t="s">
        <v>674</v>
      </c>
      <c r="CH12" t="s">
        <v>674</v>
      </c>
      <c r="CI12" t="s">
        <v>674</v>
      </c>
    </row>
    <row r="13" spans="1:87" x14ac:dyDescent="0.25">
      <c r="A13" t="s">
        <v>801</v>
      </c>
      <c r="B13" t="s">
        <v>126</v>
      </c>
      <c r="C13">
        <v>2012</v>
      </c>
      <c r="D13" t="s">
        <v>802</v>
      </c>
      <c r="E13" t="s">
        <v>803</v>
      </c>
      <c r="F13" t="s">
        <v>804</v>
      </c>
      <c r="G13" t="s">
        <v>805</v>
      </c>
      <c r="H13" t="s">
        <v>674</v>
      </c>
      <c r="I13" t="s">
        <v>806</v>
      </c>
      <c r="J13" t="s">
        <v>807</v>
      </c>
      <c r="K13" t="s">
        <v>808</v>
      </c>
      <c r="L13" t="s">
        <v>809</v>
      </c>
      <c r="M13" s="1">
        <v>46274.899837962963</v>
      </c>
      <c r="N13" s="1">
        <v>46274.89984953704</v>
      </c>
      <c r="O13" s="1">
        <v>46274.899837962963</v>
      </c>
      <c r="P13" t="s">
        <v>756</v>
      </c>
      <c r="Q13" t="s">
        <v>674</v>
      </c>
      <c r="T13" t="s">
        <v>674</v>
      </c>
      <c r="U13" t="s">
        <v>674</v>
      </c>
      <c r="V13" t="s">
        <v>674</v>
      </c>
      <c r="W13" t="s">
        <v>674</v>
      </c>
      <c r="X13" t="s">
        <v>674</v>
      </c>
      <c r="Y13" t="s">
        <v>674</v>
      </c>
      <c r="Z13" t="s">
        <v>674</v>
      </c>
      <c r="AA13" t="s">
        <v>133</v>
      </c>
      <c r="AB13" t="s">
        <v>810</v>
      </c>
      <c r="AC13" t="s">
        <v>97</v>
      </c>
      <c r="AD13" t="s">
        <v>135</v>
      </c>
      <c r="AE13" t="s">
        <v>674</v>
      </c>
      <c r="AF13" t="s">
        <v>674</v>
      </c>
      <c r="AG13" t="s">
        <v>674</v>
      </c>
      <c r="AH13" t="s">
        <v>99</v>
      </c>
      <c r="AJ13" t="s">
        <v>674</v>
      </c>
      <c r="AK13" t="s">
        <v>674</v>
      </c>
      <c r="AL13" t="s">
        <v>811</v>
      </c>
      <c r="AM13" t="s">
        <v>674</v>
      </c>
      <c r="AN13" t="s">
        <v>674</v>
      </c>
      <c r="AO13" t="s">
        <v>712</v>
      </c>
      <c r="AP13" t="s">
        <v>674</v>
      </c>
      <c r="AQ13" t="s">
        <v>674</v>
      </c>
      <c r="AR13" t="s">
        <v>674</v>
      </c>
      <c r="AS13" t="s">
        <v>674</v>
      </c>
      <c r="AT13" t="s">
        <v>674</v>
      </c>
      <c r="AU13" t="s">
        <v>674</v>
      </c>
      <c r="AV13" t="s">
        <v>674</v>
      </c>
      <c r="AW13" t="s">
        <v>674</v>
      </c>
      <c r="AX13" t="s">
        <v>674</v>
      </c>
      <c r="AY13" t="s">
        <v>674</v>
      </c>
      <c r="AZ13" t="s">
        <v>674</v>
      </c>
      <c r="BA13" t="s">
        <v>674</v>
      </c>
      <c r="BB13" t="s">
        <v>674</v>
      </c>
      <c r="BC13" t="s">
        <v>674</v>
      </c>
      <c r="BD13" t="s">
        <v>674</v>
      </c>
      <c r="BE13" t="s">
        <v>674</v>
      </c>
      <c r="BF13" t="s">
        <v>674</v>
      </c>
      <c r="BG13" t="s">
        <v>674</v>
      </c>
      <c r="BH13" t="s">
        <v>674</v>
      </c>
      <c r="BI13" t="s">
        <v>674</v>
      </c>
      <c r="BJ13" t="s">
        <v>674</v>
      </c>
      <c r="BK13" t="s">
        <v>674</v>
      </c>
      <c r="BL13" t="s">
        <v>674</v>
      </c>
      <c r="BM13" t="s">
        <v>674</v>
      </c>
      <c r="BN13" t="s">
        <v>674</v>
      </c>
      <c r="BO13" t="s">
        <v>674</v>
      </c>
      <c r="BP13" t="s">
        <v>674</v>
      </c>
      <c r="BQ13" t="s">
        <v>674</v>
      </c>
      <c r="BR13" t="s">
        <v>674</v>
      </c>
      <c r="BS13" t="s">
        <v>674</v>
      </c>
      <c r="BT13" t="s">
        <v>804</v>
      </c>
      <c r="BU13" t="s">
        <v>674</v>
      </c>
      <c r="BV13" t="s">
        <v>674</v>
      </c>
      <c r="BW13" t="s">
        <v>674</v>
      </c>
      <c r="BX13" t="s">
        <v>674</v>
      </c>
      <c r="BY13" t="s">
        <v>674</v>
      </c>
      <c r="BZ13" t="s">
        <v>674</v>
      </c>
      <c r="CA13" t="s">
        <v>674</v>
      </c>
      <c r="CB13" t="s">
        <v>674</v>
      </c>
      <c r="CC13" t="s">
        <v>674</v>
      </c>
      <c r="CD13" t="s">
        <v>674</v>
      </c>
      <c r="CE13" t="s">
        <v>674</v>
      </c>
      <c r="CF13" t="s">
        <v>674</v>
      </c>
      <c r="CG13" t="s">
        <v>674</v>
      </c>
      <c r="CH13" t="s">
        <v>674</v>
      </c>
      <c r="CI13" t="s">
        <v>674</v>
      </c>
    </row>
    <row r="14" spans="1:87" x14ac:dyDescent="0.25">
      <c r="A14" t="s">
        <v>793</v>
      </c>
      <c r="B14" t="s">
        <v>88</v>
      </c>
      <c r="C14">
        <v>2020</v>
      </c>
      <c r="D14" t="s">
        <v>794</v>
      </c>
      <c r="E14" t="s">
        <v>795</v>
      </c>
      <c r="F14" t="s">
        <v>115</v>
      </c>
      <c r="G14" t="s">
        <v>674</v>
      </c>
      <c r="H14" t="s">
        <v>116</v>
      </c>
      <c r="I14" t="s">
        <v>796</v>
      </c>
      <c r="J14" t="s">
        <v>797</v>
      </c>
      <c r="K14" t="s">
        <v>798</v>
      </c>
      <c r="L14" t="s">
        <v>194</v>
      </c>
      <c r="M14" s="1">
        <v>46274.899768518517</v>
      </c>
      <c r="N14" s="1">
        <v>46274.899780092594</v>
      </c>
      <c r="O14" s="1">
        <v>46274.899768518517</v>
      </c>
      <c r="P14" t="s">
        <v>799</v>
      </c>
      <c r="Q14" t="s">
        <v>674</v>
      </c>
      <c r="R14">
        <v>7</v>
      </c>
      <c r="S14">
        <v>67</v>
      </c>
      <c r="T14" t="s">
        <v>674</v>
      </c>
      <c r="U14" t="s">
        <v>121</v>
      </c>
      <c r="V14" t="s">
        <v>674</v>
      </c>
      <c r="W14" t="s">
        <v>674</v>
      </c>
      <c r="X14" t="s">
        <v>674</v>
      </c>
      <c r="Y14" t="s">
        <v>674</v>
      </c>
      <c r="Z14" t="s">
        <v>674</v>
      </c>
      <c r="AA14" t="s">
        <v>674</v>
      </c>
      <c r="AB14" t="s">
        <v>674</v>
      </c>
      <c r="AC14" t="s">
        <v>97</v>
      </c>
      <c r="AD14" t="s">
        <v>122</v>
      </c>
      <c r="AE14" t="s">
        <v>674</v>
      </c>
      <c r="AF14" t="s">
        <v>674</v>
      </c>
      <c r="AG14" t="s">
        <v>674</v>
      </c>
      <c r="AH14" t="s">
        <v>99</v>
      </c>
      <c r="AJ14" t="s">
        <v>674</v>
      </c>
      <c r="AK14" t="s">
        <v>674</v>
      </c>
      <c r="AL14" t="s">
        <v>800</v>
      </c>
      <c r="AM14" t="s">
        <v>674</v>
      </c>
      <c r="AN14" t="s">
        <v>674</v>
      </c>
      <c r="AO14" t="s">
        <v>712</v>
      </c>
      <c r="AP14" t="s">
        <v>674</v>
      </c>
      <c r="AQ14" t="s">
        <v>674</v>
      </c>
      <c r="AR14" t="s">
        <v>674</v>
      </c>
      <c r="AS14" t="s">
        <v>674</v>
      </c>
      <c r="AT14" t="s">
        <v>674</v>
      </c>
      <c r="AU14" t="s">
        <v>674</v>
      </c>
      <c r="AV14" t="s">
        <v>674</v>
      </c>
      <c r="AW14" t="s">
        <v>674</v>
      </c>
      <c r="AX14" t="s">
        <v>674</v>
      </c>
      <c r="AY14" t="s">
        <v>674</v>
      </c>
      <c r="AZ14" t="s">
        <v>674</v>
      </c>
      <c r="BA14" t="s">
        <v>674</v>
      </c>
      <c r="BB14" t="s">
        <v>674</v>
      </c>
      <c r="BC14" t="s">
        <v>674</v>
      </c>
      <c r="BD14" t="s">
        <v>674</v>
      </c>
      <c r="BE14" t="s">
        <v>674</v>
      </c>
      <c r="BF14" t="s">
        <v>674</v>
      </c>
      <c r="BG14" t="s">
        <v>674</v>
      </c>
      <c r="BH14" t="s">
        <v>674</v>
      </c>
      <c r="BI14" t="s">
        <v>674</v>
      </c>
      <c r="BJ14" t="s">
        <v>674</v>
      </c>
      <c r="BK14" t="s">
        <v>674</v>
      </c>
      <c r="BL14" t="s">
        <v>674</v>
      </c>
      <c r="BM14" t="s">
        <v>674</v>
      </c>
      <c r="BN14" t="s">
        <v>674</v>
      </c>
      <c r="BO14" t="s">
        <v>674</v>
      </c>
      <c r="BP14" t="s">
        <v>674</v>
      </c>
      <c r="BQ14" t="s">
        <v>674</v>
      </c>
      <c r="BR14" t="s">
        <v>674</v>
      </c>
      <c r="BS14" t="s">
        <v>674</v>
      </c>
      <c r="BT14" t="s">
        <v>674</v>
      </c>
      <c r="BU14" t="s">
        <v>674</v>
      </c>
      <c r="BV14" t="s">
        <v>674</v>
      </c>
      <c r="BW14" t="s">
        <v>674</v>
      </c>
      <c r="BX14" t="s">
        <v>674</v>
      </c>
      <c r="BY14" t="s">
        <v>674</v>
      </c>
      <c r="BZ14" t="s">
        <v>674</v>
      </c>
      <c r="CA14" t="s">
        <v>674</v>
      </c>
      <c r="CB14" t="s">
        <v>674</v>
      </c>
      <c r="CC14" t="s">
        <v>674</v>
      </c>
      <c r="CD14" t="s">
        <v>674</v>
      </c>
      <c r="CE14" t="s">
        <v>674</v>
      </c>
      <c r="CF14" t="s">
        <v>674</v>
      </c>
      <c r="CG14" t="s">
        <v>674</v>
      </c>
      <c r="CH14" t="s">
        <v>674</v>
      </c>
      <c r="CI14" t="s">
        <v>674</v>
      </c>
    </row>
    <row r="15" spans="1:87" x14ac:dyDescent="0.25">
      <c r="A15" t="s">
        <v>782</v>
      </c>
      <c r="B15" t="s">
        <v>126</v>
      </c>
      <c r="C15">
        <v>2015</v>
      </c>
      <c r="D15" t="s">
        <v>729</v>
      </c>
      <c r="E15" t="s">
        <v>783</v>
      </c>
      <c r="F15" t="s">
        <v>784</v>
      </c>
      <c r="G15" t="s">
        <v>674</v>
      </c>
      <c r="H15" t="s">
        <v>674</v>
      </c>
      <c r="I15" t="s">
        <v>785</v>
      </c>
      <c r="J15" t="s">
        <v>786</v>
      </c>
      <c r="K15" t="s">
        <v>787</v>
      </c>
      <c r="L15" t="s">
        <v>788</v>
      </c>
      <c r="M15" s="1">
        <v>46274.899699074071</v>
      </c>
      <c r="N15" s="1">
        <v>46274.899722222224</v>
      </c>
      <c r="O15" s="1">
        <v>46274.899699074071</v>
      </c>
      <c r="P15" t="s">
        <v>756</v>
      </c>
      <c r="Q15" t="s">
        <v>674</v>
      </c>
      <c r="T15" t="s">
        <v>674</v>
      </c>
      <c r="U15" t="s">
        <v>674</v>
      </c>
      <c r="V15" t="s">
        <v>674</v>
      </c>
      <c r="W15" t="s">
        <v>674</v>
      </c>
      <c r="X15" t="s">
        <v>674</v>
      </c>
      <c r="Y15" t="s">
        <v>674</v>
      </c>
      <c r="Z15" t="s">
        <v>674</v>
      </c>
      <c r="AA15" t="s">
        <v>674</v>
      </c>
      <c r="AB15" t="s">
        <v>674</v>
      </c>
      <c r="AC15" t="s">
        <v>674</v>
      </c>
      <c r="AD15" t="s">
        <v>674</v>
      </c>
      <c r="AE15" t="s">
        <v>674</v>
      </c>
      <c r="AF15" t="s">
        <v>674</v>
      </c>
      <c r="AG15" t="s">
        <v>674</v>
      </c>
      <c r="AH15" t="s">
        <v>789</v>
      </c>
      <c r="AJ15" t="s">
        <v>790</v>
      </c>
      <c r="AK15" t="s">
        <v>674</v>
      </c>
      <c r="AL15" t="s">
        <v>791</v>
      </c>
      <c r="AM15" t="s">
        <v>674</v>
      </c>
      <c r="AN15" t="s">
        <v>674</v>
      </c>
      <c r="AO15" t="s">
        <v>792</v>
      </c>
      <c r="AP15" t="s">
        <v>674</v>
      </c>
      <c r="AQ15" t="s">
        <v>674</v>
      </c>
      <c r="AR15" t="s">
        <v>674</v>
      </c>
      <c r="AS15" t="s">
        <v>674</v>
      </c>
      <c r="AT15" t="s">
        <v>674</v>
      </c>
      <c r="AU15" t="s">
        <v>674</v>
      </c>
      <c r="AV15" t="s">
        <v>674</v>
      </c>
      <c r="AW15" t="s">
        <v>674</v>
      </c>
      <c r="AX15" t="s">
        <v>674</v>
      </c>
      <c r="AY15" t="s">
        <v>674</v>
      </c>
      <c r="AZ15" t="s">
        <v>674</v>
      </c>
      <c r="BA15" t="s">
        <v>674</v>
      </c>
      <c r="BB15" t="s">
        <v>674</v>
      </c>
      <c r="BC15" t="s">
        <v>674</v>
      </c>
      <c r="BD15" t="s">
        <v>674</v>
      </c>
      <c r="BE15" t="s">
        <v>674</v>
      </c>
      <c r="BF15" t="s">
        <v>674</v>
      </c>
      <c r="BG15" t="s">
        <v>674</v>
      </c>
      <c r="BH15" t="s">
        <v>674</v>
      </c>
      <c r="BI15" t="s">
        <v>674</v>
      </c>
      <c r="BJ15" t="s">
        <v>674</v>
      </c>
      <c r="BK15" t="s">
        <v>674</v>
      </c>
      <c r="BL15" t="s">
        <v>674</v>
      </c>
      <c r="BM15" t="s">
        <v>674</v>
      </c>
      <c r="BN15" t="s">
        <v>674</v>
      </c>
      <c r="BO15" t="s">
        <v>674</v>
      </c>
      <c r="BP15" t="s">
        <v>674</v>
      </c>
      <c r="BQ15" t="s">
        <v>674</v>
      </c>
      <c r="BR15" t="s">
        <v>674</v>
      </c>
      <c r="BS15" t="s">
        <v>674</v>
      </c>
      <c r="BT15" t="s">
        <v>674</v>
      </c>
      <c r="BU15" t="s">
        <v>674</v>
      </c>
      <c r="BV15" t="s">
        <v>674</v>
      </c>
      <c r="BW15" t="s">
        <v>674</v>
      </c>
      <c r="BX15" t="s">
        <v>674</v>
      </c>
      <c r="BY15" t="s">
        <v>674</v>
      </c>
      <c r="BZ15" t="s">
        <v>674</v>
      </c>
      <c r="CA15" t="s">
        <v>674</v>
      </c>
      <c r="CB15" t="s">
        <v>674</v>
      </c>
      <c r="CC15" t="s">
        <v>674</v>
      </c>
      <c r="CD15" t="s">
        <v>674</v>
      </c>
      <c r="CE15" t="s">
        <v>674</v>
      </c>
      <c r="CF15" t="s">
        <v>674</v>
      </c>
      <c r="CG15" t="s">
        <v>674</v>
      </c>
      <c r="CH15" t="s">
        <v>674</v>
      </c>
      <c r="CI15" t="s">
        <v>674</v>
      </c>
    </row>
    <row r="16" spans="1:87" x14ac:dyDescent="0.25">
      <c r="A16" t="s">
        <v>770</v>
      </c>
      <c r="B16" t="s">
        <v>126</v>
      </c>
      <c r="C16">
        <v>2009</v>
      </c>
      <c r="D16" t="s">
        <v>771</v>
      </c>
      <c r="E16" t="s">
        <v>772</v>
      </c>
      <c r="F16" t="s">
        <v>773</v>
      </c>
      <c r="G16" t="s">
        <v>774</v>
      </c>
      <c r="H16" t="s">
        <v>674</v>
      </c>
      <c r="I16" t="s">
        <v>775</v>
      </c>
      <c r="J16" t="s">
        <v>776</v>
      </c>
      <c r="K16" t="s">
        <v>777</v>
      </c>
      <c r="L16" t="s">
        <v>778</v>
      </c>
      <c r="M16" s="1">
        <v>46274.899421296293</v>
      </c>
      <c r="N16" s="1">
        <v>46274.899467592593</v>
      </c>
      <c r="O16" s="1">
        <v>46274.899421296293</v>
      </c>
      <c r="P16" t="s">
        <v>677</v>
      </c>
      <c r="Q16" t="s">
        <v>674</v>
      </c>
      <c r="T16" t="s">
        <v>674</v>
      </c>
      <c r="U16" t="s">
        <v>674</v>
      </c>
      <c r="V16" t="s">
        <v>674</v>
      </c>
      <c r="W16" t="s">
        <v>674</v>
      </c>
      <c r="X16" t="s">
        <v>674</v>
      </c>
      <c r="Y16" t="s">
        <v>674</v>
      </c>
      <c r="Z16" t="s">
        <v>674</v>
      </c>
      <c r="AA16" t="s">
        <v>133</v>
      </c>
      <c r="AB16" t="s">
        <v>779</v>
      </c>
      <c r="AC16" t="s">
        <v>97</v>
      </c>
      <c r="AD16" t="s">
        <v>674</v>
      </c>
      <c r="AE16" t="s">
        <v>674</v>
      </c>
      <c r="AF16" t="s">
        <v>674</v>
      </c>
      <c r="AG16" t="s">
        <v>674</v>
      </c>
      <c r="AH16" t="s">
        <v>99</v>
      </c>
      <c r="AJ16" t="s">
        <v>674</v>
      </c>
      <c r="AK16" t="s">
        <v>674</v>
      </c>
      <c r="AL16" t="s">
        <v>780</v>
      </c>
      <c r="AM16" t="s">
        <v>674</v>
      </c>
      <c r="AN16" t="s">
        <v>674</v>
      </c>
      <c r="AO16" t="s">
        <v>712</v>
      </c>
      <c r="AP16" t="s">
        <v>674</v>
      </c>
      <c r="AQ16" t="s">
        <v>674</v>
      </c>
      <c r="AR16" t="s">
        <v>674</v>
      </c>
      <c r="AS16" t="s">
        <v>674</v>
      </c>
      <c r="AT16" t="s">
        <v>674</v>
      </c>
      <c r="AU16" t="s">
        <v>674</v>
      </c>
      <c r="AV16" t="s">
        <v>674</v>
      </c>
      <c r="AW16" t="s">
        <v>674</v>
      </c>
      <c r="AX16" t="s">
        <v>674</v>
      </c>
      <c r="AY16" t="s">
        <v>674</v>
      </c>
      <c r="AZ16" t="s">
        <v>674</v>
      </c>
      <c r="BA16" t="s">
        <v>674</v>
      </c>
      <c r="BB16" t="s">
        <v>674</v>
      </c>
      <c r="BC16" t="s">
        <v>674</v>
      </c>
      <c r="BD16" t="s">
        <v>674</v>
      </c>
      <c r="BE16" t="s">
        <v>674</v>
      </c>
      <c r="BF16" t="s">
        <v>674</v>
      </c>
      <c r="BG16" t="s">
        <v>674</v>
      </c>
      <c r="BH16" t="s">
        <v>674</v>
      </c>
      <c r="BI16" t="s">
        <v>674</v>
      </c>
      <c r="BJ16" t="s">
        <v>674</v>
      </c>
      <c r="BK16" t="s">
        <v>674</v>
      </c>
      <c r="BL16" t="s">
        <v>674</v>
      </c>
      <c r="BM16" t="s">
        <v>674</v>
      </c>
      <c r="BN16" t="s">
        <v>674</v>
      </c>
      <c r="BO16" t="s">
        <v>674</v>
      </c>
      <c r="BP16" t="s">
        <v>674</v>
      </c>
      <c r="BQ16" t="s">
        <v>674</v>
      </c>
      <c r="BR16" t="s">
        <v>674</v>
      </c>
      <c r="BS16" t="s">
        <v>674</v>
      </c>
      <c r="BT16" t="s">
        <v>781</v>
      </c>
      <c r="BU16" t="s">
        <v>674</v>
      </c>
      <c r="BV16" t="s">
        <v>674</v>
      </c>
      <c r="BW16" t="s">
        <v>674</v>
      </c>
      <c r="BX16" t="s">
        <v>674</v>
      </c>
      <c r="BY16" t="s">
        <v>674</v>
      </c>
      <c r="BZ16" t="s">
        <v>674</v>
      </c>
      <c r="CA16" t="s">
        <v>674</v>
      </c>
      <c r="CB16" t="s">
        <v>674</v>
      </c>
      <c r="CC16" t="s">
        <v>674</v>
      </c>
      <c r="CD16" t="s">
        <v>674</v>
      </c>
      <c r="CE16" t="s">
        <v>674</v>
      </c>
      <c r="CF16" t="s">
        <v>674</v>
      </c>
      <c r="CG16" t="s">
        <v>674</v>
      </c>
      <c r="CH16" t="s">
        <v>674</v>
      </c>
      <c r="CI16" t="s">
        <v>674</v>
      </c>
    </row>
    <row r="17" spans="1:87" x14ac:dyDescent="0.25">
      <c r="A17" t="s">
        <v>759</v>
      </c>
      <c r="B17" t="s">
        <v>126</v>
      </c>
      <c r="C17">
        <v>2015</v>
      </c>
      <c r="D17" t="s">
        <v>729</v>
      </c>
      <c r="E17" t="s">
        <v>760</v>
      </c>
      <c r="F17" t="s">
        <v>761</v>
      </c>
      <c r="G17" t="s">
        <v>762</v>
      </c>
      <c r="H17" t="s">
        <v>674</v>
      </c>
      <c r="I17" t="s">
        <v>763</v>
      </c>
      <c r="J17" t="s">
        <v>764</v>
      </c>
      <c r="K17" t="s">
        <v>765</v>
      </c>
      <c r="L17" t="s">
        <v>766</v>
      </c>
      <c r="M17" s="1">
        <v>46274.899305555555</v>
      </c>
      <c r="N17" s="1">
        <v>46274.899340277778</v>
      </c>
      <c r="O17" s="1">
        <v>46274.899305555555</v>
      </c>
      <c r="P17" t="s">
        <v>767</v>
      </c>
      <c r="Q17" t="s">
        <v>674</v>
      </c>
      <c r="T17" t="s">
        <v>674</v>
      </c>
      <c r="U17" t="s">
        <v>674</v>
      </c>
      <c r="V17" t="s">
        <v>674</v>
      </c>
      <c r="W17" t="s">
        <v>674</v>
      </c>
      <c r="X17" t="s">
        <v>674</v>
      </c>
      <c r="Y17" t="s">
        <v>674</v>
      </c>
      <c r="Z17" t="s">
        <v>674</v>
      </c>
      <c r="AA17" t="s">
        <v>133</v>
      </c>
      <c r="AB17" t="s">
        <v>768</v>
      </c>
      <c r="AC17" t="s">
        <v>97</v>
      </c>
      <c r="AD17" t="s">
        <v>674</v>
      </c>
      <c r="AE17" t="s">
        <v>674</v>
      </c>
      <c r="AF17" t="s">
        <v>674</v>
      </c>
      <c r="AG17" t="s">
        <v>674</v>
      </c>
      <c r="AH17" t="s">
        <v>99</v>
      </c>
      <c r="AJ17" t="s">
        <v>674</v>
      </c>
      <c r="AK17" t="s">
        <v>674</v>
      </c>
      <c r="AL17" t="s">
        <v>769</v>
      </c>
      <c r="AM17" t="s">
        <v>674</v>
      </c>
      <c r="AN17" t="s">
        <v>674</v>
      </c>
      <c r="AO17" t="s">
        <v>712</v>
      </c>
      <c r="AP17" t="s">
        <v>674</v>
      </c>
      <c r="AQ17" t="s">
        <v>674</v>
      </c>
      <c r="AR17" t="s">
        <v>674</v>
      </c>
      <c r="AS17" t="s">
        <v>674</v>
      </c>
      <c r="AT17" t="s">
        <v>674</v>
      </c>
      <c r="AU17" t="s">
        <v>674</v>
      </c>
      <c r="AV17" t="s">
        <v>674</v>
      </c>
      <c r="AW17" t="s">
        <v>674</v>
      </c>
      <c r="AX17" t="s">
        <v>674</v>
      </c>
      <c r="AY17" t="s">
        <v>674</v>
      </c>
      <c r="AZ17" t="s">
        <v>674</v>
      </c>
      <c r="BA17" t="s">
        <v>674</v>
      </c>
      <c r="BB17" t="s">
        <v>674</v>
      </c>
      <c r="BC17" t="s">
        <v>674</v>
      </c>
      <c r="BD17" t="s">
        <v>674</v>
      </c>
      <c r="BE17" t="s">
        <v>674</v>
      </c>
      <c r="BF17" t="s">
        <v>674</v>
      </c>
      <c r="BG17" t="s">
        <v>674</v>
      </c>
      <c r="BH17" t="s">
        <v>674</v>
      </c>
      <c r="BI17" t="s">
        <v>674</v>
      </c>
      <c r="BJ17" t="s">
        <v>674</v>
      </c>
      <c r="BK17" t="s">
        <v>674</v>
      </c>
      <c r="BL17" t="s">
        <v>674</v>
      </c>
      <c r="BM17" t="s">
        <v>674</v>
      </c>
      <c r="BN17" t="s">
        <v>674</v>
      </c>
      <c r="BO17" t="s">
        <v>674</v>
      </c>
      <c r="BP17" t="s">
        <v>674</v>
      </c>
      <c r="BQ17" t="s">
        <v>674</v>
      </c>
      <c r="BR17" t="s">
        <v>674</v>
      </c>
      <c r="BS17" t="s">
        <v>674</v>
      </c>
      <c r="BT17" t="s">
        <v>761</v>
      </c>
      <c r="BU17" t="s">
        <v>674</v>
      </c>
      <c r="BV17" t="s">
        <v>674</v>
      </c>
      <c r="BW17" t="s">
        <v>674</v>
      </c>
      <c r="BX17" t="s">
        <v>674</v>
      </c>
      <c r="BY17" t="s">
        <v>674</v>
      </c>
      <c r="BZ17" t="s">
        <v>674</v>
      </c>
      <c r="CA17" t="s">
        <v>674</v>
      </c>
      <c r="CB17" t="s">
        <v>674</v>
      </c>
      <c r="CC17" t="s">
        <v>674</v>
      </c>
      <c r="CD17" t="s">
        <v>674</v>
      </c>
      <c r="CE17" t="s">
        <v>674</v>
      </c>
      <c r="CF17" t="s">
        <v>674</v>
      </c>
      <c r="CG17" t="s">
        <v>674</v>
      </c>
      <c r="CH17" t="s">
        <v>674</v>
      </c>
      <c r="CI17" t="s">
        <v>674</v>
      </c>
    </row>
    <row r="18" spans="1:87" x14ac:dyDescent="0.25">
      <c r="A18" t="s">
        <v>747</v>
      </c>
      <c r="B18" t="s">
        <v>126</v>
      </c>
      <c r="C18">
        <v>2023</v>
      </c>
      <c r="D18" t="s">
        <v>748</v>
      </c>
      <c r="E18" t="s">
        <v>749</v>
      </c>
      <c r="F18" t="s">
        <v>750</v>
      </c>
      <c r="G18" t="s">
        <v>751</v>
      </c>
      <c r="H18" t="s">
        <v>674</v>
      </c>
      <c r="I18" t="s">
        <v>752</v>
      </c>
      <c r="J18" t="s">
        <v>753</v>
      </c>
      <c r="K18" t="s">
        <v>754</v>
      </c>
      <c r="L18" t="s">
        <v>755</v>
      </c>
      <c r="M18" s="1">
        <v>46274.899201388886</v>
      </c>
      <c r="N18" s="1">
        <v>46274.899224537039</v>
      </c>
      <c r="O18" s="1">
        <v>46274.899201388886</v>
      </c>
      <c r="P18" t="s">
        <v>756</v>
      </c>
      <c r="Q18" t="s">
        <v>674</v>
      </c>
      <c r="T18" t="s">
        <v>674</v>
      </c>
      <c r="U18" t="s">
        <v>674</v>
      </c>
      <c r="V18" t="s">
        <v>674</v>
      </c>
      <c r="W18" t="s">
        <v>674</v>
      </c>
      <c r="X18" t="s">
        <v>674</v>
      </c>
      <c r="Y18" t="s">
        <v>674</v>
      </c>
      <c r="Z18" t="s">
        <v>674</v>
      </c>
      <c r="AA18" t="s">
        <v>133</v>
      </c>
      <c r="AB18" t="s">
        <v>757</v>
      </c>
      <c r="AC18" t="s">
        <v>97</v>
      </c>
      <c r="AD18" t="s">
        <v>135</v>
      </c>
      <c r="AE18" t="s">
        <v>674</v>
      </c>
      <c r="AF18" t="s">
        <v>674</v>
      </c>
      <c r="AG18" t="s">
        <v>674</v>
      </c>
      <c r="AH18" t="s">
        <v>99</v>
      </c>
      <c r="AJ18" t="s">
        <v>674</v>
      </c>
      <c r="AK18" t="s">
        <v>674</v>
      </c>
      <c r="AL18" t="s">
        <v>758</v>
      </c>
      <c r="AM18" t="s">
        <v>674</v>
      </c>
      <c r="AN18" t="s">
        <v>674</v>
      </c>
      <c r="AO18" t="s">
        <v>712</v>
      </c>
      <c r="AP18" t="s">
        <v>674</v>
      </c>
      <c r="AQ18" t="s">
        <v>674</v>
      </c>
      <c r="AR18" t="s">
        <v>674</v>
      </c>
      <c r="AS18" t="s">
        <v>674</v>
      </c>
      <c r="AT18" t="s">
        <v>674</v>
      </c>
      <c r="AU18" t="s">
        <v>674</v>
      </c>
      <c r="AV18" t="s">
        <v>674</v>
      </c>
      <c r="AW18" t="s">
        <v>674</v>
      </c>
      <c r="AX18" t="s">
        <v>674</v>
      </c>
      <c r="AY18" t="s">
        <v>674</v>
      </c>
      <c r="AZ18" t="s">
        <v>674</v>
      </c>
      <c r="BA18" t="s">
        <v>674</v>
      </c>
      <c r="BB18" t="s">
        <v>674</v>
      </c>
      <c r="BC18" t="s">
        <v>674</v>
      </c>
      <c r="BD18" t="s">
        <v>674</v>
      </c>
      <c r="BE18" t="s">
        <v>674</v>
      </c>
      <c r="BF18" t="s">
        <v>674</v>
      </c>
      <c r="BG18" t="s">
        <v>674</v>
      </c>
      <c r="BH18" t="s">
        <v>674</v>
      </c>
      <c r="BI18" t="s">
        <v>674</v>
      </c>
      <c r="BJ18" t="s">
        <v>674</v>
      </c>
      <c r="BK18" t="s">
        <v>674</v>
      </c>
      <c r="BL18" t="s">
        <v>674</v>
      </c>
      <c r="BM18" t="s">
        <v>674</v>
      </c>
      <c r="BN18" t="s">
        <v>674</v>
      </c>
      <c r="BO18" t="s">
        <v>674</v>
      </c>
      <c r="BP18" t="s">
        <v>674</v>
      </c>
      <c r="BQ18" t="s">
        <v>674</v>
      </c>
      <c r="BR18" t="s">
        <v>674</v>
      </c>
      <c r="BS18" t="s">
        <v>674</v>
      </c>
      <c r="BT18" t="s">
        <v>750</v>
      </c>
      <c r="BU18" t="s">
        <v>674</v>
      </c>
      <c r="BV18" t="s">
        <v>674</v>
      </c>
      <c r="BW18" t="s">
        <v>674</v>
      </c>
      <c r="BX18" t="s">
        <v>674</v>
      </c>
      <c r="BY18" t="s">
        <v>674</v>
      </c>
      <c r="BZ18" t="s">
        <v>674</v>
      </c>
      <c r="CA18" t="s">
        <v>674</v>
      </c>
      <c r="CB18" t="s">
        <v>674</v>
      </c>
      <c r="CC18" t="s">
        <v>674</v>
      </c>
      <c r="CD18" t="s">
        <v>674</v>
      </c>
      <c r="CE18" t="s">
        <v>674</v>
      </c>
      <c r="CF18" t="s">
        <v>674</v>
      </c>
      <c r="CG18" t="s">
        <v>674</v>
      </c>
      <c r="CH18" t="s">
        <v>674</v>
      </c>
      <c r="CI18" t="s">
        <v>674</v>
      </c>
    </row>
    <row r="19" spans="1:87" x14ac:dyDescent="0.25">
      <c r="A19" t="s">
        <v>737</v>
      </c>
      <c r="B19" t="s">
        <v>88</v>
      </c>
      <c r="C19">
        <v>2025</v>
      </c>
      <c r="D19" t="s">
        <v>738</v>
      </c>
      <c r="E19" t="s">
        <v>739</v>
      </c>
      <c r="F19" t="s">
        <v>499</v>
      </c>
      <c r="G19" t="s">
        <v>674</v>
      </c>
      <c r="H19" t="s">
        <v>500</v>
      </c>
      <c r="I19" t="s">
        <v>740</v>
      </c>
      <c r="J19" t="s">
        <v>741</v>
      </c>
      <c r="K19" t="s">
        <v>742</v>
      </c>
      <c r="L19" t="s">
        <v>743</v>
      </c>
      <c r="M19" s="1">
        <v>46274.899074074077</v>
      </c>
      <c r="N19" s="1">
        <v>46274.899108796293</v>
      </c>
      <c r="O19" s="1">
        <v>46274.899074074077</v>
      </c>
      <c r="P19" t="s">
        <v>744</v>
      </c>
      <c r="Q19" t="s">
        <v>674</v>
      </c>
      <c r="R19">
        <v>12</v>
      </c>
      <c r="S19">
        <v>40</v>
      </c>
      <c r="T19" t="s">
        <v>674</v>
      </c>
      <c r="U19" t="s">
        <v>505</v>
      </c>
      <c r="V19" t="s">
        <v>745</v>
      </c>
      <c r="W19" t="s">
        <v>674</v>
      </c>
      <c r="X19" t="s">
        <v>674</v>
      </c>
      <c r="Y19" t="s">
        <v>674</v>
      </c>
      <c r="Z19" t="s">
        <v>674</v>
      </c>
      <c r="AA19" t="s">
        <v>674</v>
      </c>
      <c r="AB19" t="s">
        <v>674</v>
      </c>
      <c r="AC19" t="s">
        <v>97</v>
      </c>
      <c r="AD19" t="s">
        <v>122</v>
      </c>
      <c r="AE19" t="s">
        <v>674</v>
      </c>
      <c r="AF19" t="s">
        <v>674</v>
      </c>
      <c r="AG19" t="s">
        <v>674</v>
      </c>
      <c r="AH19" t="s">
        <v>99</v>
      </c>
      <c r="AJ19" t="s">
        <v>674</v>
      </c>
      <c r="AK19" t="s">
        <v>674</v>
      </c>
      <c r="AL19" t="s">
        <v>746</v>
      </c>
      <c r="AM19" t="s">
        <v>674</v>
      </c>
      <c r="AN19" t="s">
        <v>674</v>
      </c>
      <c r="AO19" t="s">
        <v>712</v>
      </c>
      <c r="AP19" t="s">
        <v>674</v>
      </c>
      <c r="AQ19" t="s">
        <v>674</v>
      </c>
      <c r="AR19" t="s">
        <v>674</v>
      </c>
      <c r="AS19" t="s">
        <v>674</v>
      </c>
      <c r="AT19" t="s">
        <v>674</v>
      </c>
      <c r="AU19" t="s">
        <v>674</v>
      </c>
      <c r="AV19" t="s">
        <v>674</v>
      </c>
      <c r="AW19" t="s">
        <v>674</v>
      </c>
      <c r="AX19" t="s">
        <v>674</v>
      </c>
      <c r="AY19" t="s">
        <v>674</v>
      </c>
      <c r="AZ19" t="s">
        <v>674</v>
      </c>
      <c r="BA19" t="s">
        <v>674</v>
      </c>
      <c r="BB19" t="s">
        <v>674</v>
      </c>
      <c r="BC19" t="s">
        <v>674</v>
      </c>
      <c r="BD19" t="s">
        <v>674</v>
      </c>
      <c r="BE19" t="s">
        <v>674</v>
      </c>
      <c r="BF19" t="s">
        <v>674</v>
      </c>
      <c r="BG19" t="s">
        <v>674</v>
      </c>
      <c r="BH19" t="s">
        <v>674</v>
      </c>
      <c r="BI19" t="s">
        <v>674</v>
      </c>
      <c r="BJ19" t="s">
        <v>674</v>
      </c>
      <c r="BK19" t="s">
        <v>674</v>
      </c>
      <c r="BL19" t="s">
        <v>674</v>
      </c>
      <c r="BM19" t="s">
        <v>674</v>
      </c>
      <c r="BN19" t="s">
        <v>674</v>
      </c>
      <c r="BO19" t="s">
        <v>674</v>
      </c>
      <c r="BP19" t="s">
        <v>674</v>
      </c>
      <c r="BQ19" t="s">
        <v>674</v>
      </c>
      <c r="BR19" t="s">
        <v>674</v>
      </c>
      <c r="BS19" t="s">
        <v>674</v>
      </c>
      <c r="BT19" t="s">
        <v>674</v>
      </c>
      <c r="BU19" t="s">
        <v>674</v>
      </c>
      <c r="BV19" t="s">
        <v>674</v>
      </c>
      <c r="BW19" t="s">
        <v>674</v>
      </c>
      <c r="BX19" t="s">
        <v>674</v>
      </c>
      <c r="BY19" t="s">
        <v>674</v>
      </c>
      <c r="BZ19" t="s">
        <v>674</v>
      </c>
      <c r="CA19" t="s">
        <v>674</v>
      </c>
      <c r="CB19" t="s">
        <v>674</v>
      </c>
      <c r="CC19" t="s">
        <v>674</v>
      </c>
      <c r="CD19" t="s">
        <v>674</v>
      </c>
      <c r="CE19" t="s">
        <v>674</v>
      </c>
      <c r="CF19" t="s">
        <v>674</v>
      </c>
      <c r="CG19" t="s">
        <v>674</v>
      </c>
      <c r="CH19" t="s">
        <v>674</v>
      </c>
      <c r="CI19" t="s">
        <v>674</v>
      </c>
    </row>
    <row r="20" spans="1:87" x14ac:dyDescent="0.25">
      <c r="A20" t="s">
        <v>728</v>
      </c>
      <c r="B20" t="s">
        <v>88</v>
      </c>
      <c r="C20">
        <v>2015</v>
      </c>
      <c r="D20" t="s">
        <v>729</v>
      </c>
      <c r="E20" t="s">
        <v>730</v>
      </c>
      <c r="F20" t="s">
        <v>115</v>
      </c>
      <c r="G20" t="s">
        <v>674</v>
      </c>
      <c r="H20" t="s">
        <v>116</v>
      </c>
      <c r="I20" t="s">
        <v>731</v>
      </c>
      <c r="J20" t="s">
        <v>732</v>
      </c>
      <c r="K20" t="s">
        <v>733</v>
      </c>
      <c r="L20" t="s">
        <v>734</v>
      </c>
      <c r="M20" s="1">
        <v>46274.898888888885</v>
      </c>
      <c r="N20" s="1">
        <v>46274.898969907408</v>
      </c>
      <c r="O20" s="1">
        <v>46274.898888888885</v>
      </c>
      <c r="P20" t="s">
        <v>735</v>
      </c>
      <c r="Q20" t="s">
        <v>674</v>
      </c>
      <c r="R20">
        <v>11</v>
      </c>
      <c r="S20">
        <v>62</v>
      </c>
      <c r="T20" t="s">
        <v>674</v>
      </c>
      <c r="U20" t="s">
        <v>121</v>
      </c>
      <c r="V20" t="s">
        <v>674</v>
      </c>
      <c r="W20" t="s">
        <v>674</v>
      </c>
      <c r="X20" t="s">
        <v>674</v>
      </c>
      <c r="Y20" t="s">
        <v>674</v>
      </c>
      <c r="Z20" t="s">
        <v>674</v>
      </c>
      <c r="AA20" t="s">
        <v>674</v>
      </c>
      <c r="AB20" t="s">
        <v>674</v>
      </c>
      <c r="AC20" t="s">
        <v>97</v>
      </c>
      <c r="AD20" t="s">
        <v>122</v>
      </c>
      <c r="AE20" t="s">
        <v>674</v>
      </c>
      <c r="AF20" t="s">
        <v>674</v>
      </c>
      <c r="AG20" t="s">
        <v>674</v>
      </c>
      <c r="AH20" t="s">
        <v>99</v>
      </c>
      <c r="AJ20" t="s">
        <v>674</v>
      </c>
      <c r="AK20" t="s">
        <v>674</v>
      </c>
      <c r="AL20" t="s">
        <v>736</v>
      </c>
      <c r="AM20" t="s">
        <v>674</v>
      </c>
      <c r="AN20" t="s">
        <v>674</v>
      </c>
      <c r="AO20" t="s">
        <v>712</v>
      </c>
      <c r="AP20" t="s">
        <v>674</v>
      </c>
      <c r="AQ20" t="s">
        <v>674</v>
      </c>
      <c r="AR20" t="s">
        <v>674</v>
      </c>
      <c r="AS20" t="s">
        <v>674</v>
      </c>
      <c r="AT20" t="s">
        <v>674</v>
      </c>
      <c r="AU20" t="s">
        <v>674</v>
      </c>
      <c r="AV20" t="s">
        <v>674</v>
      </c>
      <c r="AW20" t="s">
        <v>674</v>
      </c>
      <c r="AX20" t="s">
        <v>674</v>
      </c>
      <c r="AY20" t="s">
        <v>674</v>
      </c>
      <c r="AZ20" t="s">
        <v>674</v>
      </c>
      <c r="BA20" t="s">
        <v>674</v>
      </c>
      <c r="BB20" t="s">
        <v>674</v>
      </c>
      <c r="BC20" t="s">
        <v>674</v>
      </c>
      <c r="BD20" t="s">
        <v>674</v>
      </c>
      <c r="BE20" t="s">
        <v>674</v>
      </c>
      <c r="BF20" t="s">
        <v>674</v>
      </c>
      <c r="BG20" t="s">
        <v>674</v>
      </c>
      <c r="BH20" t="s">
        <v>674</v>
      </c>
      <c r="BI20" t="s">
        <v>674</v>
      </c>
      <c r="BJ20" t="s">
        <v>674</v>
      </c>
      <c r="BK20" t="s">
        <v>674</v>
      </c>
      <c r="BL20" t="s">
        <v>674</v>
      </c>
      <c r="BM20" t="s">
        <v>674</v>
      </c>
      <c r="BN20" t="s">
        <v>674</v>
      </c>
      <c r="BO20" t="s">
        <v>674</v>
      </c>
      <c r="BP20" t="s">
        <v>674</v>
      </c>
      <c r="BQ20" t="s">
        <v>674</v>
      </c>
      <c r="BR20" t="s">
        <v>674</v>
      </c>
      <c r="BS20" t="s">
        <v>674</v>
      </c>
      <c r="BT20" t="s">
        <v>674</v>
      </c>
      <c r="BU20" t="s">
        <v>674</v>
      </c>
      <c r="BV20" t="s">
        <v>674</v>
      </c>
      <c r="BW20" t="s">
        <v>674</v>
      </c>
      <c r="BX20" t="s">
        <v>674</v>
      </c>
      <c r="BY20" t="s">
        <v>674</v>
      </c>
      <c r="BZ20" t="s">
        <v>674</v>
      </c>
      <c r="CA20" t="s">
        <v>674</v>
      </c>
      <c r="CB20" t="s">
        <v>674</v>
      </c>
      <c r="CC20" t="s">
        <v>674</v>
      </c>
      <c r="CD20" t="s">
        <v>674</v>
      </c>
      <c r="CE20" t="s">
        <v>674</v>
      </c>
      <c r="CF20" t="s">
        <v>674</v>
      </c>
      <c r="CG20" t="s">
        <v>674</v>
      </c>
      <c r="CH20" t="s">
        <v>674</v>
      </c>
      <c r="CI20" t="s">
        <v>674</v>
      </c>
    </row>
    <row r="21" spans="1:87" x14ac:dyDescent="0.25">
      <c r="A21" t="s">
        <v>715</v>
      </c>
      <c r="B21" t="s">
        <v>88</v>
      </c>
      <c r="C21">
        <v>2025</v>
      </c>
      <c r="D21" t="s">
        <v>716</v>
      </c>
      <c r="E21" t="s">
        <v>717</v>
      </c>
      <c r="F21" t="s">
        <v>674</v>
      </c>
      <c r="G21" t="s">
        <v>674</v>
      </c>
      <c r="H21" t="s">
        <v>718</v>
      </c>
      <c r="I21" t="s">
        <v>719</v>
      </c>
      <c r="J21" t="s">
        <v>720</v>
      </c>
      <c r="K21" t="s">
        <v>721</v>
      </c>
      <c r="L21" t="s">
        <v>722</v>
      </c>
      <c r="M21" s="1">
        <v>46274.898217592592</v>
      </c>
      <c r="N21" s="1">
        <v>46274.898298611108</v>
      </c>
      <c r="O21" s="1">
        <v>46274.898217592592</v>
      </c>
      <c r="P21" t="s">
        <v>674</v>
      </c>
      <c r="Q21" t="s">
        <v>674</v>
      </c>
      <c r="T21" t="s">
        <v>674</v>
      </c>
      <c r="U21" t="s">
        <v>674</v>
      </c>
      <c r="V21" t="s">
        <v>674</v>
      </c>
      <c r="W21" t="s">
        <v>674</v>
      </c>
      <c r="X21" t="s">
        <v>674</v>
      </c>
      <c r="Y21" t="s">
        <v>674</v>
      </c>
      <c r="Z21" t="s">
        <v>674</v>
      </c>
      <c r="AA21" t="s">
        <v>723</v>
      </c>
      <c r="AB21" t="s">
        <v>674</v>
      </c>
      <c r="AC21" t="s">
        <v>97</v>
      </c>
      <c r="AD21" t="s">
        <v>724</v>
      </c>
      <c r="AE21" t="s">
        <v>674</v>
      </c>
      <c r="AF21" t="s">
        <v>674</v>
      </c>
      <c r="AG21" t="s">
        <v>674</v>
      </c>
      <c r="AH21" t="s">
        <v>725</v>
      </c>
      <c r="AJ21" t="s">
        <v>674</v>
      </c>
      <c r="AK21" t="s">
        <v>674</v>
      </c>
      <c r="AL21" t="s">
        <v>726</v>
      </c>
      <c r="AM21" t="s">
        <v>674</v>
      </c>
      <c r="AN21" t="s">
        <v>674</v>
      </c>
      <c r="AO21" t="s">
        <v>727</v>
      </c>
      <c r="AP21" t="s">
        <v>674</v>
      </c>
      <c r="AQ21" t="s">
        <v>674</v>
      </c>
      <c r="AR21" t="s">
        <v>674</v>
      </c>
      <c r="AS21" t="s">
        <v>674</v>
      </c>
      <c r="AT21" t="s">
        <v>674</v>
      </c>
      <c r="AU21" t="s">
        <v>674</v>
      </c>
      <c r="AV21" t="s">
        <v>674</v>
      </c>
      <c r="AW21" t="s">
        <v>674</v>
      </c>
      <c r="AX21" t="s">
        <v>674</v>
      </c>
      <c r="AY21" t="s">
        <v>674</v>
      </c>
      <c r="AZ21" t="s">
        <v>674</v>
      </c>
      <c r="BA21" t="s">
        <v>674</v>
      </c>
      <c r="BB21" t="s">
        <v>674</v>
      </c>
      <c r="BC21" t="s">
        <v>674</v>
      </c>
      <c r="BD21" t="s">
        <v>674</v>
      </c>
      <c r="BE21" t="s">
        <v>674</v>
      </c>
      <c r="BF21" t="s">
        <v>674</v>
      </c>
      <c r="BG21" t="s">
        <v>674</v>
      </c>
      <c r="BH21" t="s">
        <v>674</v>
      </c>
      <c r="BI21" t="s">
        <v>674</v>
      </c>
      <c r="BJ21" t="s">
        <v>674</v>
      </c>
      <c r="BK21" t="s">
        <v>674</v>
      </c>
      <c r="BL21" t="s">
        <v>674</v>
      </c>
      <c r="BM21" t="s">
        <v>674</v>
      </c>
      <c r="BN21" t="s">
        <v>674</v>
      </c>
      <c r="BO21" t="s">
        <v>674</v>
      </c>
      <c r="BP21" t="s">
        <v>674</v>
      </c>
      <c r="BQ21" t="s">
        <v>674</v>
      </c>
      <c r="BR21" t="s">
        <v>674</v>
      </c>
      <c r="BS21" t="s">
        <v>674</v>
      </c>
      <c r="BT21" t="s">
        <v>674</v>
      </c>
      <c r="BU21" t="s">
        <v>674</v>
      </c>
      <c r="BV21" t="s">
        <v>674</v>
      </c>
      <c r="BW21" t="s">
        <v>674</v>
      </c>
      <c r="BX21" t="s">
        <v>674</v>
      </c>
      <c r="BY21" t="s">
        <v>674</v>
      </c>
      <c r="BZ21" t="s">
        <v>674</v>
      </c>
      <c r="CA21" t="s">
        <v>674</v>
      </c>
      <c r="CB21" t="s">
        <v>674</v>
      </c>
      <c r="CC21" t="s">
        <v>674</v>
      </c>
      <c r="CD21" t="s">
        <v>674</v>
      </c>
      <c r="CE21" t="s">
        <v>674</v>
      </c>
      <c r="CF21" t="s">
        <v>674</v>
      </c>
      <c r="CG21" t="s">
        <v>674</v>
      </c>
      <c r="CH21" t="s">
        <v>674</v>
      </c>
      <c r="CI21" t="s">
        <v>674</v>
      </c>
    </row>
    <row r="22" spans="1:87" x14ac:dyDescent="0.25">
      <c r="A22" t="s">
        <v>713</v>
      </c>
      <c r="B22" t="s">
        <v>88</v>
      </c>
      <c r="D22" t="s">
        <v>406</v>
      </c>
      <c r="E22" t="s">
        <v>407</v>
      </c>
      <c r="F22" t="s">
        <v>674</v>
      </c>
      <c r="G22" t="s">
        <v>674</v>
      </c>
      <c r="H22" t="s">
        <v>674</v>
      </c>
      <c r="I22" t="s">
        <v>674</v>
      </c>
      <c r="J22" t="s">
        <v>674</v>
      </c>
      <c r="K22" t="s">
        <v>408</v>
      </c>
      <c r="L22" t="s">
        <v>674</v>
      </c>
      <c r="M22" s="1">
        <v>46274.897893518515</v>
      </c>
      <c r="N22" s="1">
        <v>46274.897905092592</v>
      </c>
      <c r="O22" s="1"/>
      <c r="P22" t="s">
        <v>674</v>
      </c>
      <c r="Q22" t="s">
        <v>674</v>
      </c>
      <c r="T22" t="s">
        <v>674</v>
      </c>
      <c r="U22" t="s">
        <v>674</v>
      </c>
      <c r="V22" t="s">
        <v>674</v>
      </c>
      <c r="W22" t="s">
        <v>674</v>
      </c>
      <c r="X22" t="s">
        <v>674</v>
      </c>
      <c r="Y22" t="s">
        <v>674</v>
      </c>
      <c r="Z22" t="s">
        <v>674</v>
      </c>
      <c r="AA22" t="s">
        <v>674</v>
      </c>
      <c r="AB22" t="s">
        <v>674</v>
      </c>
      <c r="AC22" t="s">
        <v>97</v>
      </c>
      <c r="AD22" t="s">
        <v>674</v>
      </c>
      <c r="AE22" t="s">
        <v>674</v>
      </c>
      <c r="AF22" t="s">
        <v>674</v>
      </c>
      <c r="AG22" t="s">
        <v>674</v>
      </c>
      <c r="AH22" t="s">
        <v>163</v>
      </c>
      <c r="AJ22" t="s">
        <v>674</v>
      </c>
      <c r="AK22" t="s">
        <v>674</v>
      </c>
      <c r="AL22" t="s">
        <v>714</v>
      </c>
      <c r="AM22" t="s">
        <v>674</v>
      </c>
      <c r="AN22" t="s">
        <v>674</v>
      </c>
      <c r="AO22" t="s">
        <v>712</v>
      </c>
      <c r="AP22" t="s">
        <v>674</v>
      </c>
      <c r="AQ22" t="s">
        <v>674</v>
      </c>
      <c r="AR22" t="s">
        <v>674</v>
      </c>
      <c r="AS22" t="s">
        <v>674</v>
      </c>
      <c r="AT22" t="s">
        <v>674</v>
      </c>
      <c r="AU22" t="s">
        <v>674</v>
      </c>
      <c r="AV22" t="s">
        <v>674</v>
      </c>
      <c r="AW22" t="s">
        <v>674</v>
      </c>
      <c r="AX22" t="s">
        <v>674</v>
      </c>
      <c r="AY22" t="s">
        <v>674</v>
      </c>
      <c r="AZ22" t="s">
        <v>674</v>
      </c>
      <c r="BA22" t="s">
        <v>674</v>
      </c>
      <c r="BB22" t="s">
        <v>674</v>
      </c>
      <c r="BC22" t="s">
        <v>674</v>
      </c>
      <c r="BD22" t="s">
        <v>674</v>
      </c>
      <c r="BE22" t="s">
        <v>674</v>
      </c>
      <c r="BF22" t="s">
        <v>674</v>
      </c>
      <c r="BG22" t="s">
        <v>674</v>
      </c>
      <c r="BH22" t="s">
        <v>674</v>
      </c>
      <c r="BI22" t="s">
        <v>674</v>
      </c>
      <c r="BJ22" t="s">
        <v>674</v>
      </c>
      <c r="BK22" t="s">
        <v>674</v>
      </c>
      <c r="BL22" t="s">
        <v>674</v>
      </c>
      <c r="BM22" t="s">
        <v>674</v>
      </c>
      <c r="BN22" t="s">
        <v>674</v>
      </c>
      <c r="BO22" t="s">
        <v>674</v>
      </c>
      <c r="BP22" t="s">
        <v>674</v>
      </c>
      <c r="BQ22" t="s">
        <v>674</v>
      </c>
      <c r="BR22" t="s">
        <v>674</v>
      </c>
      <c r="BS22" t="s">
        <v>674</v>
      </c>
      <c r="BT22" t="s">
        <v>674</v>
      </c>
      <c r="BU22" t="s">
        <v>674</v>
      </c>
      <c r="BV22" t="s">
        <v>674</v>
      </c>
      <c r="BW22" t="s">
        <v>674</v>
      </c>
      <c r="BX22" t="s">
        <v>674</v>
      </c>
      <c r="BY22" t="s">
        <v>674</v>
      </c>
      <c r="BZ22" t="s">
        <v>674</v>
      </c>
      <c r="CA22" t="s">
        <v>674</v>
      </c>
      <c r="CB22" t="s">
        <v>674</v>
      </c>
      <c r="CC22" t="s">
        <v>674</v>
      </c>
      <c r="CD22" t="s">
        <v>674</v>
      </c>
      <c r="CE22" t="s">
        <v>674</v>
      </c>
      <c r="CF22" t="s">
        <v>674</v>
      </c>
      <c r="CG22" t="s">
        <v>674</v>
      </c>
      <c r="CH22" t="s">
        <v>674</v>
      </c>
      <c r="CI22" t="s">
        <v>674</v>
      </c>
    </row>
    <row r="23" spans="1:87" x14ac:dyDescent="0.25">
      <c r="A23" t="s">
        <v>699</v>
      </c>
      <c r="B23" t="s">
        <v>88</v>
      </c>
      <c r="C23">
        <v>2016</v>
      </c>
      <c r="D23" t="s">
        <v>700</v>
      </c>
      <c r="E23" t="s">
        <v>701</v>
      </c>
      <c r="F23" t="s">
        <v>702</v>
      </c>
      <c r="G23" t="s">
        <v>674</v>
      </c>
      <c r="H23" t="s">
        <v>703</v>
      </c>
      <c r="I23" t="s">
        <v>704</v>
      </c>
      <c r="J23" t="s">
        <v>705</v>
      </c>
      <c r="K23" t="s">
        <v>706</v>
      </c>
      <c r="L23" t="s">
        <v>707</v>
      </c>
      <c r="M23" s="1">
        <v>46274.897604166668</v>
      </c>
      <c r="N23" s="1">
        <v>46274.897650462961</v>
      </c>
      <c r="O23" s="1">
        <v>46274.897604166668</v>
      </c>
      <c r="P23" t="s">
        <v>708</v>
      </c>
      <c r="Q23" t="s">
        <v>674</v>
      </c>
      <c r="R23">
        <v>1</v>
      </c>
      <c r="S23">
        <v>12</v>
      </c>
      <c r="T23" t="s">
        <v>674</v>
      </c>
      <c r="U23" t="s">
        <v>702</v>
      </c>
      <c r="V23" t="s">
        <v>709</v>
      </c>
      <c r="W23" t="s">
        <v>674</v>
      </c>
      <c r="X23" t="s">
        <v>674</v>
      </c>
      <c r="Y23" t="s">
        <v>674</v>
      </c>
      <c r="Z23" t="s">
        <v>674</v>
      </c>
      <c r="AA23" t="s">
        <v>674</v>
      </c>
      <c r="AB23" t="s">
        <v>674</v>
      </c>
      <c r="AC23" t="s">
        <v>710</v>
      </c>
      <c r="AD23" t="s">
        <v>674</v>
      </c>
      <c r="AE23" t="s">
        <v>674</v>
      </c>
      <c r="AF23" t="s">
        <v>674</v>
      </c>
      <c r="AG23" t="s">
        <v>674</v>
      </c>
      <c r="AH23" t="s">
        <v>99</v>
      </c>
      <c r="AJ23" t="s">
        <v>674</v>
      </c>
      <c r="AK23" t="s">
        <v>674</v>
      </c>
      <c r="AL23" t="s">
        <v>711</v>
      </c>
      <c r="AM23" t="s">
        <v>674</v>
      </c>
      <c r="AN23" t="s">
        <v>674</v>
      </c>
      <c r="AO23" t="s">
        <v>712</v>
      </c>
      <c r="AP23" t="s">
        <v>674</v>
      </c>
      <c r="AQ23" t="s">
        <v>674</v>
      </c>
      <c r="AR23" t="s">
        <v>674</v>
      </c>
      <c r="AS23" t="s">
        <v>674</v>
      </c>
      <c r="AT23" t="s">
        <v>674</v>
      </c>
      <c r="AU23" t="s">
        <v>674</v>
      </c>
      <c r="AV23" t="s">
        <v>674</v>
      </c>
      <c r="AW23" t="s">
        <v>674</v>
      </c>
      <c r="AX23" t="s">
        <v>674</v>
      </c>
      <c r="AY23" t="s">
        <v>674</v>
      </c>
      <c r="AZ23" t="s">
        <v>674</v>
      </c>
      <c r="BA23" t="s">
        <v>674</v>
      </c>
      <c r="BB23" t="s">
        <v>674</v>
      </c>
      <c r="BC23" t="s">
        <v>674</v>
      </c>
      <c r="BD23" t="s">
        <v>674</v>
      </c>
      <c r="BE23" t="s">
        <v>674</v>
      </c>
      <c r="BF23" t="s">
        <v>674</v>
      </c>
      <c r="BG23" t="s">
        <v>674</v>
      </c>
      <c r="BH23" t="s">
        <v>674</v>
      </c>
      <c r="BI23" t="s">
        <v>674</v>
      </c>
      <c r="BJ23" t="s">
        <v>674</v>
      </c>
      <c r="BK23" t="s">
        <v>674</v>
      </c>
      <c r="BL23" t="s">
        <v>674</v>
      </c>
      <c r="BM23" t="s">
        <v>674</v>
      </c>
      <c r="BN23" t="s">
        <v>674</v>
      </c>
      <c r="BO23" t="s">
        <v>674</v>
      </c>
      <c r="BP23" t="s">
        <v>674</v>
      </c>
      <c r="BQ23" t="s">
        <v>674</v>
      </c>
      <c r="BR23" t="s">
        <v>674</v>
      </c>
      <c r="BS23" t="s">
        <v>674</v>
      </c>
      <c r="BT23" t="s">
        <v>674</v>
      </c>
      <c r="BU23" t="s">
        <v>674</v>
      </c>
      <c r="BV23" t="s">
        <v>674</v>
      </c>
      <c r="BW23" t="s">
        <v>674</v>
      </c>
      <c r="BX23" t="s">
        <v>674</v>
      </c>
      <c r="BY23" t="s">
        <v>674</v>
      </c>
      <c r="BZ23" t="s">
        <v>674</v>
      </c>
      <c r="CA23" t="s">
        <v>674</v>
      </c>
      <c r="CB23" t="s">
        <v>674</v>
      </c>
      <c r="CC23" t="s">
        <v>674</v>
      </c>
      <c r="CD23" t="s">
        <v>674</v>
      </c>
      <c r="CE23" t="s">
        <v>674</v>
      </c>
      <c r="CF23" t="s">
        <v>674</v>
      </c>
      <c r="CG23" t="s">
        <v>674</v>
      </c>
      <c r="CH23" t="s">
        <v>674</v>
      </c>
      <c r="CI23" t="s">
        <v>674</v>
      </c>
    </row>
    <row r="24" spans="1:87" x14ac:dyDescent="0.25">
      <c r="A24" t="s">
        <v>400</v>
      </c>
      <c r="B24" t="s">
        <v>88</v>
      </c>
      <c r="D24" t="s">
        <v>401</v>
      </c>
      <c r="E24" t="s">
        <v>402</v>
      </c>
      <c r="F24" t="s">
        <v>674</v>
      </c>
      <c r="G24" t="s">
        <v>674</v>
      </c>
      <c r="H24" t="s">
        <v>674</v>
      </c>
      <c r="I24" t="s">
        <v>674</v>
      </c>
      <c r="J24" t="s">
        <v>674</v>
      </c>
      <c r="K24" t="s">
        <v>674</v>
      </c>
      <c r="L24" t="s">
        <v>674</v>
      </c>
      <c r="M24" s="1">
        <v>46258.849178240744</v>
      </c>
      <c r="N24" s="1">
        <v>46258.861354166664</v>
      </c>
      <c r="O24" s="1"/>
      <c r="P24" t="s">
        <v>674</v>
      </c>
      <c r="Q24" t="s">
        <v>674</v>
      </c>
      <c r="T24" t="s">
        <v>674</v>
      </c>
      <c r="U24" t="s">
        <v>674</v>
      </c>
      <c r="V24" t="s">
        <v>674</v>
      </c>
      <c r="W24" t="s">
        <v>674</v>
      </c>
      <c r="X24" t="s">
        <v>674</v>
      </c>
      <c r="Y24" t="s">
        <v>674</v>
      </c>
      <c r="Z24" t="s">
        <v>674</v>
      </c>
      <c r="AA24" t="s">
        <v>674</v>
      </c>
      <c r="AB24" t="s">
        <v>674</v>
      </c>
      <c r="AC24" t="s">
        <v>97</v>
      </c>
      <c r="AD24" t="s">
        <v>674</v>
      </c>
      <c r="AE24" t="s">
        <v>674</v>
      </c>
      <c r="AF24" t="s">
        <v>674</v>
      </c>
      <c r="AG24" t="s">
        <v>674</v>
      </c>
      <c r="AH24" t="s">
        <v>163</v>
      </c>
      <c r="AJ24" t="s">
        <v>674</v>
      </c>
      <c r="AK24" t="s">
        <v>674</v>
      </c>
      <c r="AL24" t="s">
        <v>403</v>
      </c>
      <c r="AM24" t="s">
        <v>674</v>
      </c>
      <c r="AN24" t="s">
        <v>404</v>
      </c>
      <c r="AO24" t="s">
        <v>674</v>
      </c>
      <c r="AP24" t="s">
        <v>674</v>
      </c>
      <c r="AQ24" t="s">
        <v>674</v>
      </c>
      <c r="AR24" t="s">
        <v>674</v>
      </c>
      <c r="AS24" t="s">
        <v>674</v>
      </c>
      <c r="AT24" t="s">
        <v>674</v>
      </c>
      <c r="AU24" t="s">
        <v>674</v>
      </c>
      <c r="AV24" t="s">
        <v>674</v>
      </c>
      <c r="AW24" t="s">
        <v>674</v>
      </c>
      <c r="AX24" t="s">
        <v>674</v>
      </c>
      <c r="AY24" t="s">
        <v>674</v>
      </c>
      <c r="AZ24" t="s">
        <v>674</v>
      </c>
      <c r="BA24" t="s">
        <v>674</v>
      </c>
      <c r="BB24" t="s">
        <v>674</v>
      </c>
      <c r="BC24" t="s">
        <v>674</v>
      </c>
      <c r="BD24" t="s">
        <v>674</v>
      </c>
      <c r="BE24" t="s">
        <v>674</v>
      </c>
      <c r="BF24" t="s">
        <v>674</v>
      </c>
      <c r="BG24" t="s">
        <v>674</v>
      </c>
      <c r="BH24" t="s">
        <v>674</v>
      </c>
      <c r="BI24" t="s">
        <v>674</v>
      </c>
      <c r="BJ24" t="s">
        <v>674</v>
      </c>
      <c r="BK24" t="s">
        <v>674</v>
      </c>
      <c r="BL24" t="s">
        <v>674</v>
      </c>
      <c r="BM24" t="s">
        <v>674</v>
      </c>
      <c r="BN24" t="s">
        <v>674</v>
      </c>
      <c r="BO24" t="s">
        <v>674</v>
      </c>
      <c r="BP24" t="s">
        <v>674</v>
      </c>
      <c r="BQ24" t="s">
        <v>674</v>
      </c>
      <c r="BR24" t="s">
        <v>674</v>
      </c>
      <c r="BS24" t="s">
        <v>674</v>
      </c>
      <c r="BT24" t="s">
        <v>674</v>
      </c>
      <c r="BU24" t="s">
        <v>674</v>
      </c>
      <c r="BV24" t="s">
        <v>674</v>
      </c>
      <c r="BW24" t="s">
        <v>674</v>
      </c>
      <c r="BX24" t="s">
        <v>674</v>
      </c>
      <c r="BY24" t="s">
        <v>674</v>
      </c>
      <c r="BZ24" t="s">
        <v>674</v>
      </c>
      <c r="CA24" t="s">
        <v>674</v>
      </c>
      <c r="CB24" t="s">
        <v>674</v>
      </c>
      <c r="CC24" t="s">
        <v>674</v>
      </c>
      <c r="CD24" t="s">
        <v>674</v>
      </c>
      <c r="CE24" t="s">
        <v>674</v>
      </c>
      <c r="CF24" t="s">
        <v>674</v>
      </c>
      <c r="CG24" t="s">
        <v>674</v>
      </c>
      <c r="CH24" t="s">
        <v>674</v>
      </c>
      <c r="CI24" t="s">
        <v>674</v>
      </c>
    </row>
    <row r="25" spans="1:87" x14ac:dyDescent="0.25">
      <c r="A25" t="s">
        <v>457</v>
      </c>
      <c r="B25" t="s">
        <v>88</v>
      </c>
      <c r="C25">
        <v>2026</v>
      </c>
      <c r="D25" t="s">
        <v>458</v>
      </c>
      <c r="E25" t="s">
        <v>459</v>
      </c>
      <c r="F25" t="s">
        <v>115</v>
      </c>
      <c r="G25" t="s">
        <v>674</v>
      </c>
      <c r="H25" t="s">
        <v>116</v>
      </c>
      <c r="I25" t="s">
        <v>460</v>
      </c>
      <c r="J25" t="s">
        <v>461</v>
      </c>
      <c r="K25" t="s">
        <v>674</v>
      </c>
      <c r="L25" t="s">
        <v>462</v>
      </c>
      <c r="M25" s="1">
        <v>46258.849803240744</v>
      </c>
      <c r="N25" s="1">
        <v>46258.859895833331</v>
      </c>
      <c r="O25" s="1">
        <v>46258.849803240744</v>
      </c>
      <c r="P25" t="s">
        <v>463</v>
      </c>
      <c r="Q25" t="s">
        <v>674</v>
      </c>
      <c r="R25">
        <v>5</v>
      </c>
      <c r="S25">
        <v>73</v>
      </c>
      <c r="T25" t="s">
        <v>674</v>
      </c>
      <c r="U25" t="s">
        <v>121</v>
      </c>
      <c r="V25" t="s">
        <v>674</v>
      </c>
      <c r="W25" t="s">
        <v>674</v>
      </c>
      <c r="X25" t="s">
        <v>674</v>
      </c>
      <c r="Y25" t="s">
        <v>674</v>
      </c>
      <c r="Z25" t="s">
        <v>674</v>
      </c>
      <c r="AA25" t="s">
        <v>674</v>
      </c>
      <c r="AB25" t="s">
        <v>674</v>
      </c>
      <c r="AC25" t="s">
        <v>674</v>
      </c>
      <c r="AD25" t="s">
        <v>122</v>
      </c>
      <c r="AE25" t="s">
        <v>674</v>
      </c>
      <c r="AF25" t="s">
        <v>674</v>
      </c>
      <c r="AG25" t="s">
        <v>674</v>
      </c>
      <c r="AH25" t="s">
        <v>99</v>
      </c>
      <c r="AJ25" t="s">
        <v>674</v>
      </c>
      <c r="AK25" t="s">
        <v>674</v>
      </c>
      <c r="AL25" t="s">
        <v>464</v>
      </c>
      <c r="AM25" t="s">
        <v>674</v>
      </c>
      <c r="AN25" t="s">
        <v>293</v>
      </c>
      <c r="AO25" t="s">
        <v>674</v>
      </c>
      <c r="AP25" t="s">
        <v>674</v>
      </c>
      <c r="AQ25" t="s">
        <v>674</v>
      </c>
      <c r="AR25" t="s">
        <v>674</v>
      </c>
      <c r="AS25" t="s">
        <v>674</v>
      </c>
      <c r="AT25" t="s">
        <v>674</v>
      </c>
      <c r="AU25" t="s">
        <v>674</v>
      </c>
      <c r="AV25" t="s">
        <v>674</v>
      </c>
      <c r="AW25" t="s">
        <v>674</v>
      </c>
      <c r="AX25" t="s">
        <v>674</v>
      </c>
      <c r="AY25" t="s">
        <v>674</v>
      </c>
      <c r="AZ25" t="s">
        <v>674</v>
      </c>
      <c r="BA25" t="s">
        <v>674</v>
      </c>
      <c r="BB25" t="s">
        <v>674</v>
      </c>
      <c r="BC25" t="s">
        <v>674</v>
      </c>
      <c r="BD25" t="s">
        <v>674</v>
      </c>
      <c r="BE25" t="s">
        <v>674</v>
      </c>
      <c r="BF25" t="s">
        <v>674</v>
      </c>
      <c r="BG25" t="s">
        <v>674</v>
      </c>
      <c r="BH25" t="s">
        <v>674</v>
      </c>
      <c r="BI25" t="s">
        <v>674</v>
      </c>
      <c r="BJ25" t="s">
        <v>674</v>
      </c>
      <c r="BK25" t="s">
        <v>674</v>
      </c>
      <c r="BL25" t="s">
        <v>674</v>
      </c>
      <c r="BM25" t="s">
        <v>674</v>
      </c>
      <c r="BN25" t="s">
        <v>674</v>
      </c>
      <c r="BO25" t="s">
        <v>674</v>
      </c>
      <c r="BP25" t="s">
        <v>674</v>
      </c>
      <c r="BQ25" t="s">
        <v>674</v>
      </c>
      <c r="BR25" t="s">
        <v>674</v>
      </c>
      <c r="BS25" t="s">
        <v>674</v>
      </c>
      <c r="BT25" t="s">
        <v>674</v>
      </c>
      <c r="BU25" t="s">
        <v>674</v>
      </c>
      <c r="BV25" t="s">
        <v>674</v>
      </c>
      <c r="BW25" t="s">
        <v>674</v>
      </c>
      <c r="BX25" t="s">
        <v>674</v>
      </c>
      <c r="BY25" t="s">
        <v>674</v>
      </c>
      <c r="BZ25" t="s">
        <v>674</v>
      </c>
      <c r="CA25" t="s">
        <v>674</v>
      </c>
      <c r="CB25" t="s">
        <v>674</v>
      </c>
      <c r="CC25" t="s">
        <v>674</v>
      </c>
      <c r="CD25" t="s">
        <v>674</v>
      </c>
      <c r="CE25" t="s">
        <v>674</v>
      </c>
      <c r="CF25" t="s">
        <v>674</v>
      </c>
      <c r="CG25" t="s">
        <v>674</v>
      </c>
      <c r="CH25" t="s">
        <v>674</v>
      </c>
      <c r="CI25" t="s">
        <v>674</v>
      </c>
    </row>
    <row r="26" spans="1:87" x14ac:dyDescent="0.25">
      <c r="A26" t="s">
        <v>405</v>
      </c>
      <c r="B26" t="s">
        <v>88</v>
      </c>
      <c r="D26" t="s">
        <v>406</v>
      </c>
      <c r="E26" t="s">
        <v>407</v>
      </c>
      <c r="F26" t="s">
        <v>674</v>
      </c>
      <c r="G26" t="s">
        <v>674</v>
      </c>
      <c r="H26" t="s">
        <v>674</v>
      </c>
      <c r="I26" t="s">
        <v>674</v>
      </c>
      <c r="J26" t="s">
        <v>674</v>
      </c>
      <c r="K26" t="s">
        <v>408</v>
      </c>
      <c r="L26" t="s">
        <v>674</v>
      </c>
      <c r="M26" s="1">
        <v>46258.849247685182</v>
      </c>
      <c r="N26" s="1">
        <v>46258.858877314815</v>
      </c>
      <c r="O26" s="1"/>
      <c r="P26" t="s">
        <v>674</v>
      </c>
      <c r="Q26" t="s">
        <v>674</v>
      </c>
      <c r="T26" t="s">
        <v>674</v>
      </c>
      <c r="U26" t="s">
        <v>674</v>
      </c>
      <c r="V26" t="s">
        <v>674</v>
      </c>
      <c r="W26" t="s">
        <v>674</v>
      </c>
      <c r="X26" t="s">
        <v>674</v>
      </c>
      <c r="Y26" t="s">
        <v>674</v>
      </c>
      <c r="Z26" t="s">
        <v>674</v>
      </c>
      <c r="AA26" t="s">
        <v>674</v>
      </c>
      <c r="AB26" t="s">
        <v>674</v>
      </c>
      <c r="AC26" t="s">
        <v>97</v>
      </c>
      <c r="AD26" t="s">
        <v>674</v>
      </c>
      <c r="AE26" t="s">
        <v>674</v>
      </c>
      <c r="AF26" t="s">
        <v>674</v>
      </c>
      <c r="AG26" t="s">
        <v>674</v>
      </c>
      <c r="AH26" t="s">
        <v>163</v>
      </c>
      <c r="AJ26" t="s">
        <v>674</v>
      </c>
      <c r="AK26" t="s">
        <v>674</v>
      </c>
      <c r="AL26" t="s">
        <v>409</v>
      </c>
      <c r="AM26" t="s">
        <v>674</v>
      </c>
      <c r="AN26" t="s">
        <v>410</v>
      </c>
      <c r="AO26" t="s">
        <v>674</v>
      </c>
      <c r="AP26" t="s">
        <v>674</v>
      </c>
      <c r="AQ26" t="s">
        <v>674</v>
      </c>
      <c r="AR26" t="s">
        <v>674</v>
      </c>
      <c r="AS26" t="s">
        <v>674</v>
      </c>
      <c r="AT26" t="s">
        <v>674</v>
      </c>
      <c r="AU26" t="s">
        <v>674</v>
      </c>
      <c r="AV26" t="s">
        <v>674</v>
      </c>
      <c r="AW26" t="s">
        <v>674</v>
      </c>
      <c r="AX26" t="s">
        <v>674</v>
      </c>
      <c r="AY26" t="s">
        <v>674</v>
      </c>
      <c r="AZ26" t="s">
        <v>674</v>
      </c>
      <c r="BA26" t="s">
        <v>674</v>
      </c>
      <c r="BB26" t="s">
        <v>674</v>
      </c>
      <c r="BC26" t="s">
        <v>674</v>
      </c>
      <c r="BD26" t="s">
        <v>674</v>
      </c>
      <c r="BE26" t="s">
        <v>674</v>
      </c>
      <c r="BF26" t="s">
        <v>674</v>
      </c>
      <c r="BG26" t="s">
        <v>674</v>
      </c>
      <c r="BH26" t="s">
        <v>674</v>
      </c>
      <c r="BI26" t="s">
        <v>674</v>
      </c>
      <c r="BJ26" t="s">
        <v>674</v>
      </c>
      <c r="BK26" t="s">
        <v>674</v>
      </c>
      <c r="BL26" t="s">
        <v>674</v>
      </c>
      <c r="BM26" t="s">
        <v>674</v>
      </c>
      <c r="BN26" t="s">
        <v>674</v>
      </c>
      <c r="BO26" t="s">
        <v>674</v>
      </c>
      <c r="BP26" t="s">
        <v>674</v>
      </c>
      <c r="BQ26" t="s">
        <v>674</v>
      </c>
      <c r="BR26" t="s">
        <v>674</v>
      </c>
      <c r="BS26" t="s">
        <v>674</v>
      </c>
      <c r="BT26" t="s">
        <v>674</v>
      </c>
      <c r="BU26" t="s">
        <v>674</v>
      </c>
      <c r="BV26" t="s">
        <v>674</v>
      </c>
      <c r="BW26" t="s">
        <v>674</v>
      </c>
      <c r="BX26" t="s">
        <v>674</v>
      </c>
      <c r="BY26" t="s">
        <v>674</v>
      </c>
      <c r="BZ26" t="s">
        <v>674</v>
      </c>
      <c r="CA26" t="s">
        <v>674</v>
      </c>
      <c r="CB26" t="s">
        <v>674</v>
      </c>
      <c r="CC26" t="s">
        <v>674</v>
      </c>
      <c r="CD26" t="s">
        <v>674</v>
      </c>
      <c r="CE26" t="s">
        <v>674</v>
      </c>
      <c r="CF26" t="s">
        <v>674</v>
      </c>
      <c r="CG26" t="s">
        <v>674</v>
      </c>
      <c r="CH26" t="s">
        <v>674</v>
      </c>
      <c r="CI26" t="s">
        <v>674</v>
      </c>
    </row>
    <row r="27" spans="1:87" x14ac:dyDescent="0.25">
      <c r="A27" t="s">
        <v>434</v>
      </c>
      <c r="B27" t="s">
        <v>126</v>
      </c>
      <c r="C27">
        <v>2022</v>
      </c>
      <c r="D27" t="s">
        <v>435</v>
      </c>
      <c r="E27" t="s">
        <v>436</v>
      </c>
      <c r="F27" t="s">
        <v>437</v>
      </c>
      <c r="G27" t="s">
        <v>438</v>
      </c>
      <c r="H27" t="s">
        <v>674</v>
      </c>
      <c r="I27" t="s">
        <v>439</v>
      </c>
      <c r="J27" t="s">
        <v>440</v>
      </c>
      <c r="K27" t="s">
        <v>674</v>
      </c>
      <c r="L27" t="s">
        <v>695</v>
      </c>
      <c r="M27" s="1">
        <v>46258.84957175926</v>
      </c>
      <c r="N27" s="1">
        <v>46258.858599537038</v>
      </c>
      <c r="O27" s="1">
        <v>46258.84957175926</v>
      </c>
      <c r="P27" t="s">
        <v>441</v>
      </c>
      <c r="Q27" t="s">
        <v>674</v>
      </c>
      <c r="T27" t="s">
        <v>674</v>
      </c>
      <c r="U27" t="s">
        <v>674</v>
      </c>
      <c r="V27" t="s">
        <v>674</v>
      </c>
      <c r="W27" t="s">
        <v>674</v>
      </c>
      <c r="X27" t="s">
        <v>674</v>
      </c>
      <c r="Y27" t="s">
        <v>674</v>
      </c>
      <c r="Z27" t="s">
        <v>674</v>
      </c>
      <c r="AA27" t="s">
        <v>133</v>
      </c>
      <c r="AB27" t="s">
        <v>442</v>
      </c>
      <c r="AC27" t="s">
        <v>674</v>
      </c>
      <c r="AD27" t="s">
        <v>135</v>
      </c>
      <c r="AE27" t="s">
        <v>674</v>
      </c>
      <c r="AF27" t="s">
        <v>674</v>
      </c>
      <c r="AG27" t="s">
        <v>674</v>
      </c>
      <c r="AH27" t="s">
        <v>99</v>
      </c>
      <c r="AJ27" t="s">
        <v>674</v>
      </c>
      <c r="AK27" t="s">
        <v>674</v>
      </c>
      <c r="AL27" t="s">
        <v>443</v>
      </c>
      <c r="AM27" t="s">
        <v>674</v>
      </c>
      <c r="AN27" t="s">
        <v>444</v>
      </c>
      <c r="AO27" t="s">
        <v>674</v>
      </c>
      <c r="AP27" t="s">
        <v>674</v>
      </c>
      <c r="AQ27" t="s">
        <v>674</v>
      </c>
      <c r="AR27" t="s">
        <v>674</v>
      </c>
      <c r="AS27" t="s">
        <v>674</v>
      </c>
      <c r="AT27" t="s">
        <v>674</v>
      </c>
      <c r="AU27" t="s">
        <v>674</v>
      </c>
      <c r="AV27" t="s">
        <v>674</v>
      </c>
      <c r="AW27" t="s">
        <v>674</v>
      </c>
      <c r="AX27" t="s">
        <v>674</v>
      </c>
      <c r="AY27" t="s">
        <v>674</v>
      </c>
      <c r="AZ27" t="s">
        <v>674</v>
      </c>
      <c r="BA27" t="s">
        <v>674</v>
      </c>
      <c r="BB27" t="s">
        <v>674</v>
      </c>
      <c r="BC27" t="s">
        <v>674</v>
      </c>
      <c r="BD27" t="s">
        <v>674</v>
      </c>
      <c r="BE27" t="s">
        <v>674</v>
      </c>
      <c r="BF27" t="s">
        <v>674</v>
      </c>
      <c r="BG27" t="s">
        <v>674</v>
      </c>
      <c r="BH27" t="s">
        <v>674</v>
      </c>
      <c r="BI27" t="s">
        <v>674</v>
      </c>
      <c r="BJ27" t="s">
        <v>674</v>
      </c>
      <c r="BK27" t="s">
        <v>674</v>
      </c>
      <c r="BL27" t="s">
        <v>674</v>
      </c>
      <c r="BM27" t="s">
        <v>674</v>
      </c>
      <c r="BN27" t="s">
        <v>674</v>
      </c>
      <c r="BO27" t="s">
        <v>674</v>
      </c>
      <c r="BP27" t="s">
        <v>674</v>
      </c>
      <c r="BQ27" t="s">
        <v>674</v>
      </c>
      <c r="BR27" t="s">
        <v>674</v>
      </c>
      <c r="BS27" t="s">
        <v>674</v>
      </c>
      <c r="BT27" t="s">
        <v>437</v>
      </c>
      <c r="BU27" t="s">
        <v>674</v>
      </c>
      <c r="BV27" t="s">
        <v>674</v>
      </c>
      <c r="BW27" t="s">
        <v>674</v>
      </c>
      <c r="BX27" t="s">
        <v>674</v>
      </c>
      <c r="BY27" t="s">
        <v>674</v>
      </c>
      <c r="BZ27" t="s">
        <v>674</v>
      </c>
      <c r="CA27" t="s">
        <v>674</v>
      </c>
      <c r="CB27" t="s">
        <v>674</v>
      </c>
      <c r="CC27" t="s">
        <v>674</v>
      </c>
      <c r="CD27" t="s">
        <v>674</v>
      </c>
      <c r="CE27" t="s">
        <v>674</v>
      </c>
      <c r="CF27" t="s">
        <v>674</v>
      </c>
      <c r="CG27" t="s">
        <v>674</v>
      </c>
      <c r="CH27" t="s">
        <v>674</v>
      </c>
      <c r="CI27" t="s">
        <v>674</v>
      </c>
    </row>
    <row r="28" spans="1:87" x14ac:dyDescent="0.25">
      <c r="A28" t="s">
        <v>476</v>
      </c>
      <c r="B28" t="s">
        <v>88</v>
      </c>
      <c r="C28">
        <v>2022</v>
      </c>
      <c r="D28" t="s">
        <v>477</v>
      </c>
      <c r="E28" t="s">
        <v>478</v>
      </c>
      <c r="F28" t="s">
        <v>479</v>
      </c>
      <c r="G28" t="s">
        <v>674</v>
      </c>
      <c r="H28" t="s">
        <v>480</v>
      </c>
      <c r="I28" t="s">
        <v>481</v>
      </c>
      <c r="J28" t="s">
        <v>482</v>
      </c>
      <c r="K28" t="s">
        <v>483</v>
      </c>
      <c r="L28" t="s">
        <v>697</v>
      </c>
      <c r="M28" s="1">
        <v>46258.849988425929</v>
      </c>
      <c r="N28" s="1">
        <v>46258.858275462961</v>
      </c>
      <c r="O28" s="1">
        <v>46258.849988425929</v>
      </c>
      <c r="P28" t="s">
        <v>698</v>
      </c>
      <c r="Q28" t="s">
        <v>674</v>
      </c>
      <c r="R28">
        <v>10</v>
      </c>
      <c r="S28">
        <v>12</v>
      </c>
      <c r="T28" t="s">
        <v>674</v>
      </c>
      <c r="U28" t="s">
        <v>479</v>
      </c>
      <c r="V28" t="s">
        <v>674</v>
      </c>
      <c r="W28" t="s">
        <v>674</v>
      </c>
      <c r="X28" t="s">
        <v>674</v>
      </c>
      <c r="Y28" t="s">
        <v>674</v>
      </c>
      <c r="Z28" t="s">
        <v>674</v>
      </c>
      <c r="AA28" t="s">
        <v>674</v>
      </c>
      <c r="AB28" t="s">
        <v>674</v>
      </c>
      <c r="AC28" t="s">
        <v>97</v>
      </c>
      <c r="AD28" t="s">
        <v>674</v>
      </c>
      <c r="AE28" t="s">
        <v>674</v>
      </c>
      <c r="AF28" t="s">
        <v>674</v>
      </c>
      <c r="AG28" t="s">
        <v>674</v>
      </c>
      <c r="AH28" t="s">
        <v>99</v>
      </c>
      <c r="AJ28" t="s">
        <v>674</v>
      </c>
      <c r="AK28" t="s">
        <v>674</v>
      </c>
      <c r="AL28" t="s">
        <v>484</v>
      </c>
      <c r="AM28" t="s">
        <v>674</v>
      </c>
      <c r="AN28" t="s">
        <v>444</v>
      </c>
      <c r="AO28" t="s">
        <v>674</v>
      </c>
      <c r="AP28" t="s">
        <v>674</v>
      </c>
      <c r="AQ28" t="s">
        <v>674</v>
      </c>
      <c r="AR28" t="s">
        <v>674</v>
      </c>
      <c r="AS28" t="s">
        <v>674</v>
      </c>
      <c r="AT28" t="s">
        <v>674</v>
      </c>
      <c r="AU28" t="s">
        <v>674</v>
      </c>
      <c r="AV28" t="s">
        <v>674</v>
      </c>
      <c r="AW28" t="s">
        <v>674</v>
      </c>
      <c r="AX28" t="s">
        <v>674</v>
      </c>
      <c r="AY28" t="s">
        <v>674</v>
      </c>
      <c r="AZ28" t="s">
        <v>674</v>
      </c>
      <c r="BA28" t="s">
        <v>674</v>
      </c>
      <c r="BB28" t="s">
        <v>674</v>
      </c>
      <c r="BC28" t="s">
        <v>674</v>
      </c>
      <c r="BD28" t="s">
        <v>674</v>
      </c>
      <c r="BE28" t="s">
        <v>674</v>
      </c>
      <c r="BF28" t="s">
        <v>674</v>
      </c>
      <c r="BG28" t="s">
        <v>674</v>
      </c>
      <c r="BH28" t="s">
        <v>674</v>
      </c>
      <c r="BI28" t="s">
        <v>674</v>
      </c>
      <c r="BJ28" t="s">
        <v>674</v>
      </c>
      <c r="BK28" t="s">
        <v>674</v>
      </c>
      <c r="BL28" t="s">
        <v>674</v>
      </c>
      <c r="BM28" t="s">
        <v>674</v>
      </c>
      <c r="BN28" t="s">
        <v>674</v>
      </c>
      <c r="BO28" t="s">
        <v>674</v>
      </c>
      <c r="BP28" t="s">
        <v>674</v>
      </c>
      <c r="BQ28" t="s">
        <v>674</v>
      </c>
      <c r="BR28" t="s">
        <v>674</v>
      </c>
      <c r="BS28" t="s">
        <v>674</v>
      </c>
      <c r="BT28" t="s">
        <v>674</v>
      </c>
      <c r="BU28" t="s">
        <v>674</v>
      </c>
      <c r="BV28" t="s">
        <v>674</v>
      </c>
      <c r="BW28" t="s">
        <v>674</v>
      </c>
      <c r="BX28" t="s">
        <v>674</v>
      </c>
      <c r="BY28" t="s">
        <v>674</v>
      </c>
      <c r="BZ28" t="s">
        <v>674</v>
      </c>
      <c r="CA28" t="s">
        <v>674</v>
      </c>
      <c r="CB28" t="s">
        <v>674</v>
      </c>
      <c r="CC28" t="s">
        <v>674</v>
      </c>
      <c r="CD28" t="s">
        <v>674</v>
      </c>
      <c r="CE28" t="s">
        <v>674</v>
      </c>
      <c r="CF28" t="s">
        <v>674</v>
      </c>
      <c r="CG28" t="s">
        <v>674</v>
      </c>
      <c r="CH28" t="s">
        <v>674</v>
      </c>
      <c r="CI28" t="s">
        <v>674</v>
      </c>
    </row>
    <row r="29" spans="1:87" x14ac:dyDescent="0.25">
      <c r="A29" t="s">
        <v>411</v>
      </c>
      <c r="B29" t="s">
        <v>88</v>
      </c>
      <c r="C29">
        <v>2015</v>
      </c>
      <c r="D29" t="s">
        <v>412</v>
      </c>
      <c r="E29" t="s">
        <v>413</v>
      </c>
      <c r="F29" t="s">
        <v>414</v>
      </c>
      <c r="G29" t="s">
        <v>674</v>
      </c>
      <c r="H29" t="s">
        <v>415</v>
      </c>
      <c r="I29" t="s">
        <v>416</v>
      </c>
      <c r="J29" t="s">
        <v>417</v>
      </c>
      <c r="K29" t="s">
        <v>674</v>
      </c>
      <c r="L29" t="s">
        <v>418</v>
      </c>
      <c r="M29" s="1">
        <v>46258.849305555559</v>
      </c>
      <c r="N29" s="1">
        <v>46258.857442129629</v>
      </c>
      <c r="O29" s="1">
        <v>46258.849305555559</v>
      </c>
      <c r="P29" t="s">
        <v>419</v>
      </c>
      <c r="Q29" t="s">
        <v>674</v>
      </c>
      <c r="R29">
        <v>3</v>
      </c>
      <c r="S29">
        <v>51</v>
      </c>
      <c r="T29" t="s">
        <v>674</v>
      </c>
      <c r="U29" t="s">
        <v>420</v>
      </c>
      <c r="V29" t="s">
        <v>674</v>
      </c>
      <c r="W29" t="s">
        <v>674</v>
      </c>
      <c r="X29" t="s">
        <v>674</v>
      </c>
      <c r="Y29" t="s">
        <v>674</v>
      </c>
      <c r="Z29" t="s">
        <v>674</v>
      </c>
      <c r="AA29" t="s">
        <v>674</v>
      </c>
      <c r="AB29" t="s">
        <v>674</v>
      </c>
      <c r="AC29" t="s">
        <v>674</v>
      </c>
      <c r="AD29" t="s">
        <v>122</v>
      </c>
      <c r="AE29" t="s">
        <v>674</v>
      </c>
      <c r="AF29" t="s">
        <v>674</v>
      </c>
      <c r="AG29" t="s">
        <v>674</v>
      </c>
      <c r="AH29" t="s">
        <v>99</v>
      </c>
      <c r="AJ29" t="s">
        <v>674</v>
      </c>
      <c r="AK29" t="s">
        <v>674</v>
      </c>
      <c r="AL29" t="s">
        <v>421</v>
      </c>
      <c r="AM29" t="s">
        <v>674</v>
      </c>
      <c r="AN29" t="s">
        <v>422</v>
      </c>
      <c r="AO29" t="s">
        <v>674</v>
      </c>
      <c r="AP29" t="s">
        <v>674</v>
      </c>
      <c r="AQ29" t="s">
        <v>674</v>
      </c>
      <c r="AR29" t="s">
        <v>674</v>
      </c>
      <c r="AS29" t="s">
        <v>674</v>
      </c>
      <c r="AT29" t="s">
        <v>674</v>
      </c>
      <c r="AU29" t="s">
        <v>674</v>
      </c>
      <c r="AV29" t="s">
        <v>674</v>
      </c>
      <c r="AW29" t="s">
        <v>674</v>
      </c>
      <c r="AX29" t="s">
        <v>674</v>
      </c>
      <c r="AY29" t="s">
        <v>674</v>
      </c>
      <c r="AZ29" t="s">
        <v>674</v>
      </c>
      <c r="BA29" t="s">
        <v>674</v>
      </c>
      <c r="BB29" t="s">
        <v>674</v>
      </c>
      <c r="BC29" t="s">
        <v>674</v>
      </c>
      <c r="BD29" t="s">
        <v>674</v>
      </c>
      <c r="BE29" t="s">
        <v>674</v>
      </c>
      <c r="BF29" t="s">
        <v>674</v>
      </c>
      <c r="BG29" t="s">
        <v>674</v>
      </c>
      <c r="BH29" t="s">
        <v>674</v>
      </c>
      <c r="BI29" t="s">
        <v>674</v>
      </c>
      <c r="BJ29" t="s">
        <v>674</v>
      </c>
      <c r="BK29" t="s">
        <v>674</v>
      </c>
      <c r="BL29" t="s">
        <v>674</v>
      </c>
      <c r="BM29" t="s">
        <v>674</v>
      </c>
      <c r="BN29" t="s">
        <v>674</v>
      </c>
      <c r="BO29" t="s">
        <v>674</v>
      </c>
      <c r="BP29" t="s">
        <v>674</v>
      </c>
      <c r="BQ29" t="s">
        <v>674</v>
      </c>
      <c r="BR29" t="s">
        <v>674</v>
      </c>
      <c r="BS29" t="s">
        <v>674</v>
      </c>
      <c r="BT29" t="s">
        <v>674</v>
      </c>
      <c r="BU29" t="s">
        <v>674</v>
      </c>
      <c r="BV29" t="s">
        <v>674</v>
      </c>
      <c r="BW29" t="s">
        <v>674</v>
      </c>
      <c r="BX29" t="s">
        <v>674</v>
      </c>
      <c r="BY29" t="s">
        <v>674</v>
      </c>
      <c r="BZ29" t="s">
        <v>674</v>
      </c>
      <c r="CA29" t="s">
        <v>674</v>
      </c>
      <c r="CB29" t="s">
        <v>674</v>
      </c>
      <c r="CC29" t="s">
        <v>674</v>
      </c>
      <c r="CD29" t="s">
        <v>674</v>
      </c>
      <c r="CE29" t="s">
        <v>674</v>
      </c>
      <c r="CF29" t="s">
        <v>674</v>
      </c>
      <c r="CG29" t="s">
        <v>674</v>
      </c>
      <c r="CH29" t="s">
        <v>674</v>
      </c>
      <c r="CI29" t="s">
        <v>674</v>
      </c>
    </row>
    <row r="30" spans="1:87" x14ac:dyDescent="0.25">
      <c r="A30" t="s">
        <v>485</v>
      </c>
      <c r="B30" t="s">
        <v>126</v>
      </c>
      <c r="C30">
        <v>2016</v>
      </c>
      <c r="D30" t="s">
        <v>486</v>
      </c>
      <c r="E30" t="s">
        <v>487</v>
      </c>
      <c r="F30" t="s">
        <v>488</v>
      </c>
      <c r="G30" t="s">
        <v>489</v>
      </c>
      <c r="H30" t="s">
        <v>674</v>
      </c>
      <c r="I30" t="s">
        <v>490</v>
      </c>
      <c r="J30" t="s">
        <v>491</v>
      </c>
      <c r="K30" t="s">
        <v>674</v>
      </c>
      <c r="L30" t="s">
        <v>492</v>
      </c>
      <c r="M30" s="1">
        <v>46258.850057870368</v>
      </c>
      <c r="N30" s="1">
        <v>46258.856874999998</v>
      </c>
      <c r="O30" s="1">
        <v>46258.850057870368</v>
      </c>
      <c r="P30" t="s">
        <v>493</v>
      </c>
      <c r="Q30" t="s">
        <v>674</v>
      </c>
      <c r="T30" t="s">
        <v>674</v>
      </c>
      <c r="U30" t="s">
        <v>674</v>
      </c>
      <c r="V30" t="s">
        <v>674</v>
      </c>
      <c r="W30" t="s">
        <v>674</v>
      </c>
      <c r="X30" t="s">
        <v>674</v>
      </c>
      <c r="Y30" t="s">
        <v>674</v>
      </c>
      <c r="Z30" t="s">
        <v>674</v>
      </c>
      <c r="AA30" t="s">
        <v>133</v>
      </c>
      <c r="AB30" t="s">
        <v>494</v>
      </c>
      <c r="AC30" t="s">
        <v>674</v>
      </c>
      <c r="AD30" t="s">
        <v>674</v>
      </c>
      <c r="AE30" t="s">
        <v>674</v>
      </c>
      <c r="AF30" t="s">
        <v>674</v>
      </c>
      <c r="AG30" t="s">
        <v>674</v>
      </c>
      <c r="AH30" t="s">
        <v>99</v>
      </c>
      <c r="AJ30" t="s">
        <v>674</v>
      </c>
      <c r="AK30" t="s">
        <v>674</v>
      </c>
      <c r="AL30" t="s">
        <v>495</v>
      </c>
      <c r="AM30" t="s">
        <v>674</v>
      </c>
      <c r="AN30" t="s">
        <v>444</v>
      </c>
      <c r="AO30" t="s">
        <v>674</v>
      </c>
      <c r="AP30" t="s">
        <v>674</v>
      </c>
      <c r="AQ30" t="s">
        <v>674</v>
      </c>
      <c r="AR30" t="s">
        <v>674</v>
      </c>
      <c r="AS30" t="s">
        <v>674</v>
      </c>
      <c r="AT30" t="s">
        <v>674</v>
      </c>
      <c r="AU30" t="s">
        <v>674</v>
      </c>
      <c r="AV30" t="s">
        <v>674</v>
      </c>
      <c r="AW30" t="s">
        <v>674</v>
      </c>
      <c r="AX30" t="s">
        <v>674</v>
      </c>
      <c r="AY30" t="s">
        <v>674</v>
      </c>
      <c r="AZ30" t="s">
        <v>674</v>
      </c>
      <c r="BA30" t="s">
        <v>674</v>
      </c>
      <c r="BB30" t="s">
        <v>674</v>
      </c>
      <c r="BC30" t="s">
        <v>674</v>
      </c>
      <c r="BD30" t="s">
        <v>674</v>
      </c>
      <c r="BE30" t="s">
        <v>674</v>
      </c>
      <c r="BF30" t="s">
        <v>674</v>
      </c>
      <c r="BG30" t="s">
        <v>674</v>
      </c>
      <c r="BH30" t="s">
        <v>674</v>
      </c>
      <c r="BI30" t="s">
        <v>674</v>
      </c>
      <c r="BJ30" t="s">
        <v>674</v>
      </c>
      <c r="BK30" t="s">
        <v>674</v>
      </c>
      <c r="BL30" t="s">
        <v>674</v>
      </c>
      <c r="BM30" t="s">
        <v>674</v>
      </c>
      <c r="BN30" t="s">
        <v>674</v>
      </c>
      <c r="BO30" t="s">
        <v>674</v>
      </c>
      <c r="BP30" t="s">
        <v>674</v>
      </c>
      <c r="BQ30" t="s">
        <v>674</v>
      </c>
      <c r="BR30" t="s">
        <v>674</v>
      </c>
      <c r="BS30" t="s">
        <v>674</v>
      </c>
      <c r="BT30" t="s">
        <v>488</v>
      </c>
      <c r="BU30" t="s">
        <v>674</v>
      </c>
      <c r="BV30" t="s">
        <v>674</v>
      </c>
      <c r="BW30" t="s">
        <v>674</v>
      </c>
      <c r="BX30" t="s">
        <v>674</v>
      </c>
      <c r="BY30" t="s">
        <v>674</v>
      </c>
      <c r="BZ30" t="s">
        <v>674</v>
      </c>
      <c r="CA30" t="s">
        <v>674</v>
      </c>
      <c r="CB30" t="s">
        <v>674</v>
      </c>
      <c r="CC30" t="s">
        <v>674</v>
      </c>
      <c r="CD30" t="s">
        <v>674</v>
      </c>
      <c r="CE30" t="s">
        <v>674</v>
      </c>
      <c r="CF30" t="s">
        <v>674</v>
      </c>
      <c r="CG30" t="s">
        <v>674</v>
      </c>
      <c r="CH30" t="s">
        <v>674</v>
      </c>
      <c r="CI30" t="s">
        <v>674</v>
      </c>
    </row>
    <row r="31" spans="1:87" x14ac:dyDescent="0.25">
      <c r="A31" t="s">
        <v>465</v>
      </c>
      <c r="B31" t="s">
        <v>126</v>
      </c>
      <c r="C31">
        <v>2025</v>
      </c>
      <c r="D31" t="s">
        <v>466</v>
      </c>
      <c r="E31" t="s">
        <v>467</v>
      </c>
      <c r="F31" t="s">
        <v>468</v>
      </c>
      <c r="G31" t="s">
        <v>469</v>
      </c>
      <c r="H31" t="s">
        <v>674</v>
      </c>
      <c r="I31" t="s">
        <v>470</v>
      </c>
      <c r="J31" t="s">
        <v>471</v>
      </c>
      <c r="K31" t="s">
        <v>674</v>
      </c>
      <c r="L31" t="s">
        <v>696</v>
      </c>
      <c r="M31" s="1">
        <v>46258.849942129629</v>
      </c>
      <c r="N31" s="1">
        <v>46258.856307870374</v>
      </c>
      <c r="O31" s="1">
        <v>46258.849942129629</v>
      </c>
      <c r="P31" t="s">
        <v>472</v>
      </c>
      <c r="Q31" t="s">
        <v>674</v>
      </c>
      <c r="T31" t="s">
        <v>674</v>
      </c>
      <c r="U31" t="s">
        <v>674</v>
      </c>
      <c r="V31" t="s">
        <v>674</v>
      </c>
      <c r="W31" t="s">
        <v>674</v>
      </c>
      <c r="X31" t="s">
        <v>674</v>
      </c>
      <c r="Y31" t="s">
        <v>674</v>
      </c>
      <c r="Z31" t="s">
        <v>674</v>
      </c>
      <c r="AA31" t="s">
        <v>133</v>
      </c>
      <c r="AB31" t="s">
        <v>473</v>
      </c>
      <c r="AC31" t="s">
        <v>674</v>
      </c>
      <c r="AD31" t="s">
        <v>135</v>
      </c>
      <c r="AE31" t="s">
        <v>674</v>
      </c>
      <c r="AF31" t="s">
        <v>674</v>
      </c>
      <c r="AG31" t="s">
        <v>674</v>
      </c>
      <c r="AH31" t="s">
        <v>99</v>
      </c>
      <c r="AJ31" t="s">
        <v>674</v>
      </c>
      <c r="AK31" t="s">
        <v>674</v>
      </c>
      <c r="AL31" t="s">
        <v>474</v>
      </c>
      <c r="AM31" t="s">
        <v>674</v>
      </c>
      <c r="AN31" t="s">
        <v>475</v>
      </c>
      <c r="AO31" t="s">
        <v>674</v>
      </c>
      <c r="AP31" t="s">
        <v>674</v>
      </c>
      <c r="AQ31" t="s">
        <v>674</v>
      </c>
      <c r="AR31" t="s">
        <v>674</v>
      </c>
      <c r="AS31" t="s">
        <v>674</v>
      </c>
      <c r="AT31" t="s">
        <v>674</v>
      </c>
      <c r="AU31" t="s">
        <v>674</v>
      </c>
      <c r="AV31" t="s">
        <v>674</v>
      </c>
      <c r="AW31" t="s">
        <v>674</v>
      </c>
      <c r="AX31" t="s">
        <v>674</v>
      </c>
      <c r="AY31" t="s">
        <v>674</v>
      </c>
      <c r="AZ31" t="s">
        <v>674</v>
      </c>
      <c r="BA31" t="s">
        <v>674</v>
      </c>
      <c r="BB31" t="s">
        <v>674</v>
      </c>
      <c r="BC31" t="s">
        <v>674</v>
      </c>
      <c r="BD31" t="s">
        <v>674</v>
      </c>
      <c r="BE31" t="s">
        <v>674</v>
      </c>
      <c r="BF31" t="s">
        <v>674</v>
      </c>
      <c r="BG31" t="s">
        <v>674</v>
      </c>
      <c r="BH31" t="s">
        <v>674</v>
      </c>
      <c r="BI31" t="s">
        <v>674</v>
      </c>
      <c r="BJ31" t="s">
        <v>674</v>
      </c>
      <c r="BK31" t="s">
        <v>674</v>
      </c>
      <c r="BL31" t="s">
        <v>674</v>
      </c>
      <c r="BM31" t="s">
        <v>674</v>
      </c>
      <c r="BN31" t="s">
        <v>674</v>
      </c>
      <c r="BO31" t="s">
        <v>674</v>
      </c>
      <c r="BP31" t="s">
        <v>674</v>
      </c>
      <c r="BQ31" t="s">
        <v>674</v>
      </c>
      <c r="BR31" t="s">
        <v>674</v>
      </c>
      <c r="BS31" t="s">
        <v>674</v>
      </c>
      <c r="BT31" t="s">
        <v>468</v>
      </c>
      <c r="BU31" t="s">
        <v>674</v>
      </c>
      <c r="BV31" t="s">
        <v>674</v>
      </c>
      <c r="BW31" t="s">
        <v>674</v>
      </c>
      <c r="BX31" t="s">
        <v>674</v>
      </c>
      <c r="BY31" t="s">
        <v>674</v>
      </c>
      <c r="BZ31" t="s">
        <v>674</v>
      </c>
      <c r="CA31" t="s">
        <v>674</v>
      </c>
      <c r="CB31" t="s">
        <v>674</v>
      </c>
      <c r="CC31" t="s">
        <v>674</v>
      </c>
      <c r="CD31" t="s">
        <v>674</v>
      </c>
      <c r="CE31" t="s">
        <v>674</v>
      </c>
      <c r="CF31" t="s">
        <v>674</v>
      </c>
      <c r="CG31" t="s">
        <v>674</v>
      </c>
      <c r="CH31" t="s">
        <v>674</v>
      </c>
      <c r="CI31" t="s">
        <v>674</v>
      </c>
    </row>
    <row r="32" spans="1:87" x14ac:dyDescent="0.25">
      <c r="A32" t="s">
        <v>423</v>
      </c>
      <c r="B32" t="s">
        <v>126</v>
      </c>
      <c r="C32">
        <v>2017</v>
      </c>
      <c r="D32" t="s">
        <v>424</v>
      </c>
      <c r="E32" t="s">
        <v>425</v>
      </c>
      <c r="F32" t="s">
        <v>426</v>
      </c>
      <c r="G32" t="s">
        <v>427</v>
      </c>
      <c r="H32" t="s">
        <v>674</v>
      </c>
      <c r="I32" t="s">
        <v>428</v>
      </c>
      <c r="J32" t="s">
        <v>429</v>
      </c>
      <c r="K32" t="s">
        <v>674</v>
      </c>
      <c r="L32" t="s">
        <v>430</v>
      </c>
      <c r="M32" s="1">
        <v>46258.849502314813</v>
      </c>
      <c r="N32" s="1">
        <v>46258.855324074073</v>
      </c>
      <c r="O32" s="1">
        <v>46258.849502314813</v>
      </c>
      <c r="P32" t="s">
        <v>431</v>
      </c>
      <c r="Q32" t="s">
        <v>674</v>
      </c>
      <c r="T32" t="s">
        <v>674</v>
      </c>
      <c r="U32" t="s">
        <v>674</v>
      </c>
      <c r="V32" t="s">
        <v>674</v>
      </c>
      <c r="W32" t="s">
        <v>674</v>
      </c>
      <c r="X32" t="s">
        <v>674</v>
      </c>
      <c r="Y32" t="s">
        <v>674</v>
      </c>
      <c r="Z32" t="s">
        <v>674</v>
      </c>
      <c r="AA32" t="s">
        <v>133</v>
      </c>
      <c r="AB32" t="s">
        <v>432</v>
      </c>
      <c r="AC32" t="s">
        <v>674</v>
      </c>
      <c r="AD32" t="s">
        <v>674</v>
      </c>
      <c r="AE32" t="s">
        <v>674</v>
      </c>
      <c r="AF32" t="s">
        <v>674</v>
      </c>
      <c r="AG32" t="s">
        <v>674</v>
      </c>
      <c r="AH32" t="s">
        <v>99</v>
      </c>
      <c r="AJ32" t="s">
        <v>674</v>
      </c>
      <c r="AK32" t="s">
        <v>674</v>
      </c>
      <c r="AL32" t="s">
        <v>433</v>
      </c>
      <c r="AM32" t="s">
        <v>674</v>
      </c>
      <c r="AN32" t="s">
        <v>404</v>
      </c>
      <c r="AO32" t="s">
        <v>674</v>
      </c>
      <c r="AP32" t="s">
        <v>674</v>
      </c>
      <c r="AQ32" t="s">
        <v>674</v>
      </c>
      <c r="AR32" t="s">
        <v>674</v>
      </c>
      <c r="AS32" t="s">
        <v>674</v>
      </c>
      <c r="AT32" t="s">
        <v>674</v>
      </c>
      <c r="AU32" t="s">
        <v>674</v>
      </c>
      <c r="AV32" t="s">
        <v>674</v>
      </c>
      <c r="AW32" t="s">
        <v>674</v>
      </c>
      <c r="AX32" t="s">
        <v>674</v>
      </c>
      <c r="AY32" t="s">
        <v>674</v>
      </c>
      <c r="AZ32" t="s">
        <v>674</v>
      </c>
      <c r="BA32" t="s">
        <v>674</v>
      </c>
      <c r="BB32" t="s">
        <v>674</v>
      </c>
      <c r="BC32" t="s">
        <v>674</v>
      </c>
      <c r="BD32" t="s">
        <v>674</v>
      </c>
      <c r="BE32" t="s">
        <v>674</v>
      </c>
      <c r="BF32" t="s">
        <v>674</v>
      </c>
      <c r="BG32" t="s">
        <v>674</v>
      </c>
      <c r="BH32" t="s">
        <v>674</v>
      </c>
      <c r="BI32" t="s">
        <v>674</v>
      </c>
      <c r="BJ32" t="s">
        <v>674</v>
      </c>
      <c r="BK32" t="s">
        <v>674</v>
      </c>
      <c r="BL32" t="s">
        <v>674</v>
      </c>
      <c r="BM32" t="s">
        <v>674</v>
      </c>
      <c r="BN32" t="s">
        <v>674</v>
      </c>
      <c r="BO32" t="s">
        <v>674</v>
      </c>
      <c r="BP32" t="s">
        <v>674</v>
      </c>
      <c r="BQ32" t="s">
        <v>674</v>
      </c>
      <c r="BR32" t="s">
        <v>674</v>
      </c>
      <c r="BS32" t="s">
        <v>674</v>
      </c>
      <c r="BT32" t="s">
        <v>426</v>
      </c>
      <c r="BU32" t="s">
        <v>674</v>
      </c>
      <c r="BV32" t="s">
        <v>674</v>
      </c>
      <c r="BW32" t="s">
        <v>674</v>
      </c>
      <c r="BX32" t="s">
        <v>674</v>
      </c>
      <c r="BY32" t="s">
        <v>674</v>
      </c>
      <c r="BZ32" t="s">
        <v>674</v>
      </c>
      <c r="CA32" t="s">
        <v>674</v>
      </c>
      <c r="CB32" t="s">
        <v>674</v>
      </c>
      <c r="CC32" t="s">
        <v>674</v>
      </c>
      <c r="CD32" t="s">
        <v>674</v>
      </c>
      <c r="CE32" t="s">
        <v>674</v>
      </c>
      <c r="CF32" t="s">
        <v>674</v>
      </c>
      <c r="CG32" t="s">
        <v>674</v>
      </c>
      <c r="CH32" t="s">
        <v>674</v>
      </c>
      <c r="CI32" t="s">
        <v>674</v>
      </c>
    </row>
    <row r="33" spans="1:87" x14ac:dyDescent="0.25">
      <c r="A33" t="s">
        <v>445</v>
      </c>
      <c r="B33" t="s">
        <v>126</v>
      </c>
      <c r="C33">
        <v>2013</v>
      </c>
      <c r="D33" t="s">
        <v>446</v>
      </c>
      <c r="E33" t="s">
        <v>447</v>
      </c>
      <c r="F33" t="s">
        <v>448</v>
      </c>
      <c r="G33" t="s">
        <v>449</v>
      </c>
      <c r="H33" t="s">
        <v>674</v>
      </c>
      <c r="I33" t="s">
        <v>450</v>
      </c>
      <c r="J33" t="s">
        <v>451</v>
      </c>
      <c r="K33" t="s">
        <v>674</v>
      </c>
      <c r="L33" t="s">
        <v>452</v>
      </c>
      <c r="M33" s="1">
        <v>46258.849606481483</v>
      </c>
      <c r="N33" s="1">
        <v>46258.854386574072</v>
      </c>
      <c r="O33" s="1">
        <v>46258.849606481483</v>
      </c>
      <c r="P33" t="s">
        <v>453</v>
      </c>
      <c r="Q33" t="s">
        <v>674</v>
      </c>
      <c r="T33" t="s">
        <v>674</v>
      </c>
      <c r="U33" t="s">
        <v>674</v>
      </c>
      <c r="V33" t="s">
        <v>674</v>
      </c>
      <c r="W33" t="s">
        <v>674</v>
      </c>
      <c r="X33" t="s">
        <v>674</v>
      </c>
      <c r="Y33" t="s">
        <v>674</v>
      </c>
      <c r="Z33" t="s">
        <v>674</v>
      </c>
      <c r="AA33" t="s">
        <v>133</v>
      </c>
      <c r="AB33" t="s">
        <v>454</v>
      </c>
      <c r="AC33" t="s">
        <v>674</v>
      </c>
      <c r="AD33" t="s">
        <v>674</v>
      </c>
      <c r="AE33" t="s">
        <v>674</v>
      </c>
      <c r="AF33" t="s">
        <v>674</v>
      </c>
      <c r="AG33" t="s">
        <v>674</v>
      </c>
      <c r="AH33" t="s">
        <v>99</v>
      </c>
      <c r="AJ33" t="s">
        <v>674</v>
      </c>
      <c r="AK33" t="s">
        <v>674</v>
      </c>
      <c r="AL33" t="s">
        <v>455</v>
      </c>
      <c r="AM33" t="s">
        <v>674</v>
      </c>
      <c r="AN33" t="s">
        <v>293</v>
      </c>
      <c r="AO33" t="s">
        <v>674</v>
      </c>
      <c r="AP33" t="s">
        <v>674</v>
      </c>
      <c r="AQ33" t="s">
        <v>674</v>
      </c>
      <c r="AR33" t="s">
        <v>674</v>
      </c>
      <c r="AS33" t="s">
        <v>674</v>
      </c>
      <c r="AT33" t="s">
        <v>674</v>
      </c>
      <c r="AU33" t="s">
        <v>674</v>
      </c>
      <c r="AV33" t="s">
        <v>674</v>
      </c>
      <c r="AW33" t="s">
        <v>674</v>
      </c>
      <c r="AX33" t="s">
        <v>674</v>
      </c>
      <c r="AY33" t="s">
        <v>674</v>
      </c>
      <c r="AZ33" t="s">
        <v>674</v>
      </c>
      <c r="BA33" t="s">
        <v>674</v>
      </c>
      <c r="BB33" t="s">
        <v>674</v>
      </c>
      <c r="BC33" t="s">
        <v>674</v>
      </c>
      <c r="BD33" t="s">
        <v>674</v>
      </c>
      <c r="BE33" t="s">
        <v>674</v>
      </c>
      <c r="BF33" t="s">
        <v>674</v>
      </c>
      <c r="BG33" t="s">
        <v>674</v>
      </c>
      <c r="BH33" t="s">
        <v>674</v>
      </c>
      <c r="BI33" t="s">
        <v>674</v>
      </c>
      <c r="BJ33" t="s">
        <v>674</v>
      </c>
      <c r="BK33" t="s">
        <v>674</v>
      </c>
      <c r="BL33" t="s">
        <v>674</v>
      </c>
      <c r="BM33" t="s">
        <v>674</v>
      </c>
      <c r="BN33" t="s">
        <v>674</v>
      </c>
      <c r="BO33" t="s">
        <v>674</v>
      </c>
      <c r="BP33" t="s">
        <v>674</v>
      </c>
      <c r="BQ33" t="s">
        <v>674</v>
      </c>
      <c r="BR33" t="s">
        <v>674</v>
      </c>
      <c r="BS33" t="s">
        <v>674</v>
      </c>
      <c r="BT33" t="s">
        <v>456</v>
      </c>
      <c r="BU33" t="s">
        <v>674</v>
      </c>
      <c r="BV33" t="s">
        <v>674</v>
      </c>
      <c r="BW33" t="s">
        <v>674</v>
      </c>
      <c r="BX33" t="s">
        <v>674</v>
      </c>
      <c r="BY33" t="s">
        <v>674</v>
      </c>
      <c r="BZ33" t="s">
        <v>674</v>
      </c>
      <c r="CA33" t="s">
        <v>674</v>
      </c>
      <c r="CB33" t="s">
        <v>674</v>
      </c>
      <c r="CC33" t="s">
        <v>674</v>
      </c>
      <c r="CD33" t="s">
        <v>674</v>
      </c>
      <c r="CE33" t="s">
        <v>674</v>
      </c>
      <c r="CF33" t="s">
        <v>674</v>
      </c>
      <c r="CG33" t="s">
        <v>674</v>
      </c>
      <c r="CH33" t="s">
        <v>674</v>
      </c>
      <c r="CI33" t="s">
        <v>674</v>
      </c>
    </row>
    <row r="34" spans="1:87" x14ac:dyDescent="0.25">
      <c r="A34" t="s">
        <v>496</v>
      </c>
      <c r="B34" t="s">
        <v>88</v>
      </c>
      <c r="C34">
        <v>2015</v>
      </c>
      <c r="D34" t="s">
        <v>497</v>
      </c>
      <c r="E34" t="s">
        <v>498</v>
      </c>
      <c r="F34" t="s">
        <v>499</v>
      </c>
      <c r="G34" t="s">
        <v>674</v>
      </c>
      <c r="H34" t="s">
        <v>500</v>
      </c>
      <c r="I34" t="s">
        <v>501</v>
      </c>
      <c r="J34" t="s">
        <v>502</v>
      </c>
      <c r="K34" t="s">
        <v>674</v>
      </c>
      <c r="L34" t="s">
        <v>503</v>
      </c>
      <c r="M34" s="1">
        <v>46258.850173611114</v>
      </c>
      <c r="N34" s="1">
        <v>46258.853460648148</v>
      </c>
      <c r="O34" s="1">
        <v>46258.850162037037</v>
      </c>
      <c r="P34" t="s">
        <v>504</v>
      </c>
      <c r="Q34" t="s">
        <v>674</v>
      </c>
      <c r="R34">
        <v>8</v>
      </c>
      <c r="S34">
        <v>30</v>
      </c>
      <c r="T34" t="s">
        <v>674</v>
      </c>
      <c r="U34" t="s">
        <v>505</v>
      </c>
      <c r="V34" t="s">
        <v>674</v>
      </c>
      <c r="W34" t="s">
        <v>674</v>
      </c>
      <c r="X34" t="s">
        <v>674</v>
      </c>
      <c r="Y34" t="s">
        <v>674</v>
      </c>
      <c r="Z34" t="s">
        <v>674</v>
      </c>
      <c r="AA34" t="s">
        <v>674</v>
      </c>
      <c r="AB34" t="s">
        <v>674</v>
      </c>
      <c r="AC34" t="s">
        <v>674</v>
      </c>
      <c r="AD34" t="s">
        <v>122</v>
      </c>
      <c r="AE34" t="s">
        <v>674</v>
      </c>
      <c r="AF34" t="s">
        <v>674</v>
      </c>
      <c r="AG34" t="s">
        <v>674</v>
      </c>
      <c r="AH34" t="s">
        <v>99</v>
      </c>
      <c r="AJ34" t="s">
        <v>674</v>
      </c>
      <c r="AK34" t="s">
        <v>674</v>
      </c>
      <c r="AL34" t="s">
        <v>506</v>
      </c>
      <c r="AM34" t="s">
        <v>674</v>
      </c>
      <c r="AN34" t="s">
        <v>507</v>
      </c>
      <c r="AO34" t="s">
        <v>674</v>
      </c>
      <c r="AP34" t="s">
        <v>674</v>
      </c>
      <c r="AQ34" t="s">
        <v>674</v>
      </c>
      <c r="AR34" t="s">
        <v>674</v>
      </c>
      <c r="AS34" t="s">
        <v>674</v>
      </c>
      <c r="AT34" t="s">
        <v>674</v>
      </c>
      <c r="AU34" t="s">
        <v>674</v>
      </c>
      <c r="AV34" t="s">
        <v>674</v>
      </c>
      <c r="AW34" t="s">
        <v>674</v>
      </c>
      <c r="AX34" t="s">
        <v>674</v>
      </c>
      <c r="AY34" t="s">
        <v>674</v>
      </c>
      <c r="AZ34" t="s">
        <v>674</v>
      </c>
      <c r="BA34" t="s">
        <v>674</v>
      </c>
      <c r="BB34" t="s">
        <v>674</v>
      </c>
      <c r="BC34" t="s">
        <v>674</v>
      </c>
      <c r="BD34" t="s">
        <v>674</v>
      </c>
      <c r="BE34" t="s">
        <v>674</v>
      </c>
      <c r="BF34" t="s">
        <v>674</v>
      </c>
      <c r="BG34" t="s">
        <v>674</v>
      </c>
      <c r="BH34" t="s">
        <v>674</v>
      </c>
      <c r="BI34" t="s">
        <v>674</v>
      </c>
      <c r="BJ34" t="s">
        <v>674</v>
      </c>
      <c r="BK34" t="s">
        <v>674</v>
      </c>
      <c r="BL34" t="s">
        <v>674</v>
      </c>
      <c r="BM34" t="s">
        <v>674</v>
      </c>
      <c r="BN34" t="s">
        <v>674</v>
      </c>
      <c r="BO34" t="s">
        <v>674</v>
      </c>
      <c r="BP34" t="s">
        <v>674</v>
      </c>
      <c r="BQ34" t="s">
        <v>674</v>
      </c>
      <c r="BR34" t="s">
        <v>674</v>
      </c>
      <c r="BS34" t="s">
        <v>674</v>
      </c>
      <c r="BT34" t="s">
        <v>674</v>
      </c>
      <c r="BU34" t="s">
        <v>674</v>
      </c>
      <c r="BV34" t="s">
        <v>674</v>
      </c>
      <c r="BW34" t="s">
        <v>674</v>
      </c>
      <c r="BX34" t="s">
        <v>674</v>
      </c>
      <c r="BY34" t="s">
        <v>674</v>
      </c>
      <c r="BZ34" t="s">
        <v>674</v>
      </c>
      <c r="CA34" t="s">
        <v>674</v>
      </c>
      <c r="CB34" t="s">
        <v>674</v>
      </c>
      <c r="CC34" t="s">
        <v>674</v>
      </c>
      <c r="CD34" t="s">
        <v>674</v>
      </c>
      <c r="CE34" t="s">
        <v>674</v>
      </c>
      <c r="CF34" t="s">
        <v>674</v>
      </c>
      <c r="CG34" t="s">
        <v>674</v>
      </c>
      <c r="CH34" t="s">
        <v>674</v>
      </c>
      <c r="CI34" t="s">
        <v>674</v>
      </c>
    </row>
    <row r="35" spans="1:87" x14ac:dyDescent="0.25">
      <c r="A35" t="s">
        <v>379</v>
      </c>
      <c r="B35" t="s">
        <v>126</v>
      </c>
      <c r="C35">
        <v>2025</v>
      </c>
      <c r="D35" t="s">
        <v>380</v>
      </c>
      <c r="E35" t="s">
        <v>381</v>
      </c>
      <c r="F35" t="s">
        <v>382</v>
      </c>
      <c r="G35" t="s">
        <v>383</v>
      </c>
      <c r="H35" t="s">
        <v>674</v>
      </c>
      <c r="I35" t="s">
        <v>384</v>
      </c>
      <c r="J35" t="s">
        <v>385</v>
      </c>
      <c r="K35" t="s">
        <v>674</v>
      </c>
      <c r="L35" t="s">
        <v>691</v>
      </c>
      <c r="M35" s="1">
        <v>46258.845925925925</v>
      </c>
      <c r="N35" s="1">
        <v>46258.847048611111</v>
      </c>
      <c r="O35" s="1">
        <v>46258.845925925925</v>
      </c>
      <c r="P35" t="s">
        <v>386</v>
      </c>
      <c r="Q35" t="s">
        <v>674</v>
      </c>
      <c r="T35" t="s">
        <v>674</v>
      </c>
      <c r="U35" t="s">
        <v>674</v>
      </c>
      <c r="V35" t="s">
        <v>674</v>
      </c>
      <c r="W35" t="s">
        <v>674</v>
      </c>
      <c r="X35" t="s">
        <v>674</v>
      </c>
      <c r="Y35" t="s">
        <v>674</v>
      </c>
      <c r="Z35" t="s">
        <v>674</v>
      </c>
      <c r="AA35" t="s">
        <v>133</v>
      </c>
      <c r="AB35" t="s">
        <v>387</v>
      </c>
      <c r="AC35" t="s">
        <v>674</v>
      </c>
      <c r="AD35" t="s">
        <v>135</v>
      </c>
      <c r="AE35" t="s">
        <v>674</v>
      </c>
      <c r="AF35" t="s">
        <v>674</v>
      </c>
      <c r="AG35" t="s">
        <v>674</v>
      </c>
      <c r="AH35" t="s">
        <v>99</v>
      </c>
      <c r="AJ35" t="s">
        <v>674</v>
      </c>
      <c r="AK35" t="s">
        <v>674</v>
      </c>
      <c r="AL35" t="s">
        <v>388</v>
      </c>
      <c r="AM35" t="s">
        <v>674</v>
      </c>
      <c r="AN35" t="s">
        <v>389</v>
      </c>
      <c r="AO35" t="s">
        <v>674</v>
      </c>
      <c r="AP35" t="s">
        <v>674</v>
      </c>
      <c r="AQ35" t="s">
        <v>674</v>
      </c>
      <c r="AR35" t="s">
        <v>674</v>
      </c>
      <c r="AS35" t="s">
        <v>674</v>
      </c>
      <c r="AT35" t="s">
        <v>674</v>
      </c>
      <c r="AU35" t="s">
        <v>674</v>
      </c>
      <c r="AV35" t="s">
        <v>674</v>
      </c>
      <c r="AW35" t="s">
        <v>674</v>
      </c>
      <c r="AX35" t="s">
        <v>674</v>
      </c>
      <c r="AY35" t="s">
        <v>674</v>
      </c>
      <c r="AZ35" t="s">
        <v>674</v>
      </c>
      <c r="BA35" t="s">
        <v>674</v>
      </c>
      <c r="BB35" t="s">
        <v>674</v>
      </c>
      <c r="BC35" t="s">
        <v>674</v>
      </c>
      <c r="BD35" t="s">
        <v>674</v>
      </c>
      <c r="BE35" t="s">
        <v>674</v>
      </c>
      <c r="BF35" t="s">
        <v>674</v>
      </c>
      <c r="BG35" t="s">
        <v>674</v>
      </c>
      <c r="BH35" t="s">
        <v>674</v>
      </c>
      <c r="BI35" t="s">
        <v>674</v>
      </c>
      <c r="BJ35" t="s">
        <v>674</v>
      </c>
      <c r="BK35" t="s">
        <v>674</v>
      </c>
      <c r="BL35" t="s">
        <v>674</v>
      </c>
      <c r="BM35" t="s">
        <v>674</v>
      </c>
      <c r="BN35" t="s">
        <v>674</v>
      </c>
      <c r="BO35" t="s">
        <v>674</v>
      </c>
      <c r="BP35" t="s">
        <v>674</v>
      </c>
      <c r="BQ35" t="s">
        <v>674</v>
      </c>
      <c r="BR35" t="s">
        <v>674</v>
      </c>
      <c r="BS35" t="s">
        <v>674</v>
      </c>
      <c r="BT35" t="s">
        <v>382</v>
      </c>
      <c r="BU35" t="s">
        <v>674</v>
      </c>
      <c r="BV35" t="s">
        <v>674</v>
      </c>
      <c r="BW35" t="s">
        <v>674</v>
      </c>
      <c r="BX35" t="s">
        <v>674</v>
      </c>
      <c r="BY35" t="s">
        <v>674</v>
      </c>
      <c r="BZ35" t="s">
        <v>674</v>
      </c>
      <c r="CA35" t="s">
        <v>674</v>
      </c>
      <c r="CB35" t="s">
        <v>674</v>
      </c>
      <c r="CC35" t="s">
        <v>674</v>
      </c>
      <c r="CD35" t="s">
        <v>674</v>
      </c>
      <c r="CE35" t="s">
        <v>674</v>
      </c>
      <c r="CF35" t="s">
        <v>674</v>
      </c>
      <c r="CG35" t="s">
        <v>674</v>
      </c>
      <c r="CH35" t="s">
        <v>674</v>
      </c>
      <c r="CI35" t="s">
        <v>674</v>
      </c>
    </row>
    <row r="36" spans="1:87" x14ac:dyDescent="0.25">
      <c r="A36" t="s">
        <v>390</v>
      </c>
      <c r="B36" t="s">
        <v>126</v>
      </c>
      <c r="C36">
        <v>2026</v>
      </c>
      <c r="D36" t="s">
        <v>391</v>
      </c>
      <c r="E36" t="s">
        <v>392</v>
      </c>
      <c r="F36" t="s">
        <v>393</v>
      </c>
      <c r="G36" t="s">
        <v>394</v>
      </c>
      <c r="H36" t="s">
        <v>674</v>
      </c>
      <c r="I36" t="s">
        <v>395</v>
      </c>
      <c r="J36" t="s">
        <v>396</v>
      </c>
      <c r="K36" t="s">
        <v>674</v>
      </c>
      <c r="L36" t="s">
        <v>692</v>
      </c>
      <c r="M36" s="1">
        <v>46258.846030092594</v>
      </c>
      <c r="N36" s="1">
        <v>46258.846388888887</v>
      </c>
      <c r="O36" s="1">
        <v>46258.846030092594</v>
      </c>
      <c r="P36" t="s">
        <v>693</v>
      </c>
      <c r="Q36" t="s">
        <v>674</v>
      </c>
      <c r="T36" t="s">
        <v>674</v>
      </c>
      <c r="U36" t="s">
        <v>674</v>
      </c>
      <c r="V36" t="s">
        <v>674</v>
      </c>
      <c r="W36" t="s">
        <v>674</v>
      </c>
      <c r="X36" t="s">
        <v>674</v>
      </c>
      <c r="Y36" t="s">
        <v>674</v>
      </c>
      <c r="Z36" t="s">
        <v>674</v>
      </c>
      <c r="AA36" t="s">
        <v>133</v>
      </c>
      <c r="AB36" t="s">
        <v>397</v>
      </c>
      <c r="AC36" t="s">
        <v>674</v>
      </c>
      <c r="AD36" t="s">
        <v>135</v>
      </c>
      <c r="AE36" t="s">
        <v>674</v>
      </c>
      <c r="AF36" t="s">
        <v>674</v>
      </c>
      <c r="AG36" t="s">
        <v>674</v>
      </c>
      <c r="AH36" t="s">
        <v>99</v>
      </c>
      <c r="AJ36" t="s">
        <v>674</v>
      </c>
      <c r="AK36" t="s">
        <v>674</v>
      </c>
      <c r="AL36" t="s">
        <v>694</v>
      </c>
      <c r="AM36" t="s">
        <v>674</v>
      </c>
      <c r="AN36" t="s">
        <v>399</v>
      </c>
      <c r="AO36" t="s">
        <v>674</v>
      </c>
      <c r="AP36" t="s">
        <v>674</v>
      </c>
      <c r="AQ36" t="s">
        <v>674</v>
      </c>
      <c r="AR36" t="s">
        <v>674</v>
      </c>
      <c r="AS36" t="s">
        <v>674</v>
      </c>
      <c r="AT36" t="s">
        <v>674</v>
      </c>
      <c r="AU36" t="s">
        <v>674</v>
      </c>
      <c r="AV36" t="s">
        <v>674</v>
      </c>
      <c r="AW36" t="s">
        <v>674</v>
      </c>
      <c r="AX36" t="s">
        <v>674</v>
      </c>
      <c r="AY36" t="s">
        <v>674</v>
      </c>
      <c r="AZ36" t="s">
        <v>674</v>
      </c>
      <c r="BA36" t="s">
        <v>674</v>
      </c>
      <c r="BB36" t="s">
        <v>674</v>
      </c>
      <c r="BC36" t="s">
        <v>674</v>
      </c>
      <c r="BD36" t="s">
        <v>674</v>
      </c>
      <c r="BE36" t="s">
        <v>674</v>
      </c>
      <c r="BF36" t="s">
        <v>674</v>
      </c>
      <c r="BG36" t="s">
        <v>674</v>
      </c>
      <c r="BH36" t="s">
        <v>674</v>
      </c>
      <c r="BI36" t="s">
        <v>674</v>
      </c>
      <c r="BJ36" t="s">
        <v>674</v>
      </c>
      <c r="BK36" t="s">
        <v>674</v>
      </c>
      <c r="BL36" t="s">
        <v>674</v>
      </c>
      <c r="BM36" t="s">
        <v>674</v>
      </c>
      <c r="BN36" t="s">
        <v>674</v>
      </c>
      <c r="BO36" t="s">
        <v>674</v>
      </c>
      <c r="BP36" t="s">
        <v>674</v>
      </c>
      <c r="BQ36" t="s">
        <v>674</v>
      </c>
      <c r="BR36" t="s">
        <v>674</v>
      </c>
      <c r="BS36" t="s">
        <v>674</v>
      </c>
      <c r="BT36" t="s">
        <v>393</v>
      </c>
      <c r="BU36" t="s">
        <v>674</v>
      </c>
      <c r="BV36" t="s">
        <v>674</v>
      </c>
      <c r="BW36" t="s">
        <v>674</v>
      </c>
      <c r="BX36" t="s">
        <v>674</v>
      </c>
      <c r="BY36" t="s">
        <v>674</v>
      </c>
      <c r="BZ36" t="s">
        <v>674</v>
      </c>
      <c r="CA36" t="s">
        <v>674</v>
      </c>
      <c r="CB36" t="s">
        <v>674</v>
      </c>
      <c r="CC36" t="s">
        <v>674</v>
      </c>
      <c r="CD36" t="s">
        <v>674</v>
      </c>
      <c r="CE36" t="s">
        <v>674</v>
      </c>
      <c r="CF36" t="s">
        <v>674</v>
      </c>
      <c r="CG36" t="s">
        <v>674</v>
      </c>
      <c r="CH36" t="s">
        <v>674</v>
      </c>
      <c r="CI36" t="s">
        <v>674</v>
      </c>
    </row>
    <row r="37" spans="1:87" x14ac:dyDescent="0.25">
      <c r="A37" t="s">
        <v>369</v>
      </c>
      <c r="B37" t="s">
        <v>88</v>
      </c>
      <c r="C37">
        <v>2006</v>
      </c>
      <c r="D37" t="s">
        <v>370</v>
      </c>
      <c r="E37" t="s">
        <v>371</v>
      </c>
      <c r="F37" t="s">
        <v>115</v>
      </c>
      <c r="G37" t="s">
        <v>674</v>
      </c>
      <c r="H37" t="s">
        <v>372</v>
      </c>
      <c r="I37" t="s">
        <v>373</v>
      </c>
      <c r="J37" t="s">
        <v>374</v>
      </c>
      <c r="K37" t="s">
        <v>674</v>
      </c>
      <c r="L37" t="s">
        <v>375</v>
      </c>
      <c r="M37" s="1">
        <v>46258.649189814816</v>
      </c>
      <c r="N37" s="1">
        <v>46258.845231481479</v>
      </c>
      <c r="O37" s="1">
        <v>46258.649189814816</v>
      </c>
      <c r="P37" t="s">
        <v>376</v>
      </c>
      <c r="Q37" t="s">
        <v>674</v>
      </c>
      <c r="R37">
        <v>2</v>
      </c>
      <c r="S37">
        <v>53</v>
      </c>
      <c r="T37" t="s">
        <v>674</v>
      </c>
      <c r="U37" t="s">
        <v>121</v>
      </c>
      <c r="V37" t="s">
        <v>674</v>
      </c>
      <c r="W37" t="s">
        <v>674</v>
      </c>
      <c r="X37" t="s">
        <v>674</v>
      </c>
      <c r="Y37" t="s">
        <v>674</v>
      </c>
      <c r="Z37" t="s">
        <v>674</v>
      </c>
      <c r="AA37" t="s">
        <v>674</v>
      </c>
      <c r="AB37" t="s">
        <v>674</v>
      </c>
      <c r="AC37" t="s">
        <v>674</v>
      </c>
      <c r="AD37" t="s">
        <v>122</v>
      </c>
      <c r="AE37" t="s">
        <v>674</v>
      </c>
      <c r="AF37" t="s">
        <v>674</v>
      </c>
      <c r="AG37" t="s">
        <v>674</v>
      </c>
      <c r="AH37" t="s">
        <v>99</v>
      </c>
      <c r="AJ37" t="s">
        <v>674</v>
      </c>
      <c r="AK37" t="s">
        <v>674</v>
      </c>
      <c r="AL37" t="s">
        <v>377</v>
      </c>
      <c r="AM37" t="s">
        <v>674</v>
      </c>
      <c r="AN37" t="s">
        <v>378</v>
      </c>
      <c r="AO37" t="s">
        <v>674</v>
      </c>
      <c r="AP37" t="s">
        <v>674</v>
      </c>
      <c r="AQ37" t="s">
        <v>674</v>
      </c>
      <c r="AR37" t="s">
        <v>674</v>
      </c>
      <c r="AS37" t="s">
        <v>674</v>
      </c>
      <c r="AT37" t="s">
        <v>674</v>
      </c>
      <c r="AU37" t="s">
        <v>674</v>
      </c>
      <c r="AV37" t="s">
        <v>674</v>
      </c>
      <c r="AW37" t="s">
        <v>674</v>
      </c>
      <c r="AX37" t="s">
        <v>674</v>
      </c>
      <c r="AY37" t="s">
        <v>674</v>
      </c>
      <c r="AZ37" t="s">
        <v>674</v>
      </c>
      <c r="BA37" t="s">
        <v>674</v>
      </c>
      <c r="BB37" t="s">
        <v>674</v>
      </c>
      <c r="BC37" t="s">
        <v>674</v>
      </c>
      <c r="BD37" t="s">
        <v>674</v>
      </c>
      <c r="BE37" t="s">
        <v>674</v>
      </c>
      <c r="BF37" t="s">
        <v>674</v>
      </c>
      <c r="BG37" t="s">
        <v>674</v>
      </c>
      <c r="BH37" t="s">
        <v>674</v>
      </c>
      <c r="BI37" t="s">
        <v>674</v>
      </c>
      <c r="BJ37" t="s">
        <v>674</v>
      </c>
      <c r="BK37" t="s">
        <v>674</v>
      </c>
      <c r="BL37" t="s">
        <v>674</v>
      </c>
      <c r="BM37" t="s">
        <v>674</v>
      </c>
      <c r="BN37" t="s">
        <v>674</v>
      </c>
      <c r="BO37" t="s">
        <v>674</v>
      </c>
      <c r="BP37" t="s">
        <v>674</v>
      </c>
      <c r="BQ37" t="s">
        <v>674</v>
      </c>
      <c r="BR37" t="s">
        <v>674</v>
      </c>
      <c r="BS37" t="s">
        <v>674</v>
      </c>
      <c r="BT37" t="s">
        <v>674</v>
      </c>
      <c r="BU37" t="s">
        <v>674</v>
      </c>
      <c r="BV37" t="s">
        <v>674</v>
      </c>
      <c r="BW37" t="s">
        <v>674</v>
      </c>
      <c r="BX37" t="s">
        <v>674</v>
      </c>
      <c r="BY37" t="s">
        <v>674</v>
      </c>
      <c r="BZ37" t="s">
        <v>674</v>
      </c>
      <c r="CA37" t="s">
        <v>674</v>
      </c>
      <c r="CB37" t="s">
        <v>674</v>
      </c>
      <c r="CC37" t="s">
        <v>674</v>
      </c>
      <c r="CD37" t="s">
        <v>674</v>
      </c>
      <c r="CE37" t="s">
        <v>674</v>
      </c>
      <c r="CF37" t="s">
        <v>674</v>
      </c>
      <c r="CG37" t="s">
        <v>674</v>
      </c>
      <c r="CH37" t="s">
        <v>674</v>
      </c>
      <c r="CI37" t="s">
        <v>674</v>
      </c>
    </row>
    <row r="38" spans="1:87" x14ac:dyDescent="0.25">
      <c r="A38" t="s">
        <v>350</v>
      </c>
      <c r="B38" t="s">
        <v>88</v>
      </c>
      <c r="C38">
        <v>2019</v>
      </c>
      <c r="D38" t="s">
        <v>351</v>
      </c>
      <c r="E38" t="s">
        <v>352</v>
      </c>
      <c r="F38" t="s">
        <v>115</v>
      </c>
      <c r="G38" t="s">
        <v>674</v>
      </c>
      <c r="H38" t="s">
        <v>116</v>
      </c>
      <c r="I38" t="s">
        <v>353</v>
      </c>
      <c r="J38" t="s">
        <v>354</v>
      </c>
      <c r="K38" t="s">
        <v>674</v>
      </c>
      <c r="L38" t="s">
        <v>355</v>
      </c>
      <c r="M38" s="1">
        <v>46258.639074074075</v>
      </c>
      <c r="N38" s="1">
        <v>46258.647997685184</v>
      </c>
      <c r="O38" s="1">
        <v>46258.639074074075</v>
      </c>
      <c r="P38" t="s">
        <v>356</v>
      </c>
      <c r="Q38" t="s">
        <v>674</v>
      </c>
      <c r="R38">
        <v>4</v>
      </c>
      <c r="S38">
        <v>66</v>
      </c>
      <c r="T38" t="s">
        <v>674</v>
      </c>
      <c r="U38" t="s">
        <v>121</v>
      </c>
      <c r="V38" t="s">
        <v>674</v>
      </c>
      <c r="W38" t="s">
        <v>674</v>
      </c>
      <c r="X38" t="s">
        <v>674</v>
      </c>
      <c r="Y38" t="s">
        <v>674</v>
      </c>
      <c r="Z38" t="s">
        <v>674</v>
      </c>
      <c r="AA38" t="s">
        <v>674</v>
      </c>
      <c r="AB38" t="s">
        <v>674</v>
      </c>
      <c r="AC38" t="s">
        <v>674</v>
      </c>
      <c r="AD38" t="s">
        <v>122</v>
      </c>
      <c r="AE38" t="s">
        <v>674</v>
      </c>
      <c r="AF38" t="s">
        <v>674</v>
      </c>
      <c r="AG38" t="s">
        <v>674</v>
      </c>
      <c r="AH38" t="s">
        <v>99</v>
      </c>
      <c r="AJ38" t="s">
        <v>674</v>
      </c>
      <c r="AK38" t="s">
        <v>674</v>
      </c>
      <c r="AL38" t="s">
        <v>357</v>
      </c>
      <c r="AM38" t="s">
        <v>674</v>
      </c>
      <c r="AN38" t="s">
        <v>358</v>
      </c>
      <c r="AO38" t="s">
        <v>674</v>
      </c>
      <c r="AP38" t="s">
        <v>674</v>
      </c>
      <c r="AQ38" t="s">
        <v>674</v>
      </c>
      <c r="AR38" t="s">
        <v>674</v>
      </c>
      <c r="AS38" t="s">
        <v>674</v>
      </c>
      <c r="AT38" t="s">
        <v>674</v>
      </c>
      <c r="AU38" t="s">
        <v>674</v>
      </c>
      <c r="AV38" t="s">
        <v>674</v>
      </c>
      <c r="AW38" t="s">
        <v>674</v>
      </c>
      <c r="AX38" t="s">
        <v>674</v>
      </c>
      <c r="AY38" t="s">
        <v>674</v>
      </c>
      <c r="AZ38" t="s">
        <v>674</v>
      </c>
      <c r="BA38" t="s">
        <v>674</v>
      </c>
      <c r="BB38" t="s">
        <v>674</v>
      </c>
      <c r="BC38" t="s">
        <v>674</v>
      </c>
      <c r="BD38" t="s">
        <v>674</v>
      </c>
      <c r="BE38" t="s">
        <v>674</v>
      </c>
      <c r="BF38" t="s">
        <v>674</v>
      </c>
      <c r="BG38" t="s">
        <v>674</v>
      </c>
      <c r="BH38" t="s">
        <v>674</v>
      </c>
      <c r="BI38" t="s">
        <v>674</v>
      </c>
      <c r="BJ38" t="s">
        <v>674</v>
      </c>
      <c r="BK38" t="s">
        <v>674</v>
      </c>
      <c r="BL38" t="s">
        <v>674</v>
      </c>
      <c r="BM38" t="s">
        <v>674</v>
      </c>
      <c r="BN38" t="s">
        <v>674</v>
      </c>
      <c r="BO38" t="s">
        <v>674</v>
      </c>
      <c r="BP38" t="s">
        <v>674</v>
      </c>
      <c r="BQ38" t="s">
        <v>674</v>
      </c>
      <c r="BR38" t="s">
        <v>674</v>
      </c>
      <c r="BS38" t="s">
        <v>674</v>
      </c>
      <c r="BT38" t="s">
        <v>674</v>
      </c>
      <c r="BU38" t="s">
        <v>674</v>
      </c>
      <c r="BV38" t="s">
        <v>674</v>
      </c>
      <c r="BW38" t="s">
        <v>674</v>
      </c>
      <c r="BX38" t="s">
        <v>674</v>
      </c>
      <c r="BY38" t="s">
        <v>674</v>
      </c>
      <c r="BZ38" t="s">
        <v>674</v>
      </c>
      <c r="CA38" t="s">
        <v>674</v>
      </c>
      <c r="CB38" t="s">
        <v>674</v>
      </c>
      <c r="CC38" t="s">
        <v>674</v>
      </c>
      <c r="CD38" t="s">
        <v>674</v>
      </c>
      <c r="CE38" t="s">
        <v>674</v>
      </c>
      <c r="CF38" t="s">
        <v>674</v>
      </c>
      <c r="CG38" t="s">
        <v>674</v>
      </c>
      <c r="CH38" t="s">
        <v>674</v>
      </c>
      <c r="CI38" t="s">
        <v>674</v>
      </c>
    </row>
    <row r="39" spans="1:87" x14ac:dyDescent="0.25">
      <c r="A39" t="s">
        <v>338</v>
      </c>
      <c r="B39" t="s">
        <v>88</v>
      </c>
      <c r="C39">
        <v>2019</v>
      </c>
      <c r="D39" t="s">
        <v>339</v>
      </c>
      <c r="E39" t="s">
        <v>340</v>
      </c>
      <c r="F39" t="s">
        <v>341</v>
      </c>
      <c r="G39" t="s">
        <v>674</v>
      </c>
      <c r="H39" t="s">
        <v>342</v>
      </c>
      <c r="I39" t="s">
        <v>343</v>
      </c>
      <c r="J39" t="s">
        <v>344</v>
      </c>
      <c r="K39" t="s">
        <v>674</v>
      </c>
      <c r="L39" t="s">
        <v>345</v>
      </c>
      <c r="M39" s="1">
        <v>46258.639016203706</v>
      </c>
      <c r="N39" s="1">
        <v>46258.647268518522</v>
      </c>
      <c r="O39" s="1">
        <v>46258.639016203706</v>
      </c>
      <c r="P39" t="s">
        <v>346</v>
      </c>
      <c r="Q39" t="s">
        <v>674</v>
      </c>
      <c r="R39">
        <v>4</v>
      </c>
      <c r="S39">
        <v>27</v>
      </c>
      <c r="T39" t="s">
        <v>674</v>
      </c>
      <c r="U39" t="s">
        <v>347</v>
      </c>
      <c r="V39" t="s">
        <v>674</v>
      </c>
      <c r="W39" t="s">
        <v>674</v>
      </c>
      <c r="X39" t="s">
        <v>674</v>
      </c>
      <c r="Y39" t="s">
        <v>674</v>
      </c>
      <c r="Z39" t="s">
        <v>674</v>
      </c>
      <c r="AA39" t="s">
        <v>674</v>
      </c>
      <c r="AB39" t="s">
        <v>674</v>
      </c>
      <c r="AC39" t="s">
        <v>674</v>
      </c>
      <c r="AD39" t="s">
        <v>122</v>
      </c>
      <c r="AE39" t="s">
        <v>674</v>
      </c>
      <c r="AF39" t="s">
        <v>674</v>
      </c>
      <c r="AG39" t="s">
        <v>674</v>
      </c>
      <c r="AH39" t="s">
        <v>99</v>
      </c>
      <c r="AJ39" t="s">
        <v>674</v>
      </c>
      <c r="AK39" t="s">
        <v>674</v>
      </c>
      <c r="AL39" t="s">
        <v>348</v>
      </c>
      <c r="AM39" t="s">
        <v>674</v>
      </c>
      <c r="AN39" t="s">
        <v>349</v>
      </c>
      <c r="AO39" t="s">
        <v>674</v>
      </c>
      <c r="AP39" t="s">
        <v>674</v>
      </c>
      <c r="AQ39" t="s">
        <v>674</v>
      </c>
      <c r="AR39" t="s">
        <v>674</v>
      </c>
      <c r="AS39" t="s">
        <v>674</v>
      </c>
      <c r="AT39" t="s">
        <v>674</v>
      </c>
      <c r="AU39" t="s">
        <v>674</v>
      </c>
      <c r="AV39" t="s">
        <v>674</v>
      </c>
      <c r="AW39" t="s">
        <v>674</v>
      </c>
      <c r="AX39" t="s">
        <v>674</v>
      </c>
      <c r="AY39" t="s">
        <v>674</v>
      </c>
      <c r="AZ39" t="s">
        <v>674</v>
      </c>
      <c r="BA39" t="s">
        <v>674</v>
      </c>
      <c r="BB39" t="s">
        <v>674</v>
      </c>
      <c r="BC39" t="s">
        <v>674</v>
      </c>
      <c r="BD39" t="s">
        <v>674</v>
      </c>
      <c r="BE39" t="s">
        <v>674</v>
      </c>
      <c r="BF39" t="s">
        <v>674</v>
      </c>
      <c r="BG39" t="s">
        <v>674</v>
      </c>
      <c r="BH39" t="s">
        <v>674</v>
      </c>
      <c r="BI39" t="s">
        <v>674</v>
      </c>
      <c r="BJ39" t="s">
        <v>674</v>
      </c>
      <c r="BK39" t="s">
        <v>674</v>
      </c>
      <c r="BL39" t="s">
        <v>674</v>
      </c>
      <c r="BM39" t="s">
        <v>674</v>
      </c>
      <c r="BN39" t="s">
        <v>674</v>
      </c>
      <c r="BO39" t="s">
        <v>674</v>
      </c>
      <c r="BP39" t="s">
        <v>674</v>
      </c>
      <c r="BQ39" t="s">
        <v>674</v>
      </c>
      <c r="BR39" t="s">
        <v>674</v>
      </c>
      <c r="BS39" t="s">
        <v>674</v>
      </c>
      <c r="BT39" t="s">
        <v>674</v>
      </c>
      <c r="BU39" t="s">
        <v>674</v>
      </c>
      <c r="BV39" t="s">
        <v>674</v>
      </c>
      <c r="BW39" t="s">
        <v>674</v>
      </c>
      <c r="BX39" t="s">
        <v>674</v>
      </c>
      <c r="BY39" t="s">
        <v>674</v>
      </c>
      <c r="BZ39" t="s">
        <v>674</v>
      </c>
      <c r="CA39" t="s">
        <v>674</v>
      </c>
      <c r="CB39" t="s">
        <v>674</v>
      </c>
      <c r="CC39" t="s">
        <v>674</v>
      </c>
      <c r="CD39" t="s">
        <v>674</v>
      </c>
      <c r="CE39" t="s">
        <v>674</v>
      </c>
      <c r="CF39" t="s">
        <v>674</v>
      </c>
      <c r="CG39" t="s">
        <v>674</v>
      </c>
      <c r="CH39" t="s">
        <v>674</v>
      </c>
      <c r="CI39" t="s">
        <v>674</v>
      </c>
    </row>
    <row r="40" spans="1:87" x14ac:dyDescent="0.25">
      <c r="A40" t="s">
        <v>359</v>
      </c>
      <c r="B40" t="s">
        <v>126</v>
      </c>
      <c r="C40">
        <v>2014</v>
      </c>
      <c r="D40" t="s">
        <v>360</v>
      </c>
      <c r="E40" t="s">
        <v>361</v>
      </c>
      <c r="F40" t="s">
        <v>362</v>
      </c>
      <c r="G40" t="s">
        <v>363</v>
      </c>
      <c r="H40" t="s">
        <v>674</v>
      </c>
      <c r="I40" t="s">
        <v>364</v>
      </c>
      <c r="J40" t="s">
        <v>365</v>
      </c>
      <c r="K40" t="s">
        <v>674</v>
      </c>
      <c r="L40" t="s">
        <v>690</v>
      </c>
      <c r="M40" s="1">
        <v>46258.639236111114</v>
      </c>
      <c r="N40" s="1">
        <v>46258.646979166668</v>
      </c>
      <c r="O40" s="1">
        <v>46258.639236111114</v>
      </c>
      <c r="P40" t="s">
        <v>674</v>
      </c>
      <c r="Q40" t="s">
        <v>674</v>
      </c>
      <c r="T40" t="s">
        <v>674</v>
      </c>
      <c r="U40" t="s">
        <v>674</v>
      </c>
      <c r="V40" t="s">
        <v>674</v>
      </c>
      <c r="W40" t="s">
        <v>674</v>
      </c>
      <c r="X40" t="s">
        <v>674</v>
      </c>
      <c r="Y40" t="s">
        <v>674</v>
      </c>
      <c r="Z40" t="s">
        <v>674</v>
      </c>
      <c r="AA40" t="s">
        <v>366</v>
      </c>
      <c r="AB40" t="s">
        <v>674</v>
      </c>
      <c r="AC40" t="s">
        <v>674</v>
      </c>
      <c r="AD40" t="s">
        <v>674</v>
      </c>
      <c r="AE40" t="s">
        <v>674</v>
      </c>
      <c r="AF40" t="s">
        <v>674</v>
      </c>
      <c r="AG40" t="s">
        <v>674</v>
      </c>
      <c r="AH40" t="s">
        <v>99</v>
      </c>
      <c r="AJ40" t="s">
        <v>674</v>
      </c>
      <c r="AK40" t="s">
        <v>674</v>
      </c>
      <c r="AL40" t="s">
        <v>367</v>
      </c>
      <c r="AM40" t="s">
        <v>674</v>
      </c>
      <c r="AN40" t="s">
        <v>358</v>
      </c>
      <c r="AO40" t="s">
        <v>674</v>
      </c>
      <c r="AP40" t="s">
        <v>674</v>
      </c>
      <c r="AQ40" t="s">
        <v>674</v>
      </c>
      <c r="AR40" t="s">
        <v>674</v>
      </c>
      <c r="AS40" t="s">
        <v>674</v>
      </c>
      <c r="AT40" t="s">
        <v>674</v>
      </c>
      <c r="AU40" t="s">
        <v>674</v>
      </c>
      <c r="AV40" t="s">
        <v>674</v>
      </c>
      <c r="AW40" t="s">
        <v>674</v>
      </c>
      <c r="AX40" t="s">
        <v>674</v>
      </c>
      <c r="AY40" t="s">
        <v>674</v>
      </c>
      <c r="AZ40" t="s">
        <v>674</v>
      </c>
      <c r="BA40" t="s">
        <v>674</v>
      </c>
      <c r="BB40" t="s">
        <v>674</v>
      </c>
      <c r="BC40" t="s">
        <v>674</v>
      </c>
      <c r="BD40" t="s">
        <v>674</v>
      </c>
      <c r="BE40" t="s">
        <v>674</v>
      </c>
      <c r="BF40" t="s">
        <v>674</v>
      </c>
      <c r="BG40" t="s">
        <v>674</v>
      </c>
      <c r="BH40" t="s">
        <v>674</v>
      </c>
      <c r="BI40" t="s">
        <v>674</v>
      </c>
      <c r="BJ40" t="s">
        <v>674</v>
      </c>
      <c r="BK40" t="s">
        <v>674</v>
      </c>
      <c r="BL40" t="s">
        <v>674</v>
      </c>
      <c r="BM40" t="s">
        <v>674</v>
      </c>
      <c r="BN40" t="s">
        <v>674</v>
      </c>
      <c r="BO40" t="s">
        <v>674</v>
      </c>
      <c r="BP40" t="s">
        <v>674</v>
      </c>
      <c r="BQ40" t="s">
        <v>674</v>
      </c>
      <c r="BR40" t="s">
        <v>674</v>
      </c>
      <c r="BS40" t="s">
        <v>674</v>
      </c>
      <c r="BT40" t="s">
        <v>368</v>
      </c>
      <c r="BU40" t="s">
        <v>674</v>
      </c>
      <c r="BV40" t="s">
        <v>674</v>
      </c>
      <c r="BW40" t="s">
        <v>674</v>
      </c>
      <c r="BX40" t="s">
        <v>674</v>
      </c>
      <c r="BY40" t="s">
        <v>674</v>
      </c>
      <c r="BZ40" t="s">
        <v>674</v>
      </c>
      <c r="CA40" t="s">
        <v>674</v>
      </c>
      <c r="CB40" t="s">
        <v>674</v>
      </c>
      <c r="CC40" t="s">
        <v>674</v>
      </c>
      <c r="CD40" t="s">
        <v>674</v>
      </c>
      <c r="CE40" t="s">
        <v>674</v>
      </c>
      <c r="CF40" t="s">
        <v>674</v>
      </c>
      <c r="CG40" t="s">
        <v>674</v>
      </c>
      <c r="CH40" t="s">
        <v>674</v>
      </c>
      <c r="CI40" t="s">
        <v>674</v>
      </c>
    </row>
    <row r="41" spans="1:87" x14ac:dyDescent="0.25">
      <c r="A41" t="s">
        <v>318</v>
      </c>
      <c r="B41" t="s">
        <v>88</v>
      </c>
      <c r="C41">
        <v>2016</v>
      </c>
      <c r="D41" t="s">
        <v>319</v>
      </c>
      <c r="E41" t="s">
        <v>320</v>
      </c>
      <c r="F41" t="s">
        <v>115</v>
      </c>
      <c r="G41" t="s">
        <v>674</v>
      </c>
      <c r="H41" t="s">
        <v>116</v>
      </c>
      <c r="I41" t="s">
        <v>321</v>
      </c>
      <c r="J41" t="s">
        <v>322</v>
      </c>
      <c r="K41" t="s">
        <v>674</v>
      </c>
      <c r="L41" t="s">
        <v>323</v>
      </c>
      <c r="M41" s="1">
        <v>46258.637569444443</v>
      </c>
      <c r="N41" s="1">
        <v>46258.638831018521</v>
      </c>
      <c r="O41" s="1">
        <v>46258.637569444443</v>
      </c>
      <c r="P41" t="s">
        <v>324</v>
      </c>
      <c r="Q41" t="s">
        <v>674</v>
      </c>
      <c r="R41">
        <v>7</v>
      </c>
      <c r="S41">
        <v>63</v>
      </c>
      <c r="T41" t="s">
        <v>674</v>
      </c>
      <c r="U41" t="s">
        <v>121</v>
      </c>
      <c r="V41" t="s">
        <v>674</v>
      </c>
      <c r="W41" t="s">
        <v>674</v>
      </c>
      <c r="X41" t="s">
        <v>674</v>
      </c>
      <c r="Y41" t="s">
        <v>674</v>
      </c>
      <c r="Z41" t="s">
        <v>674</v>
      </c>
      <c r="AA41" t="s">
        <v>674</v>
      </c>
      <c r="AB41" t="s">
        <v>674</v>
      </c>
      <c r="AC41" t="s">
        <v>674</v>
      </c>
      <c r="AD41" t="s">
        <v>122</v>
      </c>
      <c r="AE41" t="s">
        <v>674</v>
      </c>
      <c r="AF41" t="s">
        <v>674</v>
      </c>
      <c r="AG41" t="s">
        <v>674</v>
      </c>
      <c r="AH41" t="s">
        <v>99</v>
      </c>
      <c r="AJ41" t="s">
        <v>674</v>
      </c>
      <c r="AK41" t="s">
        <v>674</v>
      </c>
      <c r="AL41" t="s">
        <v>325</v>
      </c>
      <c r="AM41" t="s">
        <v>674</v>
      </c>
      <c r="AN41" t="s">
        <v>326</v>
      </c>
      <c r="AO41" t="s">
        <v>674</v>
      </c>
      <c r="AP41" t="s">
        <v>674</v>
      </c>
      <c r="AQ41" t="s">
        <v>674</v>
      </c>
      <c r="AR41" t="s">
        <v>674</v>
      </c>
      <c r="AS41" t="s">
        <v>674</v>
      </c>
      <c r="AT41" t="s">
        <v>674</v>
      </c>
      <c r="AU41" t="s">
        <v>674</v>
      </c>
      <c r="AV41" t="s">
        <v>674</v>
      </c>
      <c r="AW41" t="s">
        <v>674</v>
      </c>
      <c r="AX41" t="s">
        <v>674</v>
      </c>
      <c r="AY41" t="s">
        <v>674</v>
      </c>
      <c r="AZ41" t="s">
        <v>674</v>
      </c>
      <c r="BA41" t="s">
        <v>674</v>
      </c>
      <c r="BB41" t="s">
        <v>674</v>
      </c>
      <c r="BC41" t="s">
        <v>674</v>
      </c>
      <c r="BD41" t="s">
        <v>674</v>
      </c>
      <c r="BE41" t="s">
        <v>674</v>
      </c>
      <c r="BF41" t="s">
        <v>674</v>
      </c>
      <c r="BG41" t="s">
        <v>674</v>
      </c>
      <c r="BH41" t="s">
        <v>674</v>
      </c>
      <c r="BI41" t="s">
        <v>674</v>
      </c>
      <c r="BJ41" t="s">
        <v>674</v>
      </c>
      <c r="BK41" t="s">
        <v>674</v>
      </c>
      <c r="BL41" t="s">
        <v>674</v>
      </c>
      <c r="BM41" t="s">
        <v>674</v>
      </c>
      <c r="BN41" t="s">
        <v>674</v>
      </c>
      <c r="BO41" t="s">
        <v>674</v>
      </c>
      <c r="BP41" t="s">
        <v>674</v>
      </c>
      <c r="BQ41" t="s">
        <v>674</v>
      </c>
      <c r="BR41" t="s">
        <v>674</v>
      </c>
      <c r="BS41" t="s">
        <v>674</v>
      </c>
      <c r="BT41" t="s">
        <v>674</v>
      </c>
      <c r="BU41" t="s">
        <v>674</v>
      </c>
      <c r="BV41" t="s">
        <v>674</v>
      </c>
      <c r="BW41" t="s">
        <v>674</v>
      </c>
      <c r="BX41" t="s">
        <v>674</v>
      </c>
      <c r="BY41" t="s">
        <v>674</v>
      </c>
      <c r="BZ41" t="s">
        <v>674</v>
      </c>
      <c r="CA41" t="s">
        <v>674</v>
      </c>
      <c r="CB41" t="s">
        <v>674</v>
      </c>
      <c r="CC41" t="s">
        <v>674</v>
      </c>
      <c r="CD41" t="s">
        <v>674</v>
      </c>
      <c r="CE41" t="s">
        <v>674</v>
      </c>
      <c r="CF41" t="s">
        <v>674</v>
      </c>
      <c r="CG41" t="s">
        <v>674</v>
      </c>
      <c r="CH41" t="s">
        <v>674</v>
      </c>
      <c r="CI41" t="s">
        <v>674</v>
      </c>
    </row>
    <row r="42" spans="1:87" x14ac:dyDescent="0.25">
      <c r="A42" t="s">
        <v>327</v>
      </c>
      <c r="B42" t="s">
        <v>126</v>
      </c>
      <c r="C42">
        <v>2025</v>
      </c>
      <c r="D42" t="s">
        <v>328</v>
      </c>
      <c r="E42" t="s">
        <v>329</v>
      </c>
      <c r="F42" t="s">
        <v>330</v>
      </c>
      <c r="G42" t="s">
        <v>331</v>
      </c>
      <c r="H42" t="s">
        <v>674</v>
      </c>
      <c r="I42" t="s">
        <v>332</v>
      </c>
      <c r="J42" t="s">
        <v>333</v>
      </c>
      <c r="K42" t="s">
        <v>674</v>
      </c>
      <c r="L42" t="s">
        <v>689</v>
      </c>
      <c r="M42" s="1">
        <v>46258.637627314813</v>
      </c>
      <c r="N42" s="1">
        <v>46258.638101851851</v>
      </c>
      <c r="O42" s="1">
        <v>46258.637627314813</v>
      </c>
      <c r="P42" t="s">
        <v>334</v>
      </c>
      <c r="Q42" t="s">
        <v>674</v>
      </c>
      <c r="T42" t="s">
        <v>674</v>
      </c>
      <c r="U42" t="s">
        <v>674</v>
      </c>
      <c r="V42" t="s">
        <v>674</v>
      </c>
      <c r="W42" t="s">
        <v>674</v>
      </c>
      <c r="X42" t="s">
        <v>674</v>
      </c>
      <c r="Y42" t="s">
        <v>674</v>
      </c>
      <c r="Z42" t="s">
        <v>674</v>
      </c>
      <c r="AA42" t="s">
        <v>133</v>
      </c>
      <c r="AB42" t="s">
        <v>335</v>
      </c>
      <c r="AC42" t="s">
        <v>674</v>
      </c>
      <c r="AD42" t="s">
        <v>135</v>
      </c>
      <c r="AE42" t="s">
        <v>674</v>
      </c>
      <c r="AF42" t="s">
        <v>674</v>
      </c>
      <c r="AG42" t="s">
        <v>674</v>
      </c>
      <c r="AH42" t="s">
        <v>99</v>
      </c>
      <c r="AJ42" t="s">
        <v>674</v>
      </c>
      <c r="AK42" t="s">
        <v>674</v>
      </c>
      <c r="AL42" t="s">
        <v>336</v>
      </c>
      <c r="AM42" t="s">
        <v>674</v>
      </c>
      <c r="AN42" t="s">
        <v>337</v>
      </c>
      <c r="AO42" t="s">
        <v>674</v>
      </c>
      <c r="AP42" t="s">
        <v>674</v>
      </c>
      <c r="AQ42" t="s">
        <v>674</v>
      </c>
      <c r="AR42" t="s">
        <v>674</v>
      </c>
      <c r="AS42" t="s">
        <v>674</v>
      </c>
      <c r="AT42" t="s">
        <v>674</v>
      </c>
      <c r="AU42" t="s">
        <v>674</v>
      </c>
      <c r="AV42" t="s">
        <v>674</v>
      </c>
      <c r="AW42" t="s">
        <v>674</v>
      </c>
      <c r="AX42" t="s">
        <v>674</v>
      </c>
      <c r="AY42" t="s">
        <v>674</v>
      </c>
      <c r="AZ42" t="s">
        <v>674</v>
      </c>
      <c r="BA42" t="s">
        <v>674</v>
      </c>
      <c r="BB42" t="s">
        <v>674</v>
      </c>
      <c r="BC42" t="s">
        <v>674</v>
      </c>
      <c r="BD42" t="s">
        <v>674</v>
      </c>
      <c r="BE42" t="s">
        <v>674</v>
      </c>
      <c r="BF42" t="s">
        <v>674</v>
      </c>
      <c r="BG42" t="s">
        <v>674</v>
      </c>
      <c r="BH42" t="s">
        <v>674</v>
      </c>
      <c r="BI42" t="s">
        <v>674</v>
      </c>
      <c r="BJ42" t="s">
        <v>674</v>
      </c>
      <c r="BK42" t="s">
        <v>674</v>
      </c>
      <c r="BL42" t="s">
        <v>674</v>
      </c>
      <c r="BM42" t="s">
        <v>674</v>
      </c>
      <c r="BN42" t="s">
        <v>674</v>
      </c>
      <c r="BO42" t="s">
        <v>674</v>
      </c>
      <c r="BP42" t="s">
        <v>674</v>
      </c>
      <c r="BQ42" t="s">
        <v>674</v>
      </c>
      <c r="BR42" t="s">
        <v>674</v>
      </c>
      <c r="BS42" t="s">
        <v>674</v>
      </c>
      <c r="BT42" t="s">
        <v>330</v>
      </c>
      <c r="BU42" t="s">
        <v>674</v>
      </c>
      <c r="BV42" t="s">
        <v>674</v>
      </c>
      <c r="BW42" t="s">
        <v>674</v>
      </c>
      <c r="BX42" t="s">
        <v>674</v>
      </c>
      <c r="BY42" t="s">
        <v>674</v>
      </c>
      <c r="BZ42" t="s">
        <v>674</v>
      </c>
      <c r="CA42" t="s">
        <v>674</v>
      </c>
      <c r="CB42" t="s">
        <v>674</v>
      </c>
      <c r="CC42" t="s">
        <v>674</v>
      </c>
      <c r="CD42" t="s">
        <v>674</v>
      </c>
      <c r="CE42" t="s">
        <v>674</v>
      </c>
      <c r="CF42" t="s">
        <v>674</v>
      </c>
      <c r="CG42" t="s">
        <v>674</v>
      </c>
      <c r="CH42" t="s">
        <v>674</v>
      </c>
      <c r="CI42" t="s">
        <v>674</v>
      </c>
    </row>
    <row r="43" spans="1:87" x14ac:dyDescent="0.25">
      <c r="A43" t="s">
        <v>271</v>
      </c>
      <c r="B43" t="s">
        <v>126</v>
      </c>
      <c r="C43">
        <v>2017</v>
      </c>
      <c r="D43" t="s">
        <v>272</v>
      </c>
      <c r="E43" t="s">
        <v>273</v>
      </c>
      <c r="F43" t="s">
        <v>274</v>
      </c>
      <c r="G43" t="s">
        <v>275</v>
      </c>
      <c r="H43" t="s">
        <v>674</v>
      </c>
      <c r="I43" t="s">
        <v>276</v>
      </c>
      <c r="J43" t="s">
        <v>277</v>
      </c>
      <c r="K43" t="s">
        <v>278</v>
      </c>
      <c r="L43" t="s">
        <v>279</v>
      </c>
      <c r="M43" s="1">
        <v>46258.612615740742</v>
      </c>
      <c r="N43" s="1">
        <v>46258.619039351855</v>
      </c>
      <c r="O43" s="1">
        <v>46258.612615740742</v>
      </c>
      <c r="P43" t="s">
        <v>280</v>
      </c>
      <c r="Q43" t="s">
        <v>674</v>
      </c>
      <c r="T43" t="s">
        <v>674</v>
      </c>
      <c r="U43" t="s">
        <v>674</v>
      </c>
      <c r="V43" t="s">
        <v>674</v>
      </c>
      <c r="W43" t="s">
        <v>674</v>
      </c>
      <c r="X43" t="s">
        <v>674</v>
      </c>
      <c r="Y43" t="s">
        <v>674</v>
      </c>
      <c r="Z43" t="s">
        <v>674</v>
      </c>
      <c r="AA43" t="s">
        <v>133</v>
      </c>
      <c r="AB43" t="s">
        <v>281</v>
      </c>
      <c r="AC43" t="s">
        <v>674</v>
      </c>
      <c r="AD43" t="s">
        <v>674</v>
      </c>
      <c r="AE43" t="s">
        <v>674</v>
      </c>
      <c r="AF43" t="s">
        <v>674</v>
      </c>
      <c r="AG43" t="s">
        <v>674</v>
      </c>
      <c r="AH43" t="s">
        <v>99</v>
      </c>
      <c r="AJ43" t="s">
        <v>674</v>
      </c>
      <c r="AK43" t="s">
        <v>674</v>
      </c>
      <c r="AL43" t="s">
        <v>282</v>
      </c>
      <c r="AM43" t="s">
        <v>674</v>
      </c>
      <c r="AN43" t="s">
        <v>235</v>
      </c>
      <c r="AO43" t="s">
        <v>674</v>
      </c>
      <c r="AP43" t="s">
        <v>674</v>
      </c>
      <c r="AQ43" t="s">
        <v>674</v>
      </c>
      <c r="AR43" t="s">
        <v>674</v>
      </c>
      <c r="AS43" t="s">
        <v>674</v>
      </c>
      <c r="AT43" t="s">
        <v>674</v>
      </c>
      <c r="AU43" t="s">
        <v>674</v>
      </c>
      <c r="AV43" t="s">
        <v>674</v>
      </c>
      <c r="AW43" t="s">
        <v>674</v>
      </c>
      <c r="AX43" t="s">
        <v>674</v>
      </c>
      <c r="AY43" t="s">
        <v>674</v>
      </c>
      <c r="AZ43" t="s">
        <v>674</v>
      </c>
      <c r="BA43" t="s">
        <v>674</v>
      </c>
      <c r="BB43" t="s">
        <v>674</v>
      </c>
      <c r="BC43" t="s">
        <v>674</v>
      </c>
      <c r="BD43" t="s">
        <v>674</v>
      </c>
      <c r="BE43" t="s">
        <v>674</v>
      </c>
      <c r="BF43" t="s">
        <v>674</v>
      </c>
      <c r="BG43" t="s">
        <v>674</v>
      </c>
      <c r="BH43" t="s">
        <v>674</v>
      </c>
      <c r="BI43" t="s">
        <v>674</v>
      </c>
      <c r="BJ43" t="s">
        <v>674</v>
      </c>
      <c r="BK43" t="s">
        <v>674</v>
      </c>
      <c r="BL43" t="s">
        <v>674</v>
      </c>
      <c r="BM43" t="s">
        <v>674</v>
      </c>
      <c r="BN43" t="s">
        <v>674</v>
      </c>
      <c r="BO43" t="s">
        <v>674</v>
      </c>
      <c r="BP43" t="s">
        <v>674</v>
      </c>
      <c r="BQ43" t="s">
        <v>674</v>
      </c>
      <c r="BR43" t="s">
        <v>674</v>
      </c>
      <c r="BS43" t="s">
        <v>674</v>
      </c>
      <c r="BT43" t="s">
        <v>274</v>
      </c>
      <c r="BU43" t="s">
        <v>674</v>
      </c>
      <c r="BV43" t="s">
        <v>674</v>
      </c>
      <c r="BW43" t="s">
        <v>674</v>
      </c>
      <c r="BX43" t="s">
        <v>674</v>
      </c>
      <c r="BY43" t="s">
        <v>674</v>
      </c>
      <c r="BZ43" t="s">
        <v>674</v>
      </c>
      <c r="CA43" t="s">
        <v>674</v>
      </c>
      <c r="CB43" t="s">
        <v>674</v>
      </c>
      <c r="CC43" t="s">
        <v>674</v>
      </c>
      <c r="CD43" t="s">
        <v>674</v>
      </c>
      <c r="CE43" t="s">
        <v>674</v>
      </c>
      <c r="CF43" t="s">
        <v>674</v>
      </c>
      <c r="CG43" t="s">
        <v>674</v>
      </c>
      <c r="CH43" t="s">
        <v>674</v>
      </c>
      <c r="CI43" t="s">
        <v>674</v>
      </c>
    </row>
    <row r="44" spans="1:87" x14ac:dyDescent="0.25">
      <c r="A44" t="s">
        <v>283</v>
      </c>
      <c r="B44" t="s">
        <v>88</v>
      </c>
      <c r="C44">
        <v>2016</v>
      </c>
      <c r="D44" t="s">
        <v>284</v>
      </c>
      <c r="E44" t="s">
        <v>285</v>
      </c>
      <c r="F44" t="s">
        <v>286</v>
      </c>
      <c r="G44" t="s">
        <v>674</v>
      </c>
      <c r="H44" t="s">
        <v>287</v>
      </c>
      <c r="I44" t="s">
        <v>288</v>
      </c>
      <c r="J44" t="s">
        <v>289</v>
      </c>
      <c r="K44" t="s">
        <v>674</v>
      </c>
      <c r="L44" t="s">
        <v>686</v>
      </c>
      <c r="M44" s="1">
        <v>46258.612719907411</v>
      </c>
      <c r="N44" s="1">
        <v>46258.618090277778</v>
      </c>
      <c r="O44" s="1">
        <v>46258.612719907411</v>
      </c>
      <c r="P44" t="s">
        <v>290</v>
      </c>
      <c r="Q44" t="s">
        <v>674</v>
      </c>
      <c r="R44">
        <v>1</v>
      </c>
      <c r="S44">
        <v>14</v>
      </c>
      <c r="T44" t="s">
        <v>674</v>
      </c>
      <c r="U44" t="s">
        <v>291</v>
      </c>
      <c r="V44" t="s">
        <v>674</v>
      </c>
      <c r="W44" t="s">
        <v>674</v>
      </c>
      <c r="X44" t="s">
        <v>674</v>
      </c>
      <c r="Y44" t="s">
        <v>674</v>
      </c>
      <c r="Z44" t="s">
        <v>674</v>
      </c>
      <c r="AA44" t="s">
        <v>674</v>
      </c>
      <c r="AB44" t="s">
        <v>674</v>
      </c>
      <c r="AC44" t="s">
        <v>674</v>
      </c>
      <c r="AD44" t="s">
        <v>674</v>
      </c>
      <c r="AE44" t="s">
        <v>674</v>
      </c>
      <c r="AF44" t="s">
        <v>674</v>
      </c>
      <c r="AG44" t="s">
        <v>674</v>
      </c>
      <c r="AH44" t="s">
        <v>99</v>
      </c>
      <c r="AJ44" t="s">
        <v>674</v>
      </c>
      <c r="AK44" t="s">
        <v>674</v>
      </c>
      <c r="AL44" t="s">
        <v>292</v>
      </c>
      <c r="AM44" t="s">
        <v>674</v>
      </c>
      <c r="AN44" t="s">
        <v>293</v>
      </c>
      <c r="AO44" t="s">
        <v>674</v>
      </c>
      <c r="AP44" t="s">
        <v>674</v>
      </c>
      <c r="AQ44" t="s">
        <v>674</v>
      </c>
      <c r="AR44" t="s">
        <v>674</v>
      </c>
      <c r="AS44" t="s">
        <v>674</v>
      </c>
      <c r="AT44" t="s">
        <v>674</v>
      </c>
      <c r="AU44" t="s">
        <v>674</v>
      </c>
      <c r="AV44" t="s">
        <v>674</v>
      </c>
      <c r="AW44" t="s">
        <v>674</v>
      </c>
      <c r="AX44" t="s">
        <v>674</v>
      </c>
      <c r="AY44" t="s">
        <v>674</v>
      </c>
      <c r="AZ44" t="s">
        <v>674</v>
      </c>
      <c r="BA44" t="s">
        <v>674</v>
      </c>
      <c r="BB44" t="s">
        <v>674</v>
      </c>
      <c r="BC44" t="s">
        <v>674</v>
      </c>
      <c r="BD44" t="s">
        <v>674</v>
      </c>
      <c r="BE44" t="s">
        <v>674</v>
      </c>
      <c r="BF44" t="s">
        <v>674</v>
      </c>
      <c r="BG44" t="s">
        <v>674</v>
      </c>
      <c r="BH44" t="s">
        <v>674</v>
      </c>
      <c r="BI44" t="s">
        <v>674</v>
      </c>
      <c r="BJ44" t="s">
        <v>674</v>
      </c>
      <c r="BK44" t="s">
        <v>674</v>
      </c>
      <c r="BL44" t="s">
        <v>674</v>
      </c>
      <c r="BM44" t="s">
        <v>674</v>
      </c>
      <c r="BN44" t="s">
        <v>674</v>
      </c>
      <c r="BO44" t="s">
        <v>674</v>
      </c>
      <c r="BP44" t="s">
        <v>674</v>
      </c>
      <c r="BQ44" t="s">
        <v>674</v>
      </c>
      <c r="BR44" t="s">
        <v>674</v>
      </c>
      <c r="BS44" t="s">
        <v>674</v>
      </c>
      <c r="BT44" t="s">
        <v>674</v>
      </c>
      <c r="BU44" t="s">
        <v>674</v>
      </c>
      <c r="BV44" t="s">
        <v>674</v>
      </c>
      <c r="BW44" t="s">
        <v>674</v>
      </c>
      <c r="BX44" t="s">
        <v>674</v>
      </c>
      <c r="BY44" t="s">
        <v>674</v>
      </c>
      <c r="BZ44" t="s">
        <v>674</v>
      </c>
      <c r="CA44" t="s">
        <v>674</v>
      </c>
      <c r="CB44" t="s">
        <v>674</v>
      </c>
      <c r="CC44" t="s">
        <v>674</v>
      </c>
      <c r="CD44" t="s">
        <v>674</v>
      </c>
      <c r="CE44" t="s">
        <v>674</v>
      </c>
      <c r="CF44" t="s">
        <v>674</v>
      </c>
      <c r="CG44" t="s">
        <v>674</v>
      </c>
      <c r="CH44" t="s">
        <v>674</v>
      </c>
      <c r="CI44" t="s">
        <v>674</v>
      </c>
    </row>
    <row r="45" spans="1:87" x14ac:dyDescent="0.25">
      <c r="A45" t="s">
        <v>262</v>
      </c>
      <c r="B45" t="s">
        <v>88</v>
      </c>
      <c r="C45">
        <v>2017</v>
      </c>
      <c r="D45" t="s">
        <v>263</v>
      </c>
      <c r="E45" t="s">
        <v>264</v>
      </c>
      <c r="F45" t="s">
        <v>265</v>
      </c>
      <c r="G45" t="s">
        <v>674</v>
      </c>
      <c r="H45" t="s">
        <v>266</v>
      </c>
      <c r="I45" t="s">
        <v>267</v>
      </c>
      <c r="J45" t="s">
        <v>268</v>
      </c>
      <c r="K45" t="s">
        <v>674</v>
      </c>
      <c r="L45" t="s">
        <v>269</v>
      </c>
      <c r="M45" s="1">
        <v>46258.612557870372</v>
      </c>
      <c r="N45" s="1">
        <v>46258.617615740739</v>
      </c>
      <c r="O45" s="1">
        <v>46258.612557870372</v>
      </c>
      <c r="P45" t="s">
        <v>685</v>
      </c>
      <c r="Q45" t="s">
        <v>674</v>
      </c>
      <c r="S45">
        <v>43</v>
      </c>
      <c r="T45" t="s">
        <v>674</v>
      </c>
      <c r="U45" t="s">
        <v>265</v>
      </c>
      <c r="V45" t="s">
        <v>674</v>
      </c>
      <c r="W45" t="s">
        <v>674</v>
      </c>
      <c r="X45" t="s">
        <v>674</v>
      </c>
      <c r="Y45" t="s">
        <v>674</v>
      </c>
      <c r="Z45" t="s">
        <v>674</v>
      </c>
      <c r="AA45" t="s">
        <v>674</v>
      </c>
      <c r="AB45" t="s">
        <v>674</v>
      </c>
      <c r="AC45" t="s">
        <v>97</v>
      </c>
      <c r="AD45" t="s">
        <v>674</v>
      </c>
      <c r="AE45" t="s">
        <v>674</v>
      </c>
      <c r="AF45" t="s">
        <v>674</v>
      </c>
      <c r="AG45" t="s">
        <v>674</v>
      </c>
      <c r="AH45" t="s">
        <v>99</v>
      </c>
      <c r="AJ45" t="s">
        <v>674</v>
      </c>
      <c r="AK45" t="s">
        <v>674</v>
      </c>
      <c r="AL45" t="s">
        <v>270</v>
      </c>
      <c r="AM45" t="s">
        <v>674</v>
      </c>
      <c r="AN45" t="s">
        <v>213</v>
      </c>
      <c r="AO45" t="s">
        <v>674</v>
      </c>
      <c r="AP45" t="s">
        <v>674</v>
      </c>
      <c r="AQ45" t="s">
        <v>674</v>
      </c>
      <c r="AR45" t="s">
        <v>674</v>
      </c>
      <c r="AS45" t="s">
        <v>674</v>
      </c>
      <c r="AT45" t="s">
        <v>674</v>
      </c>
      <c r="AU45" t="s">
        <v>674</v>
      </c>
      <c r="AV45" t="s">
        <v>674</v>
      </c>
      <c r="AW45" t="s">
        <v>674</v>
      </c>
      <c r="AX45" t="s">
        <v>674</v>
      </c>
      <c r="AY45" t="s">
        <v>674</v>
      </c>
      <c r="AZ45" t="s">
        <v>674</v>
      </c>
      <c r="BA45" t="s">
        <v>674</v>
      </c>
      <c r="BB45" t="s">
        <v>674</v>
      </c>
      <c r="BC45" t="s">
        <v>674</v>
      </c>
      <c r="BD45" t="s">
        <v>674</v>
      </c>
      <c r="BE45" t="s">
        <v>674</v>
      </c>
      <c r="BF45" t="s">
        <v>674</v>
      </c>
      <c r="BG45" t="s">
        <v>674</v>
      </c>
      <c r="BH45" t="s">
        <v>674</v>
      </c>
      <c r="BI45" t="s">
        <v>674</v>
      </c>
      <c r="BJ45" t="s">
        <v>674</v>
      </c>
      <c r="BK45" t="s">
        <v>674</v>
      </c>
      <c r="BL45" t="s">
        <v>674</v>
      </c>
      <c r="BM45" t="s">
        <v>674</v>
      </c>
      <c r="BN45" t="s">
        <v>674</v>
      </c>
      <c r="BO45" t="s">
        <v>674</v>
      </c>
      <c r="BP45" t="s">
        <v>674</v>
      </c>
      <c r="BQ45" t="s">
        <v>674</v>
      </c>
      <c r="BR45" t="s">
        <v>674</v>
      </c>
      <c r="BS45" t="s">
        <v>674</v>
      </c>
      <c r="BT45" t="s">
        <v>674</v>
      </c>
      <c r="BU45" t="s">
        <v>674</v>
      </c>
      <c r="BV45" t="s">
        <v>674</v>
      </c>
      <c r="BW45" t="s">
        <v>674</v>
      </c>
      <c r="BX45" t="s">
        <v>674</v>
      </c>
      <c r="BY45" t="s">
        <v>674</v>
      </c>
      <c r="BZ45" t="s">
        <v>674</v>
      </c>
      <c r="CA45" t="s">
        <v>674</v>
      </c>
      <c r="CB45" t="s">
        <v>674</v>
      </c>
      <c r="CC45" t="s">
        <v>674</v>
      </c>
      <c r="CD45" t="s">
        <v>674</v>
      </c>
      <c r="CE45" t="s">
        <v>674</v>
      </c>
      <c r="CF45" t="s">
        <v>674</v>
      </c>
      <c r="CG45" t="s">
        <v>674</v>
      </c>
      <c r="CH45" t="s">
        <v>674</v>
      </c>
      <c r="CI45" t="s">
        <v>674</v>
      </c>
    </row>
    <row r="46" spans="1:87" x14ac:dyDescent="0.25">
      <c r="A46" t="s">
        <v>294</v>
      </c>
      <c r="B46" t="s">
        <v>88</v>
      </c>
      <c r="C46">
        <v>2022</v>
      </c>
      <c r="D46" t="s">
        <v>295</v>
      </c>
      <c r="E46" t="s">
        <v>296</v>
      </c>
      <c r="F46" t="s">
        <v>297</v>
      </c>
      <c r="G46" t="s">
        <v>674</v>
      </c>
      <c r="H46" t="s">
        <v>298</v>
      </c>
      <c r="I46" t="s">
        <v>299</v>
      </c>
      <c r="J46" t="s">
        <v>300</v>
      </c>
      <c r="K46" t="s">
        <v>301</v>
      </c>
      <c r="L46" t="s">
        <v>687</v>
      </c>
      <c r="M46" s="1">
        <v>46258.612835648149</v>
      </c>
      <c r="N46" s="1">
        <v>46258.616631944446</v>
      </c>
      <c r="O46" s="1">
        <v>46258.612835648149</v>
      </c>
      <c r="P46" t="s">
        <v>688</v>
      </c>
      <c r="Q46" t="s">
        <v>674</v>
      </c>
      <c r="R46">
        <v>1</v>
      </c>
      <c r="S46">
        <v>12</v>
      </c>
      <c r="T46" t="s">
        <v>674</v>
      </c>
      <c r="U46" t="s">
        <v>302</v>
      </c>
      <c r="V46" t="s">
        <v>674</v>
      </c>
      <c r="W46" t="s">
        <v>674</v>
      </c>
      <c r="X46" t="s">
        <v>674</v>
      </c>
      <c r="Y46" t="s">
        <v>674</v>
      </c>
      <c r="Z46" t="s">
        <v>674</v>
      </c>
      <c r="AA46" t="s">
        <v>674</v>
      </c>
      <c r="AB46" t="s">
        <v>674</v>
      </c>
      <c r="AC46" t="s">
        <v>97</v>
      </c>
      <c r="AD46" t="s">
        <v>674</v>
      </c>
      <c r="AE46" t="s">
        <v>674</v>
      </c>
      <c r="AF46" t="s">
        <v>674</v>
      </c>
      <c r="AG46" t="s">
        <v>674</v>
      </c>
      <c r="AH46" t="s">
        <v>99</v>
      </c>
      <c r="AJ46" t="s">
        <v>674</v>
      </c>
      <c r="AK46" t="s">
        <v>674</v>
      </c>
      <c r="AL46" t="s">
        <v>303</v>
      </c>
      <c r="AM46" t="s">
        <v>674</v>
      </c>
      <c r="AN46" t="s">
        <v>235</v>
      </c>
      <c r="AO46" t="s">
        <v>674</v>
      </c>
      <c r="AP46" t="s">
        <v>674</v>
      </c>
      <c r="AQ46" t="s">
        <v>674</v>
      </c>
      <c r="AR46" t="s">
        <v>674</v>
      </c>
      <c r="AS46" t="s">
        <v>674</v>
      </c>
      <c r="AT46" t="s">
        <v>674</v>
      </c>
      <c r="AU46" t="s">
        <v>674</v>
      </c>
      <c r="AV46" t="s">
        <v>674</v>
      </c>
      <c r="AW46" t="s">
        <v>674</v>
      </c>
      <c r="AX46" t="s">
        <v>674</v>
      </c>
      <c r="AY46" t="s">
        <v>674</v>
      </c>
      <c r="AZ46" t="s">
        <v>674</v>
      </c>
      <c r="BA46" t="s">
        <v>674</v>
      </c>
      <c r="BB46" t="s">
        <v>674</v>
      </c>
      <c r="BC46" t="s">
        <v>674</v>
      </c>
      <c r="BD46" t="s">
        <v>674</v>
      </c>
      <c r="BE46" t="s">
        <v>674</v>
      </c>
      <c r="BF46" t="s">
        <v>674</v>
      </c>
      <c r="BG46" t="s">
        <v>674</v>
      </c>
      <c r="BH46" t="s">
        <v>674</v>
      </c>
      <c r="BI46" t="s">
        <v>674</v>
      </c>
      <c r="BJ46" t="s">
        <v>674</v>
      </c>
      <c r="BK46" t="s">
        <v>674</v>
      </c>
      <c r="BL46" t="s">
        <v>674</v>
      </c>
      <c r="BM46" t="s">
        <v>674</v>
      </c>
      <c r="BN46" t="s">
        <v>674</v>
      </c>
      <c r="BO46" t="s">
        <v>674</v>
      </c>
      <c r="BP46" t="s">
        <v>674</v>
      </c>
      <c r="BQ46" t="s">
        <v>674</v>
      </c>
      <c r="BR46" t="s">
        <v>674</v>
      </c>
      <c r="BS46" t="s">
        <v>674</v>
      </c>
      <c r="BT46" t="s">
        <v>674</v>
      </c>
      <c r="BU46" t="s">
        <v>674</v>
      </c>
      <c r="BV46" t="s">
        <v>674</v>
      </c>
      <c r="BW46" t="s">
        <v>674</v>
      </c>
      <c r="BX46" t="s">
        <v>674</v>
      </c>
      <c r="BY46" t="s">
        <v>674</v>
      </c>
      <c r="BZ46" t="s">
        <v>674</v>
      </c>
      <c r="CA46" t="s">
        <v>674</v>
      </c>
      <c r="CB46" t="s">
        <v>674</v>
      </c>
      <c r="CC46" t="s">
        <v>674</v>
      </c>
      <c r="CD46" t="s">
        <v>674</v>
      </c>
      <c r="CE46" t="s">
        <v>674</v>
      </c>
      <c r="CF46" t="s">
        <v>674</v>
      </c>
      <c r="CG46" t="s">
        <v>674</v>
      </c>
      <c r="CH46" t="s">
        <v>674</v>
      </c>
      <c r="CI46" t="s">
        <v>674</v>
      </c>
    </row>
    <row r="47" spans="1:87" x14ac:dyDescent="0.25">
      <c r="A47" t="s">
        <v>304</v>
      </c>
      <c r="B47" t="s">
        <v>88</v>
      </c>
      <c r="C47">
        <v>2016</v>
      </c>
      <c r="D47" t="s">
        <v>305</v>
      </c>
      <c r="E47" t="s">
        <v>306</v>
      </c>
      <c r="F47" t="s">
        <v>307</v>
      </c>
      <c r="G47" t="s">
        <v>674</v>
      </c>
      <c r="H47" t="s">
        <v>308</v>
      </c>
      <c r="I47" t="s">
        <v>309</v>
      </c>
      <c r="J47" t="s">
        <v>310</v>
      </c>
      <c r="K47" t="s">
        <v>311</v>
      </c>
      <c r="L47" t="s">
        <v>312</v>
      </c>
      <c r="M47" s="1">
        <v>46258.612893518519</v>
      </c>
      <c r="N47" s="1">
        <v>46258.615659722222</v>
      </c>
      <c r="O47" s="1">
        <v>46258.612893518519</v>
      </c>
      <c r="P47" t="s">
        <v>313</v>
      </c>
      <c r="Q47" t="s">
        <v>674</v>
      </c>
      <c r="R47">
        <v>8</v>
      </c>
      <c r="S47">
        <v>10</v>
      </c>
      <c r="T47" t="s">
        <v>674</v>
      </c>
      <c r="U47" t="s">
        <v>314</v>
      </c>
      <c r="V47" t="s">
        <v>674</v>
      </c>
      <c r="W47" t="s">
        <v>674</v>
      </c>
      <c r="X47" t="s">
        <v>674</v>
      </c>
      <c r="Y47" t="s">
        <v>674</v>
      </c>
      <c r="Z47" t="s">
        <v>674</v>
      </c>
      <c r="AA47" t="s">
        <v>674</v>
      </c>
      <c r="AB47" t="s">
        <v>674</v>
      </c>
      <c r="AC47" t="s">
        <v>97</v>
      </c>
      <c r="AD47" t="s">
        <v>315</v>
      </c>
      <c r="AE47" t="s">
        <v>674</v>
      </c>
      <c r="AF47" t="s">
        <v>674</v>
      </c>
      <c r="AG47" t="s">
        <v>674</v>
      </c>
      <c r="AH47" t="s">
        <v>99</v>
      </c>
      <c r="AJ47" t="s">
        <v>674</v>
      </c>
      <c r="AK47" t="s">
        <v>674</v>
      </c>
      <c r="AL47" t="s">
        <v>316</v>
      </c>
      <c r="AM47" t="s">
        <v>674</v>
      </c>
      <c r="AN47" t="s">
        <v>317</v>
      </c>
      <c r="AO47" t="s">
        <v>674</v>
      </c>
      <c r="AP47" t="s">
        <v>674</v>
      </c>
      <c r="AQ47" t="s">
        <v>674</v>
      </c>
      <c r="AR47" t="s">
        <v>674</v>
      </c>
      <c r="AS47" t="s">
        <v>674</v>
      </c>
      <c r="AT47" t="s">
        <v>674</v>
      </c>
      <c r="AU47" t="s">
        <v>674</v>
      </c>
      <c r="AV47" t="s">
        <v>674</v>
      </c>
      <c r="AW47" t="s">
        <v>674</v>
      </c>
      <c r="AX47" t="s">
        <v>674</v>
      </c>
      <c r="AY47" t="s">
        <v>674</v>
      </c>
      <c r="AZ47" t="s">
        <v>674</v>
      </c>
      <c r="BA47" t="s">
        <v>674</v>
      </c>
      <c r="BB47" t="s">
        <v>674</v>
      </c>
      <c r="BC47" t="s">
        <v>674</v>
      </c>
      <c r="BD47" t="s">
        <v>674</v>
      </c>
      <c r="BE47" t="s">
        <v>674</v>
      </c>
      <c r="BF47" t="s">
        <v>674</v>
      </c>
      <c r="BG47" t="s">
        <v>674</v>
      </c>
      <c r="BH47" t="s">
        <v>674</v>
      </c>
      <c r="BI47" t="s">
        <v>674</v>
      </c>
      <c r="BJ47" t="s">
        <v>674</v>
      </c>
      <c r="BK47" t="s">
        <v>674</v>
      </c>
      <c r="BL47" t="s">
        <v>674</v>
      </c>
      <c r="BM47" t="s">
        <v>674</v>
      </c>
      <c r="BN47" t="s">
        <v>674</v>
      </c>
      <c r="BO47" t="s">
        <v>674</v>
      </c>
      <c r="BP47" t="s">
        <v>674</v>
      </c>
      <c r="BQ47" t="s">
        <v>674</v>
      </c>
      <c r="BR47" t="s">
        <v>674</v>
      </c>
      <c r="BS47" t="s">
        <v>674</v>
      </c>
      <c r="BT47" t="s">
        <v>674</v>
      </c>
      <c r="BU47" t="s">
        <v>674</v>
      </c>
      <c r="BV47" t="s">
        <v>674</v>
      </c>
      <c r="BW47" t="s">
        <v>674</v>
      </c>
      <c r="BX47" t="s">
        <v>674</v>
      </c>
      <c r="BY47" t="s">
        <v>674</v>
      </c>
      <c r="BZ47" t="s">
        <v>674</v>
      </c>
      <c r="CA47" t="s">
        <v>674</v>
      </c>
      <c r="CB47" t="s">
        <v>674</v>
      </c>
      <c r="CC47" t="s">
        <v>674</v>
      </c>
      <c r="CD47" t="s">
        <v>674</v>
      </c>
      <c r="CE47" t="s">
        <v>674</v>
      </c>
      <c r="CF47" t="s">
        <v>674</v>
      </c>
      <c r="CG47" t="s">
        <v>674</v>
      </c>
      <c r="CH47" t="s">
        <v>674</v>
      </c>
      <c r="CI47" t="s">
        <v>674</v>
      </c>
    </row>
    <row r="48" spans="1:87" x14ac:dyDescent="0.25">
      <c r="A48" t="s">
        <v>259</v>
      </c>
      <c r="B48" t="s">
        <v>88</v>
      </c>
      <c r="D48" t="s">
        <v>674</v>
      </c>
      <c r="E48" t="s">
        <v>260</v>
      </c>
      <c r="F48" t="s">
        <v>674</v>
      </c>
      <c r="G48" t="s">
        <v>674</v>
      </c>
      <c r="H48" t="s">
        <v>674</v>
      </c>
      <c r="I48" t="s">
        <v>674</v>
      </c>
      <c r="J48" t="s">
        <v>674</v>
      </c>
      <c r="K48" t="s">
        <v>674</v>
      </c>
      <c r="L48" t="s">
        <v>674</v>
      </c>
      <c r="M48" s="1">
        <v>46257.904942129629</v>
      </c>
      <c r="N48" s="1">
        <v>46258.611840277779</v>
      </c>
      <c r="O48" s="1"/>
      <c r="P48" t="s">
        <v>674</v>
      </c>
      <c r="Q48" t="s">
        <v>674</v>
      </c>
      <c r="T48" t="s">
        <v>674</v>
      </c>
      <c r="U48" t="s">
        <v>674</v>
      </c>
      <c r="V48" t="s">
        <v>674</v>
      </c>
      <c r="W48" t="s">
        <v>674</v>
      </c>
      <c r="X48" t="s">
        <v>674</v>
      </c>
      <c r="Y48" t="s">
        <v>674</v>
      </c>
      <c r="Z48" t="s">
        <v>674</v>
      </c>
      <c r="AA48" t="s">
        <v>674</v>
      </c>
      <c r="AB48" t="s">
        <v>674</v>
      </c>
      <c r="AC48" t="s">
        <v>674</v>
      </c>
      <c r="AD48" t="s">
        <v>674</v>
      </c>
      <c r="AE48" t="s">
        <v>674</v>
      </c>
      <c r="AF48" t="s">
        <v>674</v>
      </c>
      <c r="AG48" t="s">
        <v>674</v>
      </c>
      <c r="AH48" t="s">
        <v>674</v>
      </c>
      <c r="AJ48" t="s">
        <v>674</v>
      </c>
      <c r="AK48" t="s">
        <v>674</v>
      </c>
      <c r="AL48" t="s">
        <v>674</v>
      </c>
      <c r="AM48" t="s">
        <v>674</v>
      </c>
      <c r="AN48" t="s">
        <v>261</v>
      </c>
      <c r="AO48" t="s">
        <v>674</v>
      </c>
      <c r="AP48" t="s">
        <v>674</v>
      </c>
      <c r="AQ48" t="s">
        <v>674</v>
      </c>
      <c r="AR48" t="s">
        <v>674</v>
      </c>
      <c r="AS48" t="s">
        <v>674</v>
      </c>
      <c r="AT48" t="s">
        <v>674</v>
      </c>
      <c r="AU48" t="s">
        <v>674</v>
      </c>
      <c r="AV48" t="s">
        <v>674</v>
      </c>
      <c r="AW48" t="s">
        <v>674</v>
      </c>
      <c r="AX48" t="s">
        <v>674</v>
      </c>
      <c r="AY48" t="s">
        <v>674</v>
      </c>
      <c r="AZ48" t="s">
        <v>674</v>
      </c>
      <c r="BA48" t="s">
        <v>674</v>
      </c>
      <c r="BB48" t="s">
        <v>674</v>
      </c>
      <c r="BC48" t="s">
        <v>674</v>
      </c>
      <c r="BD48" t="s">
        <v>674</v>
      </c>
      <c r="BE48" t="s">
        <v>674</v>
      </c>
      <c r="BF48" t="s">
        <v>674</v>
      </c>
      <c r="BG48" t="s">
        <v>674</v>
      </c>
      <c r="BH48" t="s">
        <v>674</v>
      </c>
      <c r="BI48" t="s">
        <v>674</v>
      </c>
      <c r="BJ48" t="s">
        <v>674</v>
      </c>
      <c r="BK48" t="s">
        <v>674</v>
      </c>
      <c r="BL48" t="s">
        <v>674</v>
      </c>
      <c r="BM48" t="s">
        <v>674</v>
      </c>
      <c r="BN48" t="s">
        <v>674</v>
      </c>
      <c r="BO48" t="s">
        <v>674</v>
      </c>
      <c r="BP48" t="s">
        <v>674</v>
      </c>
      <c r="BQ48" t="s">
        <v>674</v>
      </c>
      <c r="BR48" t="s">
        <v>674</v>
      </c>
      <c r="BS48" t="s">
        <v>674</v>
      </c>
      <c r="BT48" t="s">
        <v>674</v>
      </c>
      <c r="BU48" t="s">
        <v>674</v>
      </c>
      <c r="BV48" t="s">
        <v>674</v>
      </c>
      <c r="BW48" t="s">
        <v>674</v>
      </c>
      <c r="BX48" t="s">
        <v>674</v>
      </c>
      <c r="BY48" t="s">
        <v>674</v>
      </c>
      <c r="BZ48" t="s">
        <v>674</v>
      </c>
      <c r="CA48" t="s">
        <v>674</v>
      </c>
      <c r="CB48" t="s">
        <v>674</v>
      </c>
      <c r="CC48" t="s">
        <v>674</v>
      </c>
      <c r="CD48" t="s">
        <v>674</v>
      </c>
      <c r="CE48" t="s">
        <v>674</v>
      </c>
      <c r="CF48" t="s">
        <v>674</v>
      </c>
      <c r="CG48" t="s">
        <v>674</v>
      </c>
      <c r="CH48" t="s">
        <v>674</v>
      </c>
      <c r="CI48" t="s">
        <v>674</v>
      </c>
    </row>
    <row r="49" spans="1:87" x14ac:dyDescent="0.25">
      <c r="A49" t="s">
        <v>87</v>
      </c>
      <c r="B49" t="s">
        <v>88</v>
      </c>
      <c r="C49">
        <v>1994</v>
      </c>
      <c r="D49" t="s">
        <v>89</v>
      </c>
      <c r="E49" t="s">
        <v>90</v>
      </c>
      <c r="F49" t="s">
        <v>91</v>
      </c>
      <c r="G49" t="s">
        <v>674</v>
      </c>
      <c r="H49" t="s">
        <v>92</v>
      </c>
      <c r="I49" t="s">
        <v>93</v>
      </c>
      <c r="J49" t="s">
        <v>94</v>
      </c>
      <c r="K49" t="s">
        <v>674</v>
      </c>
      <c r="L49" t="s">
        <v>95</v>
      </c>
      <c r="M49" s="1">
        <v>46257.901307870372</v>
      </c>
      <c r="N49" s="1">
        <v>46257.932939814818</v>
      </c>
      <c r="O49" s="1">
        <v>46257.901307870372</v>
      </c>
      <c r="P49" t="s">
        <v>96</v>
      </c>
      <c r="Q49" t="s">
        <v>674</v>
      </c>
      <c r="R49">
        <v>5</v>
      </c>
      <c r="S49">
        <v>23</v>
      </c>
      <c r="T49" t="s">
        <v>674</v>
      </c>
      <c r="U49" t="s">
        <v>91</v>
      </c>
      <c r="V49" t="s">
        <v>674</v>
      </c>
      <c r="W49" t="s">
        <v>674</v>
      </c>
      <c r="X49" t="s">
        <v>674</v>
      </c>
      <c r="Y49" t="s">
        <v>674</v>
      </c>
      <c r="Z49" t="s">
        <v>674</v>
      </c>
      <c r="AA49" t="s">
        <v>674</v>
      </c>
      <c r="AB49" t="s">
        <v>674</v>
      </c>
      <c r="AC49" t="s">
        <v>97</v>
      </c>
      <c r="AD49" t="s">
        <v>98</v>
      </c>
      <c r="AE49" t="s">
        <v>674</v>
      </c>
      <c r="AF49" t="s">
        <v>674</v>
      </c>
      <c r="AG49" t="s">
        <v>674</v>
      </c>
      <c r="AH49" t="s">
        <v>99</v>
      </c>
      <c r="AJ49" t="s">
        <v>674</v>
      </c>
      <c r="AK49" t="s">
        <v>674</v>
      </c>
      <c r="AL49" t="s">
        <v>100</v>
      </c>
      <c r="AM49" t="s">
        <v>674</v>
      </c>
      <c r="AN49" t="s">
        <v>101</v>
      </c>
      <c r="AO49" t="s">
        <v>674</v>
      </c>
      <c r="AP49" t="s">
        <v>674</v>
      </c>
      <c r="AQ49" t="s">
        <v>674</v>
      </c>
      <c r="AR49" t="s">
        <v>674</v>
      </c>
      <c r="AS49" t="s">
        <v>674</v>
      </c>
      <c r="AT49" t="s">
        <v>674</v>
      </c>
      <c r="AU49" t="s">
        <v>674</v>
      </c>
      <c r="AV49" t="s">
        <v>674</v>
      </c>
      <c r="AW49" t="s">
        <v>674</v>
      </c>
      <c r="AX49" t="s">
        <v>674</v>
      </c>
      <c r="AY49" t="s">
        <v>674</v>
      </c>
      <c r="AZ49" t="s">
        <v>674</v>
      </c>
      <c r="BA49" t="s">
        <v>674</v>
      </c>
      <c r="BB49" t="s">
        <v>674</v>
      </c>
      <c r="BC49" t="s">
        <v>674</v>
      </c>
      <c r="BD49" t="s">
        <v>674</v>
      </c>
      <c r="BE49" t="s">
        <v>674</v>
      </c>
      <c r="BF49" t="s">
        <v>674</v>
      </c>
      <c r="BG49" t="s">
        <v>674</v>
      </c>
      <c r="BH49" t="s">
        <v>674</v>
      </c>
      <c r="BI49" t="s">
        <v>674</v>
      </c>
      <c r="BJ49" t="s">
        <v>674</v>
      </c>
      <c r="BK49" t="s">
        <v>674</v>
      </c>
      <c r="BL49" t="s">
        <v>674</v>
      </c>
      <c r="BM49" t="s">
        <v>674</v>
      </c>
      <c r="BN49" t="s">
        <v>674</v>
      </c>
      <c r="BO49" t="s">
        <v>674</v>
      </c>
      <c r="BP49" t="s">
        <v>674</v>
      </c>
      <c r="BQ49" t="s">
        <v>674</v>
      </c>
      <c r="BR49" t="s">
        <v>674</v>
      </c>
      <c r="BS49" t="s">
        <v>674</v>
      </c>
      <c r="BT49" t="s">
        <v>674</v>
      </c>
      <c r="BU49" t="s">
        <v>674</v>
      </c>
      <c r="BV49" t="s">
        <v>674</v>
      </c>
      <c r="BW49" t="s">
        <v>674</v>
      </c>
      <c r="BX49" t="s">
        <v>674</v>
      </c>
      <c r="BY49" t="s">
        <v>674</v>
      </c>
      <c r="BZ49" t="s">
        <v>674</v>
      </c>
      <c r="CA49" t="s">
        <v>674</v>
      </c>
      <c r="CB49" t="s">
        <v>674</v>
      </c>
      <c r="CC49" t="s">
        <v>674</v>
      </c>
      <c r="CD49" t="s">
        <v>674</v>
      </c>
      <c r="CE49" t="s">
        <v>674</v>
      </c>
      <c r="CF49" t="s">
        <v>674</v>
      </c>
      <c r="CG49" t="s">
        <v>674</v>
      </c>
      <c r="CH49" t="s">
        <v>674</v>
      </c>
      <c r="CI49" t="s">
        <v>674</v>
      </c>
    </row>
    <row r="50" spans="1:87" x14ac:dyDescent="0.25">
      <c r="A50" t="s">
        <v>125</v>
      </c>
      <c r="B50" t="s">
        <v>126</v>
      </c>
      <c r="C50">
        <v>2022</v>
      </c>
      <c r="D50" t="s">
        <v>127</v>
      </c>
      <c r="E50" t="s">
        <v>128</v>
      </c>
      <c r="F50" t="s">
        <v>129</v>
      </c>
      <c r="G50" t="s">
        <v>130</v>
      </c>
      <c r="H50" t="s">
        <v>674</v>
      </c>
      <c r="I50" t="s">
        <v>131</v>
      </c>
      <c r="J50" t="s">
        <v>132</v>
      </c>
      <c r="K50" t="s">
        <v>674</v>
      </c>
      <c r="L50" t="s">
        <v>676</v>
      </c>
      <c r="M50" s="1">
        <v>46257.901574074072</v>
      </c>
      <c r="N50" s="1">
        <v>46257.93273148148</v>
      </c>
      <c r="O50" s="1">
        <v>46257.901574074072</v>
      </c>
      <c r="P50" t="s">
        <v>677</v>
      </c>
      <c r="Q50" t="s">
        <v>674</v>
      </c>
      <c r="T50" t="s">
        <v>674</v>
      </c>
      <c r="U50" t="s">
        <v>674</v>
      </c>
      <c r="V50" t="s">
        <v>674</v>
      </c>
      <c r="W50" t="s">
        <v>674</v>
      </c>
      <c r="X50" t="s">
        <v>674</v>
      </c>
      <c r="Y50" t="s">
        <v>674</v>
      </c>
      <c r="Z50" t="s">
        <v>674</v>
      </c>
      <c r="AA50" t="s">
        <v>133</v>
      </c>
      <c r="AB50" t="s">
        <v>134</v>
      </c>
      <c r="AC50" t="s">
        <v>674</v>
      </c>
      <c r="AD50" t="s">
        <v>135</v>
      </c>
      <c r="AE50" t="s">
        <v>674</v>
      </c>
      <c r="AF50" t="s">
        <v>674</v>
      </c>
      <c r="AG50" t="s">
        <v>674</v>
      </c>
      <c r="AH50" t="s">
        <v>99</v>
      </c>
      <c r="AJ50" t="s">
        <v>674</v>
      </c>
      <c r="AK50" t="s">
        <v>674</v>
      </c>
      <c r="AL50" t="s">
        <v>136</v>
      </c>
      <c r="AM50" t="s">
        <v>674</v>
      </c>
      <c r="AN50" t="s">
        <v>137</v>
      </c>
      <c r="AO50" t="s">
        <v>674</v>
      </c>
      <c r="AP50" t="s">
        <v>674</v>
      </c>
      <c r="AQ50" t="s">
        <v>674</v>
      </c>
      <c r="AR50" t="s">
        <v>674</v>
      </c>
      <c r="AS50" t="s">
        <v>674</v>
      </c>
      <c r="AT50" t="s">
        <v>674</v>
      </c>
      <c r="AU50" t="s">
        <v>674</v>
      </c>
      <c r="AV50" t="s">
        <v>674</v>
      </c>
      <c r="AW50" t="s">
        <v>674</v>
      </c>
      <c r="AX50" t="s">
        <v>674</v>
      </c>
      <c r="AY50" t="s">
        <v>674</v>
      </c>
      <c r="AZ50" t="s">
        <v>674</v>
      </c>
      <c r="BA50" t="s">
        <v>674</v>
      </c>
      <c r="BB50" t="s">
        <v>674</v>
      </c>
      <c r="BC50" t="s">
        <v>674</v>
      </c>
      <c r="BD50" t="s">
        <v>674</v>
      </c>
      <c r="BE50" t="s">
        <v>674</v>
      </c>
      <c r="BF50" t="s">
        <v>674</v>
      </c>
      <c r="BG50" t="s">
        <v>674</v>
      </c>
      <c r="BH50" t="s">
        <v>674</v>
      </c>
      <c r="BI50" t="s">
        <v>674</v>
      </c>
      <c r="BJ50" t="s">
        <v>674</v>
      </c>
      <c r="BK50" t="s">
        <v>674</v>
      </c>
      <c r="BL50" t="s">
        <v>674</v>
      </c>
      <c r="BM50" t="s">
        <v>674</v>
      </c>
      <c r="BN50" t="s">
        <v>674</v>
      </c>
      <c r="BO50" t="s">
        <v>674</v>
      </c>
      <c r="BP50" t="s">
        <v>674</v>
      </c>
      <c r="BQ50" t="s">
        <v>674</v>
      </c>
      <c r="BR50" t="s">
        <v>674</v>
      </c>
      <c r="BS50" t="s">
        <v>674</v>
      </c>
      <c r="BT50" t="s">
        <v>129</v>
      </c>
      <c r="BU50" t="s">
        <v>674</v>
      </c>
      <c r="BV50" t="s">
        <v>674</v>
      </c>
      <c r="BW50" t="s">
        <v>674</v>
      </c>
      <c r="BX50" t="s">
        <v>674</v>
      </c>
      <c r="BY50" t="s">
        <v>674</v>
      </c>
      <c r="BZ50" t="s">
        <v>674</v>
      </c>
      <c r="CA50" t="s">
        <v>674</v>
      </c>
      <c r="CB50" t="s">
        <v>674</v>
      </c>
      <c r="CC50" t="s">
        <v>674</v>
      </c>
      <c r="CD50" t="s">
        <v>674</v>
      </c>
      <c r="CE50" t="s">
        <v>674</v>
      </c>
      <c r="CF50" t="s">
        <v>674</v>
      </c>
      <c r="CG50" t="s">
        <v>674</v>
      </c>
      <c r="CH50" t="s">
        <v>674</v>
      </c>
      <c r="CI50" t="s">
        <v>674</v>
      </c>
    </row>
    <row r="51" spans="1:87" x14ac:dyDescent="0.25">
      <c r="A51" t="s">
        <v>112</v>
      </c>
      <c r="B51" t="s">
        <v>88</v>
      </c>
      <c r="C51">
        <v>2021</v>
      </c>
      <c r="D51" t="s">
        <v>113</v>
      </c>
      <c r="E51" t="s">
        <v>114</v>
      </c>
      <c r="F51" t="s">
        <v>115</v>
      </c>
      <c r="G51" t="s">
        <v>674</v>
      </c>
      <c r="H51" t="s">
        <v>116</v>
      </c>
      <c r="I51" t="s">
        <v>117</v>
      </c>
      <c r="J51" t="s">
        <v>118</v>
      </c>
      <c r="K51" t="s">
        <v>674</v>
      </c>
      <c r="L51" t="s">
        <v>119</v>
      </c>
      <c r="M51" s="1">
        <v>46257.90152777778</v>
      </c>
      <c r="N51" s="1">
        <v>46257.929930555554</v>
      </c>
      <c r="O51" s="1">
        <v>46257.90152777778</v>
      </c>
      <c r="P51" t="s">
        <v>120</v>
      </c>
      <c r="Q51" t="s">
        <v>674</v>
      </c>
      <c r="R51">
        <v>1</v>
      </c>
      <c r="S51">
        <v>68</v>
      </c>
      <c r="T51" t="s">
        <v>674</v>
      </c>
      <c r="U51" t="s">
        <v>121</v>
      </c>
      <c r="V51" t="s">
        <v>674</v>
      </c>
      <c r="W51" t="s">
        <v>674</v>
      </c>
      <c r="X51" t="s">
        <v>674</v>
      </c>
      <c r="Y51" t="s">
        <v>674</v>
      </c>
      <c r="Z51" t="s">
        <v>674</v>
      </c>
      <c r="AA51" t="s">
        <v>674</v>
      </c>
      <c r="AB51" t="s">
        <v>674</v>
      </c>
      <c r="AC51" t="s">
        <v>674</v>
      </c>
      <c r="AD51" t="s">
        <v>122</v>
      </c>
      <c r="AE51" t="s">
        <v>674</v>
      </c>
      <c r="AF51" t="s">
        <v>674</v>
      </c>
      <c r="AG51" t="s">
        <v>674</v>
      </c>
      <c r="AH51" t="s">
        <v>99</v>
      </c>
      <c r="AJ51" t="s">
        <v>674</v>
      </c>
      <c r="AK51" t="s">
        <v>674</v>
      </c>
      <c r="AL51" t="s">
        <v>123</v>
      </c>
      <c r="AM51" t="s">
        <v>674</v>
      </c>
      <c r="AN51" t="s">
        <v>124</v>
      </c>
      <c r="AO51" t="s">
        <v>674</v>
      </c>
      <c r="AP51" t="s">
        <v>674</v>
      </c>
      <c r="AQ51" t="s">
        <v>674</v>
      </c>
      <c r="AR51" t="s">
        <v>674</v>
      </c>
      <c r="AS51" t="s">
        <v>674</v>
      </c>
      <c r="AT51" t="s">
        <v>674</v>
      </c>
      <c r="AU51" t="s">
        <v>674</v>
      </c>
      <c r="AV51" t="s">
        <v>674</v>
      </c>
      <c r="AW51" t="s">
        <v>674</v>
      </c>
      <c r="AX51" t="s">
        <v>674</v>
      </c>
      <c r="AY51" t="s">
        <v>674</v>
      </c>
      <c r="AZ51" t="s">
        <v>674</v>
      </c>
      <c r="BA51" t="s">
        <v>674</v>
      </c>
      <c r="BB51" t="s">
        <v>674</v>
      </c>
      <c r="BC51" t="s">
        <v>674</v>
      </c>
      <c r="BD51" t="s">
        <v>674</v>
      </c>
      <c r="BE51" t="s">
        <v>674</v>
      </c>
      <c r="BF51" t="s">
        <v>674</v>
      </c>
      <c r="BG51" t="s">
        <v>674</v>
      </c>
      <c r="BH51" t="s">
        <v>674</v>
      </c>
      <c r="BI51" t="s">
        <v>674</v>
      </c>
      <c r="BJ51" t="s">
        <v>674</v>
      </c>
      <c r="BK51" t="s">
        <v>674</v>
      </c>
      <c r="BL51" t="s">
        <v>674</v>
      </c>
      <c r="BM51" t="s">
        <v>674</v>
      </c>
      <c r="BN51" t="s">
        <v>674</v>
      </c>
      <c r="BO51" t="s">
        <v>674</v>
      </c>
      <c r="BP51" t="s">
        <v>674</v>
      </c>
      <c r="BQ51" t="s">
        <v>674</v>
      </c>
      <c r="BR51" t="s">
        <v>674</v>
      </c>
      <c r="BS51" t="s">
        <v>674</v>
      </c>
      <c r="BT51" t="s">
        <v>674</v>
      </c>
      <c r="BU51" t="s">
        <v>674</v>
      </c>
      <c r="BV51" t="s">
        <v>674</v>
      </c>
      <c r="BW51" t="s">
        <v>674</v>
      </c>
      <c r="BX51" t="s">
        <v>674</v>
      </c>
      <c r="BY51" t="s">
        <v>674</v>
      </c>
      <c r="BZ51" t="s">
        <v>674</v>
      </c>
      <c r="CA51" t="s">
        <v>674</v>
      </c>
      <c r="CB51" t="s">
        <v>674</v>
      </c>
      <c r="CC51" t="s">
        <v>674</v>
      </c>
      <c r="CD51" t="s">
        <v>674</v>
      </c>
      <c r="CE51" t="s">
        <v>674</v>
      </c>
      <c r="CF51" t="s">
        <v>674</v>
      </c>
      <c r="CG51" t="s">
        <v>674</v>
      </c>
      <c r="CH51" t="s">
        <v>674</v>
      </c>
      <c r="CI51" t="s">
        <v>674</v>
      </c>
    </row>
    <row r="52" spans="1:87" x14ac:dyDescent="0.25">
      <c r="A52" t="s">
        <v>165</v>
      </c>
      <c r="B52" t="s">
        <v>126</v>
      </c>
      <c r="C52">
        <v>2007</v>
      </c>
      <c r="D52" t="s">
        <v>166</v>
      </c>
      <c r="E52" t="s">
        <v>167</v>
      </c>
      <c r="F52" t="s">
        <v>168</v>
      </c>
      <c r="G52" t="s">
        <v>169</v>
      </c>
      <c r="H52" t="s">
        <v>674</v>
      </c>
      <c r="I52" t="s">
        <v>170</v>
      </c>
      <c r="J52" t="s">
        <v>171</v>
      </c>
      <c r="K52" t="s">
        <v>674</v>
      </c>
      <c r="L52" t="s">
        <v>172</v>
      </c>
      <c r="M52" s="1">
        <v>46257.90179398148</v>
      </c>
      <c r="N52" s="1">
        <v>46257.929259259261</v>
      </c>
      <c r="O52" s="1">
        <v>46257.90179398148</v>
      </c>
      <c r="P52" t="s">
        <v>173</v>
      </c>
      <c r="Q52" t="s">
        <v>674</v>
      </c>
      <c r="T52" t="s">
        <v>674</v>
      </c>
      <c r="U52" t="s">
        <v>674</v>
      </c>
      <c r="V52" t="s">
        <v>674</v>
      </c>
      <c r="W52" t="s">
        <v>674</v>
      </c>
      <c r="X52" t="s">
        <v>674</v>
      </c>
      <c r="Y52" t="s">
        <v>674</v>
      </c>
      <c r="Z52" t="s">
        <v>674</v>
      </c>
      <c r="AA52" t="s">
        <v>133</v>
      </c>
      <c r="AB52" t="s">
        <v>174</v>
      </c>
      <c r="AC52" t="s">
        <v>674</v>
      </c>
      <c r="AD52" t="s">
        <v>674</v>
      </c>
      <c r="AE52" t="s">
        <v>674</v>
      </c>
      <c r="AF52" t="s">
        <v>674</v>
      </c>
      <c r="AG52" t="s">
        <v>674</v>
      </c>
      <c r="AH52" t="s">
        <v>99</v>
      </c>
      <c r="AJ52" t="s">
        <v>674</v>
      </c>
      <c r="AK52" t="s">
        <v>674</v>
      </c>
      <c r="AL52" t="s">
        <v>175</v>
      </c>
      <c r="AM52" t="s">
        <v>674</v>
      </c>
      <c r="AN52" t="s">
        <v>101</v>
      </c>
      <c r="AO52" t="s">
        <v>674</v>
      </c>
      <c r="AP52" t="s">
        <v>674</v>
      </c>
      <c r="AQ52" t="s">
        <v>674</v>
      </c>
      <c r="AR52" t="s">
        <v>674</v>
      </c>
      <c r="AS52" t="s">
        <v>674</v>
      </c>
      <c r="AT52" t="s">
        <v>674</v>
      </c>
      <c r="AU52" t="s">
        <v>674</v>
      </c>
      <c r="AV52" t="s">
        <v>674</v>
      </c>
      <c r="AW52" t="s">
        <v>674</v>
      </c>
      <c r="AX52" t="s">
        <v>674</v>
      </c>
      <c r="AY52" t="s">
        <v>674</v>
      </c>
      <c r="AZ52" t="s">
        <v>674</v>
      </c>
      <c r="BA52" t="s">
        <v>674</v>
      </c>
      <c r="BB52" t="s">
        <v>674</v>
      </c>
      <c r="BC52" t="s">
        <v>674</v>
      </c>
      <c r="BD52" t="s">
        <v>674</v>
      </c>
      <c r="BE52" t="s">
        <v>674</v>
      </c>
      <c r="BF52" t="s">
        <v>674</v>
      </c>
      <c r="BG52" t="s">
        <v>674</v>
      </c>
      <c r="BH52" t="s">
        <v>674</v>
      </c>
      <c r="BI52" t="s">
        <v>674</v>
      </c>
      <c r="BJ52" t="s">
        <v>674</v>
      </c>
      <c r="BK52" t="s">
        <v>674</v>
      </c>
      <c r="BL52" t="s">
        <v>674</v>
      </c>
      <c r="BM52" t="s">
        <v>674</v>
      </c>
      <c r="BN52" t="s">
        <v>674</v>
      </c>
      <c r="BO52" t="s">
        <v>674</v>
      </c>
      <c r="BP52" t="s">
        <v>674</v>
      </c>
      <c r="BQ52" t="s">
        <v>674</v>
      </c>
      <c r="BR52" t="s">
        <v>674</v>
      </c>
      <c r="BS52" t="s">
        <v>674</v>
      </c>
      <c r="BT52" t="s">
        <v>176</v>
      </c>
      <c r="BU52" t="s">
        <v>674</v>
      </c>
      <c r="BV52" t="s">
        <v>674</v>
      </c>
      <c r="BW52" t="s">
        <v>674</v>
      </c>
      <c r="BX52" t="s">
        <v>674</v>
      </c>
      <c r="BY52" t="s">
        <v>674</v>
      </c>
      <c r="BZ52" t="s">
        <v>674</v>
      </c>
      <c r="CA52" t="s">
        <v>674</v>
      </c>
      <c r="CB52" t="s">
        <v>674</v>
      </c>
      <c r="CC52" t="s">
        <v>674</v>
      </c>
      <c r="CD52" t="s">
        <v>674</v>
      </c>
      <c r="CE52" t="s">
        <v>674</v>
      </c>
      <c r="CF52" t="s">
        <v>674</v>
      </c>
      <c r="CG52" t="s">
        <v>674</v>
      </c>
      <c r="CH52" t="s">
        <v>674</v>
      </c>
      <c r="CI52" t="s">
        <v>674</v>
      </c>
    </row>
    <row r="53" spans="1:87" x14ac:dyDescent="0.25">
      <c r="A53" t="s">
        <v>138</v>
      </c>
      <c r="B53" t="s">
        <v>126</v>
      </c>
      <c r="C53">
        <v>2019</v>
      </c>
      <c r="D53" t="s">
        <v>139</v>
      </c>
      <c r="E53" t="s">
        <v>140</v>
      </c>
      <c r="F53" t="s">
        <v>141</v>
      </c>
      <c r="G53" t="s">
        <v>142</v>
      </c>
      <c r="H53" t="s">
        <v>674</v>
      </c>
      <c r="I53" t="s">
        <v>143</v>
      </c>
      <c r="J53" t="s">
        <v>144</v>
      </c>
      <c r="K53" t="s">
        <v>674</v>
      </c>
      <c r="L53" t="s">
        <v>145</v>
      </c>
      <c r="M53" s="1">
        <v>46257.901597222219</v>
      </c>
      <c r="N53" s="1">
        <v>46257.928437499999</v>
      </c>
      <c r="O53" s="1">
        <v>46257.901597222219</v>
      </c>
      <c r="P53" t="s">
        <v>677</v>
      </c>
      <c r="Q53" t="s">
        <v>674</v>
      </c>
      <c r="T53" t="s">
        <v>674</v>
      </c>
      <c r="U53" t="s">
        <v>674</v>
      </c>
      <c r="V53" t="s">
        <v>674</v>
      </c>
      <c r="W53" t="s">
        <v>674</v>
      </c>
      <c r="X53" t="s">
        <v>674</v>
      </c>
      <c r="Y53" t="s">
        <v>674</v>
      </c>
      <c r="Z53" t="s">
        <v>674</v>
      </c>
      <c r="AA53" t="s">
        <v>133</v>
      </c>
      <c r="AB53" t="s">
        <v>146</v>
      </c>
      <c r="AC53" t="s">
        <v>674</v>
      </c>
      <c r="AD53" t="s">
        <v>122</v>
      </c>
      <c r="AE53" t="s">
        <v>674</v>
      </c>
      <c r="AF53" t="s">
        <v>674</v>
      </c>
      <c r="AG53" t="s">
        <v>674</v>
      </c>
      <c r="AH53" t="s">
        <v>99</v>
      </c>
      <c r="AJ53" t="s">
        <v>674</v>
      </c>
      <c r="AK53" t="s">
        <v>674</v>
      </c>
      <c r="AL53" t="s">
        <v>147</v>
      </c>
      <c r="AM53" t="s">
        <v>674</v>
      </c>
      <c r="AN53" t="s">
        <v>148</v>
      </c>
      <c r="AO53" t="s">
        <v>674</v>
      </c>
      <c r="AP53" t="s">
        <v>674</v>
      </c>
      <c r="AQ53" t="s">
        <v>674</v>
      </c>
      <c r="AR53" t="s">
        <v>674</v>
      </c>
      <c r="AS53" t="s">
        <v>674</v>
      </c>
      <c r="AT53" t="s">
        <v>674</v>
      </c>
      <c r="AU53" t="s">
        <v>674</v>
      </c>
      <c r="AV53" t="s">
        <v>674</v>
      </c>
      <c r="AW53" t="s">
        <v>674</v>
      </c>
      <c r="AX53" t="s">
        <v>674</v>
      </c>
      <c r="AY53" t="s">
        <v>674</v>
      </c>
      <c r="AZ53" t="s">
        <v>674</v>
      </c>
      <c r="BA53" t="s">
        <v>674</v>
      </c>
      <c r="BB53" t="s">
        <v>674</v>
      </c>
      <c r="BC53" t="s">
        <v>674</v>
      </c>
      <c r="BD53" t="s">
        <v>674</v>
      </c>
      <c r="BE53" t="s">
        <v>674</v>
      </c>
      <c r="BF53" t="s">
        <v>674</v>
      </c>
      <c r="BG53" t="s">
        <v>674</v>
      </c>
      <c r="BH53" t="s">
        <v>674</v>
      </c>
      <c r="BI53" t="s">
        <v>674</v>
      </c>
      <c r="BJ53" t="s">
        <v>674</v>
      </c>
      <c r="BK53" t="s">
        <v>674</v>
      </c>
      <c r="BL53" t="s">
        <v>674</v>
      </c>
      <c r="BM53" t="s">
        <v>674</v>
      </c>
      <c r="BN53" t="s">
        <v>674</v>
      </c>
      <c r="BO53" t="s">
        <v>674</v>
      </c>
      <c r="BP53" t="s">
        <v>674</v>
      </c>
      <c r="BQ53" t="s">
        <v>674</v>
      </c>
      <c r="BR53" t="s">
        <v>674</v>
      </c>
      <c r="BS53" t="s">
        <v>674</v>
      </c>
      <c r="BT53" t="s">
        <v>141</v>
      </c>
      <c r="BU53" t="s">
        <v>674</v>
      </c>
      <c r="BV53" t="s">
        <v>674</v>
      </c>
      <c r="BW53" t="s">
        <v>674</v>
      </c>
      <c r="BX53" t="s">
        <v>674</v>
      </c>
      <c r="BY53" t="s">
        <v>674</v>
      </c>
      <c r="BZ53" t="s">
        <v>674</v>
      </c>
      <c r="CA53" t="s">
        <v>674</v>
      </c>
      <c r="CB53" t="s">
        <v>674</v>
      </c>
      <c r="CC53" t="s">
        <v>674</v>
      </c>
      <c r="CD53" t="s">
        <v>674</v>
      </c>
      <c r="CE53" t="s">
        <v>674</v>
      </c>
      <c r="CF53" t="s">
        <v>674</v>
      </c>
      <c r="CG53" t="s">
        <v>674</v>
      </c>
      <c r="CH53" t="s">
        <v>674</v>
      </c>
      <c r="CI53" t="s">
        <v>674</v>
      </c>
    </row>
    <row r="54" spans="1:87" x14ac:dyDescent="0.25">
      <c r="A54" t="s">
        <v>209</v>
      </c>
      <c r="B54" t="s">
        <v>88</v>
      </c>
      <c r="D54" t="s">
        <v>210</v>
      </c>
      <c r="E54" t="s">
        <v>211</v>
      </c>
      <c r="F54" t="s">
        <v>674</v>
      </c>
      <c r="G54" t="s">
        <v>674</v>
      </c>
      <c r="H54" t="s">
        <v>674</v>
      </c>
      <c r="I54" t="s">
        <v>674</v>
      </c>
      <c r="J54" t="s">
        <v>674</v>
      </c>
      <c r="K54" t="s">
        <v>674</v>
      </c>
      <c r="L54" t="s">
        <v>674</v>
      </c>
      <c r="M54" s="1">
        <v>46257.902037037034</v>
      </c>
      <c r="N54" s="1">
        <v>46257.925740740742</v>
      </c>
      <c r="O54" s="1"/>
      <c r="P54" t="s">
        <v>674</v>
      </c>
      <c r="Q54" t="s">
        <v>674</v>
      </c>
      <c r="T54" t="s">
        <v>674</v>
      </c>
      <c r="U54" t="s">
        <v>674</v>
      </c>
      <c r="V54" t="s">
        <v>674</v>
      </c>
      <c r="W54" t="s">
        <v>674</v>
      </c>
      <c r="X54" t="s">
        <v>674</v>
      </c>
      <c r="Y54" t="s">
        <v>674</v>
      </c>
      <c r="Z54" t="s">
        <v>674</v>
      </c>
      <c r="AA54" t="s">
        <v>674</v>
      </c>
      <c r="AB54" t="s">
        <v>674</v>
      </c>
      <c r="AC54" t="s">
        <v>97</v>
      </c>
      <c r="AD54" t="s">
        <v>674</v>
      </c>
      <c r="AE54" t="s">
        <v>674</v>
      </c>
      <c r="AF54" t="s">
        <v>674</v>
      </c>
      <c r="AG54" t="s">
        <v>674</v>
      </c>
      <c r="AH54" t="s">
        <v>163</v>
      </c>
      <c r="AJ54" t="s">
        <v>674</v>
      </c>
      <c r="AK54" t="s">
        <v>674</v>
      </c>
      <c r="AL54" t="s">
        <v>212</v>
      </c>
      <c r="AM54" t="s">
        <v>674</v>
      </c>
      <c r="AN54" t="s">
        <v>213</v>
      </c>
      <c r="AO54" t="s">
        <v>674</v>
      </c>
      <c r="AP54" t="s">
        <v>674</v>
      </c>
      <c r="AQ54" t="s">
        <v>674</v>
      </c>
      <c r="AR54" t="s">
        <v>674</v>
      </c>
      <c r="AS54" t="s">
        <v>674</v>
      </c>
      <c r="AT54" t="s">
        <v>674</v>
      </c>
      <c r="AU54" t="s">
        <v>674</v>
      </c>
      <c r="AV54" t="s">
        <v>674</v>
      </c>
      <c r="AW54" t="s">
        <v>674</v>
      </c>
      <c r="AX54" t="s">
        <v>674</v>
      </c>
      <c r="AY54" t="s">
        <v>674</v>
      </c>
      <c r="AZ54" t="s">
        <v>674</v>
      </c>
      <c r="BA54" t="s">
        <v>674</v>
      </c>
      <c r="BB54" t="s">
        <v>674</v>
      </c>
      <c r="BC54" t="s">
        <v>674</v>
      </c>
      <c r="BD54" t="s">
        <v>674</v>
      </c>
      <c r="BE54" t="s">
        <v>674</v>
      </c>
      <c r="BF54" t="s">
        <v>674</v>
      </c>
      <c r="BG54" t="s">
        <v>674</v>
      </c>
      <c r="BH54" t="s">
        <v>674</v>
      </c>
      <c r="BI54" t="s">
        <v>674</v>
      </c>
      <c r="BJ54" t="s">
        <v>674</v>
      </c>
      <c r="BK54" t="s">
        <v>674</v>
      </c>
      <c r="BL54" t="s">
        <v>674</v>
      </c>
      <c r="BM54" t="s">
        <v>674</v>
      </c>
      <c r="BN54" t="s">
        <v>674</v>
      </c>
      <c r="BO54" t="s">
        <v>674</v>
      </c>
      <c r="BP54" t="s">
        <v>674</v>
      </c>
      <c r="BQ54" t="s">
        <v>674</v>
      </c>
      <c r="BR54" t="s">
        <v>674</v>
      </c>
      <c r="BS54" t="s">
        <v>674</v>
      </c>
      <c r="BT54" t="s">
        <v>674</v>
      </c>
      <c r="BU54" t="s">
        <v>674</v>
      </c>
      <c r="BV54" t="s">
        <v>674</v>
      </c>
      <c r="BW54" t="s">
        <v>674</v>
      </c>
      <c r="BX54" t="s">
        <v>674</v>
      </c>
      <c r="BY54" t="s">
        <v>674</v>
      </c>
      <c r="BZ54" t="s">
        <v>674</v>
      </c>
      <c r="CA54" t="s">
        <v>674</v>
      </c>
      <c r="CB54" t="s">
        <v>674</v>
      </c>
      <c r="CC54" t="s">
        <v>674</v>
      </c>
      <c r="CD54" t="s">
        <v>674</v>
      </c>
      <c r="CE54" t="s">
        <v>674</v>
      </c>
      <c r="CF54" t="s">
        <v>674</v>
      </c>
      <c r="CG54" t="s">
        <v>674</v>
      </c>
      <c r="CH54" t="s">
        <v>674</v>
      </c>
      <c r="CI54" t="s">
        <v>674</v>
      </c>
    </row>
    <row r="55" spans="1:87" x14ac:dyDescent="0.25">
      <c r="A55" t="s">
        <v>160</v>
      </c>
      <c r="B55" t="s">
        <v>88</v>
      </c>
      <c r="D55" t="s">
        <v>161</v>
      </c>
      <c r="E55" t="s">
        <v>162</v>
      </c>
      <c r="F55" t="s">
        <v>674</v>
      </c>
      <c r="G55" t="s">
        <v>674</v>
      </c>
      <c r="H55" t="s">
        <v>674</v>
      </c>
      <c r="I55" t="s">
        <v>674</v>
      </c>
      <c r="J55" t="s">
        <v>674</v>
      </c>
      <c r="K55" t="s">
        <v>674</v>
      </c>
      <c r="L55" t="s">
        <v>674</v>
      </c>
      <c r="M55" s="1">
        <v>46257.901736111111</v>
      </c>
      <c r="N55" s="1">
        <v>46257.925219907411</v>
      </c>
      <c r="O55" s="1"/>
      <c r="P55" t="s">
        <v>674</v>
      </c>
      <c r="Q55" t="s">
        <v>674</v>
      </c>
      <c r="T55" t="s">
        <v>674</v>
      </c>
      <c r="U55" t="s">
        <v>674</v>
      </c>
      <c r="V55" t="s">
        <v>674</v>
      </c>
      <c r="W55" t="s">
        <v>674</v>
      </c>
      <c r="X55" t="s">
        <v>674</v>
      </c>
      <c r="Y55" t="s">
        <v>674</v>
      </c>
      <c r="Z55" t="s">
        <v>674</v>
      </c>
      <c r="AA55" t="s">
        <v>674</v>
      </c>
      <c r="AB55" t="s">
        <v>674</v>
      </c>
      <c r="AC55" t="s">
        <v>97</v>
      </c>
      <c r="AD55" t="s">
        <v>674</v>
      </c>
      <c r="AE55" t="s">
        <v>674</v>
      </c>
      <c r="AF55" t="s">
        <v>674</v>
      </c>
      <c r="AG55" t="s">
        <v>674</v>
      </c>
      <c r="AH55" t="s">
        <v>163</v>
      </c>
      <c r="AJ55" t="s">
        <v>674</v>
      </c>
      <c r="AK55" t="s">
        <v>674</v>
      </c>
      <c r="AL55" t="s">
        <v>164</v>
      </c>
      <c r="AM55" t="s">
        <v>674</v>
      </c>
      <c r="AN55" t="s">
        <v>101</v>
      </c>
      <c r="AO55" t="s">
        <v>674</v>
      </c>
      <c r="AP55" t="s">
        <v>674</v>
      </c>
      <c r="AQ55" t="s">
        <v>674</v>
      </c>
      <c r="AR55" t="s">
        <v>674</v>
      </c>
      <c r="AS55" t="s">
        <v>674</v>
      </c>
      <c r="AT55" t="s">
        <v>674</v>
      </c>
      <c r="AU55" t="s">
        <v>674</v>
      </c>
      <c r="AV55" t="s">
        <v>674</v>
      </c>
      <c r="AW55" t="s">
        <v>674</v>
      </c>
      <c r="AX55" t="s">
        <v>674</v>
      </c>
      <c r="AY55" t="s">
        <v>674</v>
      </c>
      <c r="AZ55" t="s">
        <v>674</v>
      </c>
      <c r="BA55" t="s">
        <v>674</v>
      </c>
      <c r="BB55" t="s">
        <v>674</v>
      </c>
      <c r="BC55" t="s">
        <v>674</v>
      </c>
      <c r="BD55" t="s">
        <v>674</v>
      </c>
      <c r="BE55" t="s">
        <v>674</v>
      </c>
      <c r="BF55" t="s">
        <v>674</v>
      </c>
      <c r="BG55" t="s">
        <v>674</v>
      </c>
      <c r="BH55" t="s">
        <v>674</v>
      </c>
      <c r="BI55" t="s">
        <v>674</v>
      </c>
      <c r="BJ55" t="s">
        <v>674</v>
      </c>
      <c r="BK55" t="s">
        <v>674</v>
      </c>
      <c r="BL55" t="s">
        <v>674</v>
      </c>
      <c r="BM55" t="s">
        <v>674</v>
      </c>
      <c r="BN55" t="s">
        <v>674</v>
      </c>
      <c r="BO55" t="s">
        <v>674</v>
      </c>
      <c r="BP55" t="s">
        <v>674</v>
      </c>
      <c r="BQ55" t="s">
        <v>674</v>
      </c>
      <c r="BR55" t="s">
        <v>674</v>
      </c>
      <c r="BS55" t="s">
        <v>674</v>
      </c>
      <c r="BT55" t="s">
        <v>674</v>
      </c>
      <c r="BU55" t="s">
        <v>674</v>
      </c>
      <c r="BV55" t="s">
        <v>674</v>
      </c>
      <c r="BW55" t="s">
        <v>674</v>
      </c>
      <c r="BX55" t="s">
        <v>674</v>
      </c>
      <c r="BY55" t="s">
        <v>674</v>
      </c>
      <c r="BZ55" t="s">
        <v>674</v>
      </c>
      <c r="CA55" t="s">
        <v>674</v>
      </c>
      <c r="CB55" t="s">
        <v>674</v>
      </c>
      <c r="CC55" t="s">
        <v>674</v>
      </c>
      <c r="CD55" t="s">
        <v>674</v>
      </c>
      <c r="CE55" t="s">
        <v>674</v>
      </c>
      <c r="CF55" t="s">
        <v>674</v>
      </c>
      <c r="CG55" t="s">
        <v>674</v>
      </c>
      <c r="CH55" t="s">
        <v>674</v>
      </c>
      <c r="CI55" t="s">
        <v>674</v>
      </c>
    </row>
    <row r="56" spans="1:87" x14ac:dyDescent="0.25">
      <c r="A56" t="s">
        <v>198</v>
      </c>
      <c r="B56" t="s">
        <v>126</v>
      </c>
      <c r="C56">
        <v>2024</v>
      </c>
      <c r="D56" t="s">
        <v>199</v>
      </c>
      <c r="E56" t="s">
        <v>200</v>
      </c>
      <c r="F56" t="s">
        <v>201</v>
      </c>
      <c r="G56" t="s">
        <v>202</v>
      </c>
      <c r="H56" t="s">
        <v>674</v>
      </c>
      <c r="I56" t="s">
        <v>203</v>
      </c>
      <c r="J56" t="s">
        <v>204</v>
      </c>
      <c r="K56" t="s">
        <v>674</v>
      </c>
      <c r="L56" t="s">
        <v>680</v>
      </c>
      <c r="M56" s="1">
        <v>46257.901932870373</v>
      </c>
      <c r="N56" s="1">
        <v>46257.924803240741</v>
      </c>
      <c r="O56" s="1">
        <v>46257.901932870373</v>
      </c>
      <c r="P56" t="s">
        <v>205</v>
      </c>
      <c r="Q56" t="s">
        <v>674</v>
      </c>
      <c r="T56" t="s">
        <v>674</v>
      </c>
      <c r="U56" t="s">
        <v>674</v>
      </c>
      <c r="V56" t="s">
        <v>674</v>
      </c>
      <c r="W56" t="s">
        <v>674</v>
      </c>
      <c r="X56" t="s">
        <v>674</v>
      </c>
      <c r="Y56" t="s">
        <v>674</v>
      </c>
      <c r="Z56" t="s">
        <v>674</v>
      </c>
      <c r="AA56" t="s">
        <v>133</v>
      </c>
      <c r="AB56" t="s">
        <v>206</v>
      </c>
      <c r="AC56" t="s">
        <v>674</v>
      </c>
      <c r="AD56" t="s">
        <v>135</v>
      </c>
      <c r="AE56" t="s">
        <v>674</v>
      </c>
      <c r="AF56" t="s">
        <v>674</v>
      </c>
      <c r="AG56" t="s">
        <v>674</v>
      </c>
      <c r="AH56" t="s">
        <v>99</v>
      </c>
      <c r="AJ56" t="s">
        <v>674</v>
      </c>
      <c r="AK56" t="s">
        <v>674</v>
      </c>
      <c r="AL56" t="s">
        <v>207</v>
      </c>
      <c r="AM56" t="s">
        <v>674</v>
      </c>
      <c r="AN56" t="s">
        <v>208</v>
      </c>
      <c r="AO56" t="s">
        <v>674</v>
      </c>
      <c r="AP56" t="s">
        <v>674</v>
      </c>
      <c r="AQ56" t="s">
        <v>674</v>
      </c>
      <c r="AR56" t="s">
        <v>674</v>
      </c>
      <c r="AS56" t="s">
        <v>674</v>
      </c>
      <c r="AT56" t="s">
        <v>674</v>
      </c>
      <c r="AU56" t="s">
        <v>674</v>
      </c>
      <c r="AV56" t="s">
        <v>674</v>
      </c>
      <c r="AW56" t="s">
        <v>674</v>
      </c>
      <c r="AX56" t="s">
        <v>674</v>
      </c>
      <c r="AY56" t="s">
        <v>674</v>
      </c>
      <c r="AZ56" t="s">
        <v>674</v>
      </c>
      <c r="BA56" t="s">
        <v>674</v>
      </c>
      <c r="BB56" t="s">
        <v>674</v>
      </c>
      <c r="BC56" t="s">
        <v>674</v>
      </c>
      <c r="BD56" t="s">
        <v>674</v>
      </c>
      <c r="BE56" t="s">
        <v>674</v>
      </c>
      <c r="BF56" t="s">
        <v>674</v>
      </c>
      <c r="BG56" t="s">
        <v>674</v>
      </c>
      <c r="BH56" t="s">
        <v>674</v>
      </c>
      <c r="BI56" t="s">
        <v>674</v>
      </c>
      <c r="BJ56" t="s">
        <v>674</v>
      </c>
      <c r="BK56" t="s">
        <v>674</v>
      </c>
      <c r="BL56" t="s">
        <v>674</v>
      </c>
      <c r="BM56" t="s">
        <v>674</v>
      </c>
      <c r="BN56" t="s">
        <v>674</v>
      </c>
      <c r="BO56" t="s">
        <v>674</v>
      </c>
      <c r="BP56" t="s">
        <v>674</v>
      </c>
      <c r="BQ56" t="s">
        <v>674</v>
      </c>
      <c r="BR56" t="s">
        <v>674</v>
      </c>
      <c r="BS56" t="s">
        <v>674</v>
      </c>
      <c r="BT56" t="s">
        <v>201</v>
      </c>
      <c r="BU56" t="s">
        <v>674</v>
      </c>
      <c r="BV56" t="s">
        <v>674</v>
      </c>
      <c r="BW56" t="s">
        <v>674</v>
      </c>
      <c r="BX56" t="s">
        <v>674</v>
      </c>
      <c r="BY56" t="s">
        <v>674</v>
      </c>
      <c r="BZ56" t="s">
        <v>674</v>
      </c>
      <c r="CA56" t="s">
        <v>674</v>
      </c>
      <c r="CB56" t="s">
        <v>674</v>
      </c>
      <c r="CC56" t="s">
        <v>674</v>
      </c>
      <c r="CD56" t="s">
        <v>674</v>
      </c>
      <c r="CE56" t="s">
        <v>674</v>
      </c>
      <c r="CF56" t="s">
        <v>674</v>
      </c>
      <c r="CG56" t="s">
        <v>674</v>
      </c>
      <c r="CH56" t="s">
        <v>674</v>
      </c>
      <c r="CI56" t="s">
        <v>674</v>
      </c>
    </row>
    <row r="57" spans="1:87" x14ac:dyDescent="0.25">
      <c r="A57" t="s">
        <v>189</v>
      </c>
      <c r="B57" t="s">
        <v>88</v>
      </c>
      <c r="C57">
        <v>2020</v>
      </c>
      <c r="D57" t="s">
        <v>190</v>
      </c>
      <c r="E57" t="s">
        <v>191</v>
      </c>
      <c r="F57" t="s">
        <v>115</v>
      </c>
      <c r="G57" t="s">
        <v>674</v>
      </c>
      <c r="H57" t="s">
        <v>116</v>
      </c>
      <c r="I57" t="s">
        <v>192</v>
      </c>
      <c r="J57" t="s">
        <v>193</v>
      </c>
      <c r="K57" t="s">
        <v>674</v>
      </c>
      <c r="L57" t="s">
        <v>194</v>
      </c>
      <c r="M57" s="1">
        <v>46257.901886574073</v>
      </c>
      <c r="N57" s="1">
        <v>46257.924050925925</v>
      </c>
      <c r="O57" s="1">
        <v>46257.901886574073</v>
      </c>
      <c r="P57" t="s">
        <v>195</v>
      </c>
      <c r="Q57" t="s">
        <v>674</v>
      </c>
      <c r="R57">
        <v>7</v>
      </c>
      <c r="S57">
        <v>67</v>
      </c>
      <c r="T57" t="s">
        <v>674</v>
      </c>
      <c r="U57" t="s">
        <v>121</v>
      </c>
      <c r="V57" t="s">
        <v>674</v>
      </c>
      <c r="W57" t="s">
        <v>674</v>
      </c>
      <c r="X57" t="s">
        <v>674</v>
      </c>
      <c r="Y57" t="s">
        <v>674</v>
      </c>
      <c r="Z57" t="s">
        <v>674</v>
      </c>
      <c r="AA57" t="s">
        <v>674</v>
      </c>
      <c r="AB57" t="s">
        <v>674</v>
      </c>
      <c r="AC57" t="s">
        <v>674</v>
      </c>
      <c r="AD57" t="s">
        <v>122</v>
      </c>
      <c r="AE57" t="s">
        <v>674</v>
      </c>
      <c r="AF57" t="s">
        <v>674</v>
      </c>
      <c r="AG57" t="s">
        <v>674</v>
      </c>
      <c r="AH57" t="s">
        <v>99</v>
      </c>
      <c r="AJ57" t="s">
        <v>674</v>
      </c>
      <c r="AK57" t="s">
        <v>674</v>
      </c>
      <c r="AL57" t="s">
        <v>196</v>
      </c>
      <c r="AM57" t="s">
        <v>674</v>
      </c>
      <c r="AN57" t="s">
        <v>197</v>
      </c>
      <c r="AO57" t="s">
        <v>674</v>
      </c>
      <c r="AP57" t="s">
        <v>674</v>
      </c>
      <c r="AQ57" t="s">
        <v>674</v>
      </c>
      <c r="AR57" t="s">
        <v>674</v>
      </c>
      <c r="AS57" t="s">
        <v>674</v>
      </c>
      <c r="AT57" t="s">
        <v>674</v>
      </c>
      <c r="AU57" t="s">
        <v>674</v>
      </c>
      <c r="AV57" t="s">
        <v>674</v>
      </c>
      <c r="AW57" t="s">
        <v>674</v>
      </c>
      <c r="AX57" t="s">
        <v>674</v>
      </c>
      <c r="AY57" t="s">
        <v>674</v>
      </c>
      <c r="AZ57" t="s">
        <v>674</v>
      </c>
      <c r="BA57" t="s">
        <v>674</v>
      </c>
      <c r="BB57" t="s">
        <v>674</v>
      </c>
      <c r="BC57" t="s">
        <v>674</v>
      </c>
      <c r="BD57" t="s">
        <v>674</v>
      </c>
      <c r="BE57" t="s">
        <v>674</v>
      </c>
      <c r="BF57" t="s">
        <v>674</v>
      </c>
      <c r="BG57" t="s">
        <v>674</v>
      </c>
      <c r="BH57" t="s">
        <v>674</v>
      </c>
      <c r="BI57" t="s">
        <v>674</v>
      </c>
      <c r="BJ57" t="s">
        <v>674</v>
      </c>
      <c r="BK57" t="s">
        <v>674</v>
      </c>
      <c r="BL57" t="s">
        <v>674</v>
      </c>
      <c r="BM57" t="s">
        <v>674</v>
      </c>
      <c r="BN57" t="s">
        <v>674</v>
      </c>
      <c r="BO57" t="s">
        <v>674</v>
      </c>
      <c r="BP57" t="s">
        <v>674</v>
      </c>
      <c r="BQ57" t="s">
        <v>674</v>
      </c>
      <c r="BR57" t="s">
        <v>674</v>
      </c>
      <c r="BS57" t="s">
        <v>674</v>
      </c>
      <c r="BT57" t="s">
        <v>674</v>
      </c>
      <c r="BU57" t="s">
        <v>674</v>
      </c>
      <c r="BV57" t="s">
        <v>674</v>
      </c>
      <c r="BW57" t="s">
        <v>674</v>
      </c>
      <c r="BX57" t="s">
        <v>674</v>
      </c>
      <c r="BY57" t="s">
        <v>674</v>
      </c>
      <c r="BZ57" t="s">
        <v>674</v>
      </c>
      <c r="CA57" t="s">
        <v>674</v>
      </c>
      <c r="CB57" t="s">
        <v>674</v>
      </c>
      <c r="CC57" t="s">
        <v>674</v>
      </c>
      <c r="CD57" t="s">
        <v>674</v>
      </c>
      <c r="CE57" t="s">
        <v>674</v>
      </c>
      <c r="CF57" t="s">
        <v>674</v>
      </c>
      <c r="CG57" t="s">
        <v>674</v>
      </c>
      <c r="CH57" t="s">
        <v>674</v>
      </c>
      <c r="CI57" t="s">
        <v>674</v>
      </c>
    </row>
    <row r="58" spans="1:87" x14ac:dyDescent="0.25">
      <c r="A58" t="s">
        <v>177</v>
      </c>
      <c r="B58" t="s">
        <v>88</v>
      </c>
      <c r="C58">
        <v>2022</v>
      </c>
      <c r="D58" t="s">
        <v>178</v>
      </c>
      <c r="E58" t="s">
        <v>179</v>
      </c>
      <c r="F58" t="s">
        <v>180</v>
      </c>
      <c r="G58" t="s">
        <v>674</v>
      </c>
      <c r="H58" t="s">
        <v>181</v>
      </c>
      <c r="I58" t="s">
        <v>182</v>
      </c>
      <c r="J58" t="s">
        <v>183</v>
      </c>
      <c r="K58" t="s">
        <v>184</v>
      </c>
      <c r="L58" t="s">
        <v>678</v>
      </c>
      <c r="M58" s="1">
        <v>46257.90185185185</v>
      </c>
      <c r="N58" s="1">
        <v>46257.923020833332</v>
      </c>
      <c r="O58" s="1">
        <v>46257.90185185185</v>
      </c>
      <c r="P58" t="s">
        <v>679</v>
      </c>
      <c r="Q58" t="s">
        <v>674</v>
      </c>
      <c r="S58">
        <v>2022</v>
      </c>
      <c r="T58" t="s">
        <v>674</v>
      </c>
      <c r="U58" t="s">
        <v>180</v>
      </c>
      <c r="V58" t="s">
        <v>674</v>
      </c>
      <c r="W58" t="s">
        <v>674</v>
      </c>
      <c r="X58" t="s">
        <v>674</v>
      </c>
      <c r="Y58" t="s">
        <v>674</v>
      </c>
      <c r="Z58" t="s">
        <v>674</v>
      </c>
      <c r="AA58" t="s">
        <v>674</v>
      </c>
      <c r="AB58" t="s">
        <v>674</v>
      </c>
      <c r="AC58" t="s">
        <v>97</v>
      </c>
      <c r="AD58" t="s">
        <v>185</v>
      </c>
      <c r="AE58" t="s">
        <v>674</v>
      </c>
      <c r="AF58" t="s">
        <v>674</v>
      </c>
      <c r="AG58" t="s">
        <v>674</v>
      </c>
      <c r="AH58" t="s">
        <v>99</v>
      </c>
      <c r="AJ58" t="s">
        <v>674</v>
      </c>
      <c r="AK58" t="s">
        <v>674</v>
      </c>
      <c r="AL58" t="s">
        <v>186</v>
      </c>
      <c r="AM58" t="s">
        <v>674</v>
      </c>
      <c r="AN58" t="s">
        <v>187</v>
      </c>
      <c r="AO58" t="s">
        <v>674</v>
      </c>
      <c r="AP58" t="s">
        <v>188</v>
      </c>
      <c r="AQ58" t="s">
        <v>674</v>
      </c>
      <c r="AR58" t="s">
        <v>674</v>
      </c>
      <c r="AS58" t="s">
        <v>674</v>
      </c>
      <c r="AT58" t="s">
        <v>674</v>
      </c>
      <c r="AU58" t="s">
        <v>674</v>
      </c>
      <c r="AV58" t="s">
        <v>674</v>
      </c>
      <c r="AW58" t="s">
        <v>674</v>
      </c>
      <c r="AX58" t="s">
        <v>674</v>
      </c>
      <c r="AY58" t="s">
        <v>674</v>
      </c>
      <c r="AZ58" t="s">
        <v>674</v>
      </c>
      <c r="BA58" t="s">
        <v>674</v>
      </c>
      <c r="BB58" t="s">
        <v>674</v>
      </c>
      <c r="BC58" t="s">
        <v>674</v>
      </c>
      <c r="BD58" t="s">
        <v>674</v>
      </c>
      <c r="BE58" t="s">
        <v>674</v>
      </c>
      <c r="BF58" t="s">
        <v>674</v>
      </c>
      <c r="BG58" t="s">
        <v>674</v>
      </c>
      <c r="BH58" t="s">
        <v>674</v>
      </c>
      <c r="BI58" t="s">
        <v>674</v>
      </c>
      <c r="BJ58" t="s">
        <v>674</v>
      </c>
      <c r="BK58" t="s">
        <v>674</v>
      </c>
      <c r="BL58" t="s">
        <v>674</v>
      </c>
      <c r="BM58" t="s">
        <v>674</v>
      </c>
      <c r="BN58" t="s">
        <v>674</v>
      </c>
      <c r="BO58" t="s">
        <v>674</v>
      </c>
      <c r="BP58" t="s">
        <v>674</v>
      </c>
      <c r="BQ58" t="s">
        <v>674</v>
      </c>
      <c r="BR58" t="s">
        <v>674</v>
      </c>
      <c r="BS58" t="s">
        <v>674</v>
      </c>
      <c r="BT58" t="s">
        <v>674</v>
      </c>
      <c r="BU58" t="s">
        <v>674</v>
      </c>
      <c r="BV58" t="s">
        <v>674</v>
      </c>
      <c r="BW58" t="s">
        <v>674</v>
      </c>
      <c r="BX58" t="s">
        <v>674</v>
      </c>
      <c r="BY58" t="s">
        <v>674</v>
      </c>
      <c r="BZ58" t="s">
        <v>674</v>
      </c>
      <c r="CA58" t="s">
        <v>674</v>
      </c>
      <c r="CB58" t="s">
        <v>674</v>
      </c>
      <c r="CC58" t="s">
        <v>674</v>
      </c>
      <c r="CD58" t="s">
        <v>674</v>
      </c>
      <c r="CE58" t="s">
        <v>674</v>
      </c>
      <c r="CF58" t="s">
        <v>674</v>
      </c>
      <c r="CG58" t="s">
        <v>674</v>
      </c>
      <c r="CH58" t="s">
        <v>674</v>
      </c>
      <c r="CI58" t="s">
        <v>674</v>
      </c>
    </row>
    <row r="59" spans="1:87" x14ac:dyDescent="0.25">
      <c r="A59" t="s">
        <v>102</v>
      </c>
      <c r="B59" t="s">
        <v>103</v>
      </c>
      <c r="C59">
        <v>2014</v>
      </c>
      <c r="D59" t="s">
        <v>104</v>
      </c>
      <c r="E59" t="s">
        <v>105</v>
      </c>
      <c r="F59" t="s">
        <v>674</v>
      </c>
      <c r="G59" t="s">
        <v>674</v>
      </c>
      <c r="H59" t="s">
        <v>674</v>
      </c>
      <c r="I59" t="s">
        <v>106</v>
      </c>
      <c r="J59" t="s">
        <v>107</v>
      </c>
      <c r="K59" t="s">
        <v>674</v>
      </c>
      <c r="L59" t="s">
        <v>675</v>
      </c>
      <c r="M59" s="1">
        <v>46257.901469907411</v>
      </c>
      <c r="N59" s="1">
        <v>46257.921446759261</v>
      </c>
      <c r="O59" s="1">
        <v>46257.901469907411</v>
      </c>
      <c r="P59" t="s">
        <v>674</v>
      </c>
      <c r="Q59" t="s">
        <v>674</v>
      </c>
      <c r="T59" t="s">
        <v>674</v>
      </c>
      <c r="U59" t="s">
        <v>674</v>
      </c>
      <c r="V59" t="s">
        <v>674</v>
      </c>
      <c r="W59" t="s">
        <v>674</v>
      </c>
      <c r="X59" t="s">
        <v>674</v>
      </c>
      <c r="Y59" t="s">
        <v>674</v>
      </c>
      <c r="Z59" t="s">
        <v>674</v>
      </c>
      <c r="AA59" t="s">
        <v>108</v>
      </c>
      <c r="AB59" t="s">
        <v>674</v>
      </c>
      <c r="AC59" t="s">
        <v>674</v>
      </c>
      <c r="AD59" t="s">
        <v>674</v>
      </c>
      <c r="AE59" t="s">
        <v>109</v>
      </c>
      <c r="AF59" t="s">
        <v>674</v>
      </c>
      <c r="AG59" t="s">
        <v>674</v>
      </c>
      <c r="AH59" t="s">
        <v>99</v>
      </c>
      <c r="AJ59" t="s">
        <v>674</v>
      </c>
      <c r="AK59" t="s">
        <v>674</v>
      </c>
      <c r="AL59" t="s">
        <v>110</v>
      </c>
      <c r="AM59" t="s">
        <v>674</v>
      </c>
      <c r="AN59" t="s">
        <v>111</v>
      </c>
      <c r="AO59" t="s">
        <v>674</v>
      </c>
      <c r="AP59" t="s">
        <v>674</v>
      </c>
      <c r="AQ59" t="s">
        <v>674</v>
      </c>
      <c r="AR59" t="s">
        <v>674</v>
      </c>
      <c r="AS59" t="s">
        <v>674</v>
      </c>
      <c r="AT59" t="s">
        <v>674</v>
      </c>
      <c r="AU59" t="s">
        <v>674</v>
      </c>
      <c r="AV59" t="s">
        <v>674</v>
      </c>
      <c r="AW59" t="s">
        <v>674</v>
      </c>
      <c r="AX59" t="s">
        <v>674</v>
      </c>
      <c r="AY59" t="s">
        <v>674</v>
      </c>
      <c r="AZ59" t="s">
        <v>674</v>
      </c>
      <c r="BA59" t="s">
        <v>674</v>
      </c>
      <c r="BB59" t="s">
        <v>674</v>
      </c>
      <c r="BC59" t="s">
        <v>674</v>
      </c>
      <c r="BD59" t="s">
        <v>674</v>
      </c>
      <c r="BE59" t="s">
        <v>674</v>
      </c>
      <c r="BF59" t="s">
        <v>674</v>
      </c>
      <c r="BG59" t="s">
        <v>674</v>
      </c>
      <c r="BH59" t="s">
        <v>674</v>
      </c>
      <c r="BI59" t="s">
        <v>674</v>
      </c>
      <c r="BJ59" t="s">
        <v>674</v>
      </c>
      <c r="BK59" t="s">
        <v>674</v>
      </c>
      <c r="BL59" t="s">
        <v>674</v>
      </c>
      <c r="BM59" t="s">
        <v>674</v>
      </c>
      <c r="BN59" t="s">
        <v>674</v>
      </c>
      <c r="BO59" t="s">
        <v>674</v>
      </c>
      <c r="BP59" t="s">
        <v>674</v>
      </c>
      <c r="BQ59" t="s">
        <v>674</v>
      </c>
      <c r="BR59" t="s">
        <v>674</v>
      </c>
      <c r="BS59" t="s">
        <v>674</v>
      </c>
      <c r="BT59" t="s">
        <v>674</v>
      </c>
      <c r="BU59" t="s">
        <v>674</v>
      </c>
      <c r="BV59" t="s">
        <v>674</v>
      </c>
      <c r="BW59" t="s">
        <v>674</v>
      </c>
      <c r="BX59" t="s">
        <v>674</v>
      </c>
      <c r="BY59" t="s">
        <v>674</v>
      </c>
      <c r="BZ59" t="s">
        <v>674</v>
      </c>
      <c r="CA59" t="s">
        <v>674</v>
      </c>
      <c r="CB59" t="s">
        <v>674</v>
      </c>
      <c r="CC59" t="s">
        <v>674</v>
      </c>
      <c r="CD59" t="s">
        <v>674</v>
      </c>
      <c r="CE59" t="s">
        <v>674</v>
      </c>
      <c r="CF59" t="s">
        <v>674</v>
      </c>
      <c r="CG59" t="s">
        <v>674</v>
      </c>
      <c r="CH59" t="s">
        <v>674</v>
      </c>
      <c r="CI59" t="s">
        <v>674</v>
      </c>
    </row>
    <row r="60" spans="1:87" x14ac:dyDescent="0.25">
      <c r="A60" t="s">
        <v>236</v>
      </c>
      <c r="B60" t="s">
        <v>88</v>
      </c>
      <c r="D60" t="s">
        <v>674</v>
      </c>
      <c r="E60" t="s">
        <v>237</v>
      </c>
      <c r="F60" t="s">
        <v>674</v>
      </c>
      <c r="G60" t="s">
        <v>674</v>
      </c>
      <c r="H60" t="s">
        <v>674</v>
      </c>
      <c r="I60" t="s">
        <v>674</v>
      </c>
      <c r="J60" t="s">
        <v>674</v>
      </c>
      <c r="K60" t="s">
        <v>674</v>
      </c>
      <c r="L60" t="s">
        <v>674</v>
      </c>
      <c r="M60" s="1">
        <v>46257.90216435185</v>
      </c>
      <c r="N60" s="1">
        <v>46257.918634259258</v>
      </c>
      <c r="O60" s="1"/>
      <c r="P60" t="s">
        <v>674</v>
      </c>
      <c r="Q60" t="s">
        <v>674</v>
      </c>
      <c r="T60" t="s">
        <v>674</v>
      </c>
      <c r="U60" t="s">
        <v>674</v>
      </c>
      <c r="V60" t="s">
        <v>674</v>
      </c>
      <c r="W60" t="s">
        <v>674</v>
      </c>
      <c r="X60" t="s">
        <v>674</v>
      </c>
      <c r="Y60" t="s">
        <v>674</v>
      </c>
      <c r="Z60" t="s">
        <v>674</v>
      </c>
      <c r="AA60" t="s">
        <v>674</v>
      </c>
      <c r="AB60" t="s">
        <v>674</v>
      </c>
      <c r="AC60" t="s">
        <v>674</v>
      </c>
      <c r="AD60" t="s">
        <v>674</v>
      </c>
      <c r="AE60" t="s">
        <v>674</v>
      </c>
      <c r="AF60" t="s">
        <v>674</v>
      </c>
      <c r="AG60" t="s">
        <v>674</v>
      </c>
      <c r="AH60" t="s">
        <v>163</v>
      </c>
      <c r="AJ60" t="s">
        <v>674</v>
      </c>
      <c r="AK60" t="s">
        <v>674</v>
      </c>
      <c r="AL60" t="s">
        <v>238</v>
      </c>
      <c r="AM60" t="s">
        <v>674</v>
      </c>
      <c r="AN60" t="s">
        <v>101</v>
      </c>
      <c r="AO60" t="s">
        <v>674</v>
      </c>
      <c r="AP60" t="s">
        <v>674</v>
      </c>
      <c r="AQ60" t="s">
        <v>674</v>
      </c>
      <c r="AR60" t="s">
        <v>674</v>
      </c>
      <c r="AS60" t="s">
        <v>674</v>
      </c>
      <c r="AT60" t="s">
        <v>674</v>
      </c>
      <c r="AU60" t="s">
        <v>674</v>
      </c>
      <c r="AV60" t="s">
        <v>674</v>
      </c>
      <c r="AW60" t="s">
        <v>674</v>
      </c>
      <c r="AX60" t="s">
        <v>674</v>
      </c>
      <c r="AY60" t="s">
        <v>674</v>
      </c>
      <c r="AZ60" t="s">
        <v>674</v>
      </c>
      <c r="BA60" t="s">
        <v>674</v>
      </c>
      <c r="BB60" t="s">
        <v>674</v>
      </c>
      <c r="BC60" t="s">
        <v>674</v>
      </c>
      <c r="BD60" t="s">
        <v>674</v>
      </c>
      <c r="BE60" t="s">
        <v>674</v>
      </c>
      <c r="BF60" t="s">
        <v>674</v>
      </c>
      <c r="BG60" t="s">
        <v>674</v>
      </c>
      <c r="BH60" t="s">
        <v>674</v>
      </c>
      <c r="BI60" t="s">
        <v>674</v>
      </c>
      <c r="BJ60" t="s">
        <v>674</v>
      </c>
      <c r="BK60" t="s">
        <v>674</v>
      </c>
      <c r="BL60" t="s">
        <v>674</v>
      </c>
      <c r="BM60" t="s">
        <v>674</v>
      </c>
      <c r="BN60" t="s">
        <v>674</v>
      </c>
      <c r="BO60" t="s">
        <v>674</v>
      </c>
      <c r="BP60" t="s">
        <v>674</v>
      </c>
      <c r="BQ60" t="s">
        <v>674</v>
      </c>
      <c r="BR60" t="s">
        <v>674</v>
      </c>
      <c r="BS60" t="s">
        <v>674</v>
      </c>
      <c r="BT60" t="s">
        <v>674</v>
      </c>
      <c r="BU60" t="s">
        <v>674</v>
      </c>
      <c r="BV60" t="s">
        <v>674</v>
      </c>
      <c r="BW60" t="s">
        <v>674</v>
      </c>
      <c r="BX60" t="s">
        <v>674</v>
      </c>
      <c r="BY60" t="s">
        <v>674</v>
      </c>
      <c r="BZ60" t="s">
        <v>674</v>
      </c>
      <c r="CA60" t="s">
        <v>674</v>
      </c>
      <c r="CB60" t="s">
        <v>674</v>
      </c>
      <c r="CC60" t="s">
        <v>674</v>
      </c>
      <c r="CD60" t="s">
        <v>674</v>
      </c>
      <c r="CE60" t="s">
        <v>674</v>
      </c>
      <c r="CF60" t="s">
        <v>674</v>
      </c>
      <c r="CG60" t="s">
        <v>674</v>
      </c>
      <c r="CH60" t="s">
        <v>674</v>
      </c>
      <c r="CI60" t="s">
        <v>674</v>
      </c>
    </row>
    <row r="61" spans="1:87" x14ac:dyDescent="0.25">
      <c r="A61" t="s">
        <v>239</v>
      </c>
      <c r="B61" t="s">
        <v>126</v>
      </c>
      <c r="C61">
        <v>2023</v>
      </c>
      <c r="D61" t="s">
        <v>240</v>
      </c>
      <c r="E61" t="s">
        <v>241</v>
      </c>
      <c r="F61" t="s">
        <v>242</v>
      </c>
      <c r="G61" t="s">
        <v>243</v>
      </c>
      <c r="H61" t="s">
        <v>674</v>
      </c>
      <c r="I61" t="s">
        <v>244</v>
      </c>
      <c r="J61" t="s">
        <v>245</v>
      </c>
      <c r="K61" t="s">
        <v>674</v>
      </c>
      <c r="L61" t="s">
        <v>682</v>
      </c>
      <c r="M61" s="1">
        <v>46257.902199074073</v>
      </c>
      <c r="N61" s="1">
        <v>46257.91815972222</v>
      </c>
      <c r="O61" s="1">
        <v>46257.902199074073</v>
      </c>
      <c r="P61" t="s">
        <v>683</v>
      </c>
      <c r="Q61" t="s">
        <v>674</v>
      </c>
      <c r="T61" t="s">
        <v>674</v>
      </c>
      <c r="U61" t="s">
        <v>674</v>
      </c>
      <c r="V61" t="s">
        <v>674</v>
      </c>
      <c r="W61" t="s">
        <v>674</v>
      </c>
      <c r="X61" t="s">
        <v>674</v>
      </c>
      <c r="Y61" t="s">
        <v>674</v>
      </c>
      <c r="Z61" t="s">
        <v>674</v>
      </c>
      <c r="AA61" t="s">
        <v>133</v>
      </c>
      <c r="AB61" t="s">
        <v>246</v>
      </c>
      <c r="AC61" t="s">
        <v>674</v>
      </c>
      <c r="AD61" t="s">
        <v>135</v>
      </c>
      <c r="AE61" t="s">
        <v>674</v>
      </c>
      <c r="AF61" t="s">
        <v>674</v>
      </c>
      <c r="AG61" t="s">
        <v>674</v>
      </c>
      <c r="AH61" t="s">
        <v>99</v>
      </c>
      <c r="AJ61" t="s">
        <v>674</v>
      </c>
      <c r="AK61" t="s">
        <v>674</v>
      </c>
      <c r="AL61" t="s">
        <v>247</v>
      </c>
      <c r="AM61" t="s">
        <v>674</v>
      </c>
      <c r="AN61" t="s">
        <v>248</v>
      </c>
      <c r="AO61" t="s">
        <v>674</v>
      </c>
      <c r="AP61" t="s">
        <v>674</v>
      </c>
      <c r="AQ61" t="s">
        <v>674</v>
      </c>
      <c r="AR61" t="s">
        <v>674</v>
      </c>
      <c r="AS61" t="s">
        <v>674</v>
      </c>
      <c r="AT61" t="s">
        <v>674</v>
      </c>
      <c r="AU61" t="s">
        <v>674</v>
      </c>
      <c r="AV61" t="s">
        <v>674</v>
      </c>
      <c r="AW61" t="s">
        <v>674</v>
      </c>
      <c r="AX61" t="s">
        <v>674</v>
      </c>
      <c r="AY61" t="s">
        <v>674</v>
      </c>
      <c r="AZ61" t="s">
        <v>674</v>
      </c>
      <c r="BA61" t="s">
        <v>674</v>
      </c>
      <c r="BB61" t="s">
        <v>674</v>
      </c>
      <c r="BC61" t="s">
        <v>674</v>
      </c>
      <c r="BD61" t="s">
        <v>674</v>
      </c>
      <c r="BE61" t="s">
        <v>674</v>
      </c>
      <c r="BF61" t="s">
        <v>674</v>
      </c>
      <c r="BG61" t="s">
        <v>674</v>
      </c>
      <c r="BH61" t="s">
        <v>674</v>
      </c>
      <c r="BI61" t="s">
        <v>674</v>
      </c>
      <c r="BJ61" t="s">
        <v>674</v>
      </c>
      <c r="BK61" t="s">
        <v>674</v>
      </c>
      <c r="BL61" t="s">
        <v>674</v>
      </c>
      <c r="BM61" t="s">
        <v>674</v>
      </c>
      <c r="BN61" t="s">
        <v>674</v>
      </c>
      <c r="BO61" t="s">
        <v>674</v>
      </c>
      <c r="BP61" t="s">
        <v>674</v>
      </c>
      <c r="BQ61" t="s">
        <v>674</v>
      </c>
      <c r="BR61" t="s">
        <v>674</v>
      </c>
      <c r="BS61" t="s">
        <v>674</v>
      </c>
      <c r="BT61" t="s">
        <v>242</v>
      </c>
      <c r="BU61" t="s">
        <v>674</v>
      </c>
      <c r="BV61" t="s">
        <v>674</v>
      </c>
      <c r="BW61" t="s">
        <v>674</v>
      </c>
      <c r="BX61" t="s">
        <v>674</v>
      </c>
      <c r="BY61" t="s">
        <v>674</v>
      </c>
      <c r="BZ61" t="s">
        <v>674</v>
      </c>
      <c r="CA61" t="s">
        <v>674</v>
      </c>
      <c r="CB61" t="s">
        <v>674</v>
      </c>
      <c r="CC61" t="s">
        <v>674</v>
      </c>
      <c r="CD61" t="s">
        <v>674</v>
      </c>
      <c r="CE61" t="s">
        <v>674</v>
      </c>
      <c r="CF61" t="s">
        <v>674</v>
      </c>
      <c r="CG61" t="s">
        <v>674</v>
      </c>
      <c r="CH61" t="s">
        <v>674</v>
      </c>
      <c r="CI61" t="s">
        <v>674</v>
      </c>
    </row>
    <row r="62" spans="1:87" x14ac:dyDescent="0.25">
      <c r="A62" t="s">
        <v>225</v>
      </c>
      <c r="B62" t="s">
        <v>126</v>
      </c>
      <c r="C62">
        <v>1989</v>
      </c>
      <c r="D62" t="s">
        <v>226</v>
      </c>
      <c r="E62" t="s">
        <v>227</v>
      </c>
      <c r="F62" t="s">
        <v>228</v>
      </c>
      <c r="G62" t="s">
        <v>674</v>
      </c>
      <c r="H62" t="s">
        <v>674</v>
      </c>
      <c r="I62" t="s">
        <v>229</v>
      </c>
      <c r="J62" t="s">
        <v>230</v>
      </c>
      <c r="K62" t="s">
        <v>674</v>
      </c>
      <c r="L62" t="s">
        <v>231</v>
      </c>
      <c r="M62" s="1">
        <v>46257.902141203704</v>
      </c>
      <c r="N62" s="1">
        <v>46257.917569444442</v>
      </c>
      <c r="O62" s="1">
        <v>46257.902129629627</v>
      </c>
      <c r="P62" t="s">
        <v>232</v>
      </c>
      <c r="Q62" t="s">
        <v>674</v>
      </c>
      <c r="T62" t="s">
        <v>674</v>
      </c>
      <c r="U62" t="s">
        <v>674</v>
      </c>
      <c r="V62" t="s">
        <v>674</v>
      </c>
      <c r="W62" t="s">
        <v>674</v>
      </c>
      <c r="X62" t="s">
        <v>674</v>
      </c>
      <c r="Y62" t="s">
        <v>674</v>
      </c>
      <c r="Z62" t="s">
        <v>674</v>
      </c>
      <c r="AA62" t="s">
        <v>133</v>
      </c>
      <c r="AB62" t="s">
        <v>233</v>
      </c>
      <c r="AC62" t="s">
        <v>674</v>
      </c>
      <c r="AD62" t="s">
        <v>674</v>
      </c>
      <c r="AE62" t="s">
        <v>674</v>
      </c>
      <c r="AF62" t="s">
        <v>674</v>
      </c>
      <c r="AG62" t="s">
        <v>674</v>
      </c>
      <c r="AH62" t="s">
        <v>99</v>
      </c>
      <c r="AJ62" t="s">
        <v>674</v>
      </c>
      <c r="AK62" t="s">
        <v>674</v>
      </c>
      <c r="AL62" t="s">
        <v>234</v>
      </c>
      <c r="AM62" t="s">
        <v>674</v>
      </c>
      <c r="AN62" t="s">
        <v>235</v>
      </c>
      <c r="AO62" t="s">
        <v>674</v>
      </c>
      <c r="AP62" t="s">
        <v>674</v>
      </c>
      <c r="AQ62" t="s">
        <v>674</v>
      </c>
      <c r="AR62" t="s">
        <v>674</v>
      </c>
      <c r="AS62" t="s">
        <v>674</v>
      </c>
      <c r="AT62" t="s">
        <v>674</v>
      </c>
      <c r="AU62" t="s">
        <v>674</v>
      </c>
      <c r="AV62" t="s">
        <v>674</v>
      </c>
      <c r="AW62" t="s">
        <v>674</v>
      </c>
      <c r="AX62" t="s">
        <v>674</v>
      </c>
      <c r="AY62" t="s">
        <v>674</v>
      </c>
      <c r="AZ62" t="s">
        <v>674</v>
      </c>
      <c r="BA62" t="s">
        <v>674</v>
      </c>
      <c r="BB62" t="s">
        <v>674</v>
      </c>
      <c r="BC62" t="s">
        <v>674</v>
      </c>
      <c r="BD62" t="s">
        <v>674</v>
      </c>
      <c r="BE62" t="s">
        <v>674</v>
      </c>
      <c r="BF62" t="s">
        <v>674</v>
      </c>
      <c r="BG62" t="s">
        <v>674</v>
      </c>
      <c r="BH62" t="s">
        <v>674</v>
      </c>
      <c r="BI62" t="s">
        <v>674</v>
      </c>
      <c r="BJ62" t="s">
        <v>674</v>
      </c>
      <c r="BK62" t="s">
        <v>674</v>
      </c>
      <c r="BL62" t="s">
        <v>674</v>
      </c>
      <c r="BM62" t="s">
        <v>674</v>
      </c>
      <c r="BN62" t="s">
        <v>674</v>
      </c>
      <c r="BO62" t="s">
        <v>674</v>
      </c>
      <c r="BP62" t="s">
        <v>674</v>
      </c>
      <c r="BQ62" t="s">
        <v>674</v>
      </c>
      <c r="BR62" t="s">
        <v>674</v>
      </c>
      <c r="BS62" t="s">
        <v>674</v>
      </c>
      <c r="BT62" t="s">
        <v>228</v>
      </c>
      <c r="BU62" t="s">
        <v>674</v>
      </c>
      <c r="BV62" t="s">
        <v>674</v>
      </c>
      <c r="BW62" t="s">
        <v>674</v>
      </c>
      <c r="BX62" t="s">
        <v>674</v>
      </c>
      <c r="BY62" t="s">
        <v>674</v>
      </c>
      <c r="BZ62" t="s">
        <v>674</v>
      </c>
      <c r="CA62" t="s">
        <v>674</v>
      </c>
      <c r="CB62" t="s">
        <v>674</v>
      </c>
      <c r="CC62" t="s">
        <v>674</v>
      </c>
      <c r="CD62" t="s">
        <v>674</v>
      </c>
      <c r="CE62" t="s">
        <v>674</v>
      </c>
      <c r="CF62" t="s">
        <v>674</v>
      </c>
      <c r="CG62" t="s">
        <v>674</v>
      </c>
      <c r="CH62" t="s">
        <v>674</v>
      </c>
      <c r="CI62" t="s">
        <v>674</v>
      </c>
    </row>
    <row r="63" spans="1:87" x14ac:dyDescent="0.25">
      <c r="A63" t="s">
        <v>249</v>
      </c>
      <c r="B63" t="s">
        <v>126</v>
      </c>
      <c r="C63">
        <v>2016</v>
      </c>
      <c r="D63" t="s">
        <v>250</v>
      </c>
      <c r="E63" t="s">
        <v>251</v>
      </c>
      <c r="F63" t="s">
        <v>252</v>
      </c>
      <c r="G63" t="s">
        <v>253</v>
      </c>
      <c r="H63" t="s">
        <v>674</v>
      </c>
      <c r="I63" t="s">
        <v>254</v>
      </c>
      <c r="J63" t="s">
        <v>255</v>
      </c>
      <c r="K63" t="s">
        <v>674</v>
      </c>
      <c r="L63" t="s">
        <v>256</v>
      </c>
      <c r="M63" s="1">
        <v>46257.902256944442</v>
      </c>
      <c r="N63" s="1">
        <v>46257.917442129627</v>
      </c>
      <c r="O63" s="1">
        <v>46257.902256944442</v>
      </c>
      <c r="P63" t="s">
        <v>684</v>
      </c>
      <c r="Q63" t="s">
        <v>674</v>
      </c>
      <c r="T63" t="s">
        <v>674</v>
      </c>
      <c r="U63" t="s">
        <v>674</v>
      </c>
      <c r="V63" t="s">
        <v>674</v>
      </c>
      <c r="W63" t="s">
        <v>674</v>
      </c>
      <c r="X63" t="s">
        <v>674</v>
      </c>
      <c r="Y63" t="s">
        <v>674</v>
      </c>
      <c r="Z63" t="s">
        <v>674</v>
      </c>
      <c r="AA63" t="s">
        <v>133</v>
      </c>
      <c r="AB63" t="s">
        <v>257</v>
      </c>
      <c r="AC63" t="s">
        <v>674</v>
      </c>
      <c r="AD63" t="s">
        <v>674</v>
      </c>
      <c r="AE63" t="s">
        <v>674</v>
      </c>
      <c r="AF63" t="s">
        <v>674</v>
      </c>
      <c r="AG63" t="s">
        <v>674</v>
      </c>
      <c r="AH63" t="s">
        <v>99</v>
      </c>
      <c r="AJ63" t="s">
        <v>674</v>
      </c>
      <c r="AK63" t="s">
        <v>674</v>
      </c>
      <c r="AL63" t="s">
        <v>258</v>
      </c>
      <c r="AM63" t="s">
        <v>674</v>
      </c>
      <c r="AN63" t="s">
        <v>235</v>
      </c>
      <c r="AO63" t="s">
        <v>674</v>
      </c>
      <c r="AP63" t="s">
        <v>674</v>
      </c>
      <c r="AQ63" t="s">
        <v>674</v>
      </c>
      <c r="AR63" t="s">
        <v>674</v>
      </c>
      <c r="AS63" t="s">
        <v>674</v>
      </c>
      <c r="AT63" t="s">
        <v>674</v>
      </c>
      <c r="AU63" t="s">
        <v>674</v>
      </c>
      <c r="AV63" t="s">
        <v>674</v>
      </c>
      <c r="AW63" t="s">
        <v>674</v>
      </c>
      <c r="AX63" t="s">
        <v>674</v>
      </c>
      <c r="AY63" t="s">
        <v>674</v>
      </c>
      <c r="AZ63" t="s">
        <v>674</v>
      </c>
      <c r="BA63" t="s">
        <v>674</v>
      </c>
      <c r="BB63" t="s">
        <v>674</v>
      </c>
      <c r="BC63" t="s">
        <v>674</v>
      </c>
      <c r="BD63" t="s">
        <v>674</v>
      </c>
      <c r="BE63" t="s">
        <v>674</v>
      </c>
      <c r="BF63" t="s">
        <v>674</v>
      </c>
      <c r="BG63" t="s">
        <v>674</v>
      </c>
      <c r="BH63" t="s">
        <v>674</v>
      </c>
      <c r="BI63" t="s">
        <v>674</v>
      </c>
      <c r="BJ63" t="s">
        <v>674</v>
      </c>
      <c r="BK63" t="s">
        <v>674</v>
      </c>
      <c r="BL63" t="s">
        <v>674</v>
      </c>
      <c r="BM63" t="s">
        <v>674</v>
      </c>
      <c r="BN63" t="s">
        <v>674</v>
      </c>
      <c r="BO63" t="s">
        <v>674</v>
      </c>
      <c r="BP63" t="s">
        <v>674</v>
      </c>
      <c r="BQ63" t="s">
        <v>674</v>
      </c>
      <c r="BR63" t="s">
        <v>674</v>
      </c>
      <c r="BS63" t="s">
        <v>674</v>
      </c>
      <c r="BT63" t="s">
        <v>252</v>
      </c>
      <c r="BU63" t="s">
        <v>674</v>
      </c>
      <c r="BV63" t="s">
        <v>674</v>
      </c>
      <c r="BW63" t="s">
        <v>674</v>
      </c>
      <c r="BX63" t="s">
        <v>674</v>
      </c>
      <c r="BY63" t="s">
        <v>674</v>
      </c>
      <c r="BZ63" t="s">
        <v>674</v>
      </c>
      <c r="CA63" t="s">
        <v>674</v>
      </c>
      <c r="CB63" t="s">
        <v>674</v>
      </c>
      <c r="CC63" t="s">
        <v>674</v>
      </c>
      <c r="CD63" t="s">
        <v>674</v>
      </c>
      <c r="CE63" t="s">
        <v>674</v>
      </c>
      <c r="CF63" t="s">
        <v>674</v>
      </c>
      <c r="CG63" t="s">
        <v>674</v>
      </c>
      <c r="CH63" t="s">
        <v>674</v>
      </c>
      <c r="CI63" t="s">
        <v>674</v>
      </c>
    </row>
    <row r="64" spans="1:87" x14ac:dyDescent="0.25">
      <c r="A64" t="s">
        <v>149</v>
      </c>
      <c r="B64" t="s">
        <v>88</v>
      </c>
      <c r="C64">
        <v>2015</v>
      </c>
      <c r="D64" t="s">
        <v>150</v>
      </c>
      <c r="E64" t="s">
        <v>151</v>
      </c>
      <c r="F64" t="s">
        <v>152</v>
      </c>
      <c r="G64" t="s">
        <v>674</v>
      </c>
      <c r="H64" t="s">
        <v>153</v>
      </c>
      <c r="I64" t="s">
        <v>154</v>
      </c>
      <c r="J64" t="s">
        <v>155</v>
      </c>
      <c r="K64" t="s">
        <v>674</v>
      </c>
      <c r="L64" t="s">
        <v>156</v>
      </c>
      <c r="M64" s="1">
        <v>46257.901712962965</v>
      </c>
      <c r="N64" s="1">
        <v>46257.91615740741</v>
      </c>
      <c r="O64" s="1">
        <v>46257.901712962965</v>
      </c>
      <c r="P64" t="s">
        <v>157</v>
      </c>
      <c r="Q64" t="s">
        <v>674</v>
      </c>
      <c r="R64">
        <v>6</v>
      </c>
      <c r="S64">
        <v>11</v>
      </c>
      <c r="T64" t="s">
        <v>674</v>
      </c>
      <c r="U64" t="s">
        <v>158</v>
      </c>
      <c r="V64" t="s">
        <v>674</v>
      </c>
      <c r="W64" t="s">
        <v>674</v>
      </c>
      <c r="X64" t="s">
        <v>674</v>
      </c>
      <c r="Y64" t="s">
        <v>674</v>
      </c>
      <c r="Z64" t="s">
        <v>674</v>
      </c>
      <c r="AA64" t="s">
        <v>674</v>
      </c>
      <c r="AB64" t="s">
        <v>674</v>
      </c>
      <c r="AC64" t="s">
        <v>674</v>
      </c>
      <c r="AD64" t="s">
        <v>122</v>
      </c>
      <c r="AE64" t="s">
        <v>674</v>
      </c>
      <c r="AF64" t="s">
        <v>674</v>
      </c>
      <c r="AG64" t="s">
        <v>674</v>
      </c>
      <c r="AH64" t="s">
        <v>99</v>
      </c>
      <c r="AJ64" t="s">
        <v>674</v>
      </c>
      <c r="AK64" t="s">
        <v>674</v>
      </c>
      <c r="AL64" t="s">
        <v>159</v>
      </c>
      <c r="AM64" t="s">
        <v>674</v>
      </c>
      <c r="AN64" t="s">
        <v>101</v>
      </c>
      <c r="AO64" t="s">
        <v>674</v>
      </c>
      <c r="AP64" t="s">
        <v>674</v>
      </c>
      <c r="AQ64" t="s">
        <v>674</v>
      </c>
      <c r="AR64" t="s">
        <v>674</v>
      </c>
      <c r="AS64" t="s">
        <v>674</v>
      </c>
      <c r="AT64" t="s">
        <v>674</v>
      </c>
      <c r="AU64" t="s">
        <v>674</v>
      </c>
      <c r="AV64" t="s">
        <v>674</v>
      </c>
      <c r="AW64" t="s">
        <v>674</v>
      </c>
      <c r="AX64" t="s">
        <v>674</v>
      </c>
      <c r="AY64" t="s">
        <v>674</v>
      </c>
      <c r="AZ64" t="s">
        <v>674</v>
      </c>
      <c r="BA64" t="s">
        <v>674</v>
      </c>
      <c r="BB64" t="s">
        <v>674</v>
      </c>
      <c r="BC64" t="s">
        <v>674</v>
      </c>
      <c r="BD64" t="s">
        <v>674</v>
      </c>
      <c r="BE64" t="s">
        <v>674</v>
      </c>
      <c r="BF64" t="s">
        <v>674</v>
      </c>
      <c r="BG64" t="s">
        <v>674</v>
      </c>
      <c r="BH64" t="s">
        <v>674</v>
      </c>
      <c r="BI64" t="s">
        <v>674</v>
      </c>
      <c r="BJ64" t="s">
        <v>674</v>
      </c>
      <c r="BK64" t="s">
        <v>674</v>
      </c>
      <c r="BL64" t="s">
        <v>674</v>
      </c>
      <c r="BM64" t="s">
        <v>674</v>
      </c>
      <c r="BN64" t="s">
        <v>674</v>
      </c>
      <c r="BO64" t="s">
        <v>674</v>
      </c>
      <c r="BP64" t="s">
        <v>674</v>
      </c>
      <c r="BQ64" t="s">
        <v>674</v>
      </c>
      <c r="BR64" t="s">
        <v>674</v>
      </c>
      <c r="BS64" t="s">
        <v>674</v>
      </c>
      <c r="BT64" t="s">
        <v>674</v>
      </c>
      <c r="BU64" t="s">
        <v>674</v>
      </c>
      <c r="BV64" t="s">
        <v>674</v>
      </c>
      <c r="BW64" t="s">
        <v>674</v>
      </c>
      <c r="BX64" t="s">
        <v>674</v>
      </c>
      <c r="BY64" t="s">
        <v>674</v>
      </c>
      <c r="BZ64" t="s">
        <v>674</v>
      </c>
      <c r="CA64" t="s">
        <v>674</v>
      </c>
      <c r="CB64" t="s">
        <v>674</v>
      </c>
      <c r="CC64" t="s">
        <v>674</v>
      </c>
      <c r="CD64" t="s">
        <v>674</v>
      </c>
      <c r="CE64" t="s">
        <v>674</v>
      </c>
      <c r="CF64" t="s">
        <v>674</v>
      </c>
      <c r="CG64" t="s">
        <v>674</v>
      </c>
      <c r="CH64" t="s">
        <v>674</v>
      </c>
      <c r="CI64" t="s">
        <v>674</v>
      </c>
    </row>
    <row r="65" spans="1:87" x14ac:dyDescent="0.25">
      <c r="A65" t="s">
        <v>214</v>
      </c>
      <c r="B65" t="s">
        <v>126</v>
      </c>
      <c r="C65">
        <v>2024</v>
      </c>
      <c r="D65" t="s">
        <v>215</v>
      </c>
      <c r="E65" t="s">
        <v>216</v>
      </c>
      <c r="F65" t="s">
        <v>217</v>
      </c>
      <c r="G65" t="s">
        <v>218</v>
      </c>
      <c r="H65" t="s">
        <v>674</v>
      </c>
      <c r="I65" t="s">
        <v>219</v>
      </c>
      <c r="J65" t="s">
        <v>220</v>
      </c>
      <c r="K65" t="s">
        <v>674</v>
      </c>
      <c r="L65" t="s">
        <v>681</v>
      </c>
      <c r="M65" s="1">
        <v>46257.902071759258</v>
      </c>
      <c r="N65" s="1">
        <v>46257.915439814817</v>
      </c>
      <c r="O65" s="1">
        <v>46257.902071759258</v>
      </c>
      <c r="P65" t="s">
        <v>221</v>
      </c>
      <c r="Q65" t="s">
        <v>674</v>
      </c>
      <c r="T65" t="s">
        <v>674</v>
      </c>
      <c r="U65" t="s">
        <v>674</v>
      </c>
      <c r="V65" t="s">
        <v>674</v>
      </c>
      <c r="W65" t="s">
        <v>674</v>
      </c>
      <c r="X65" t="s">
        <v>674</v>
      </c>
      <c r="Y65" t="s">
        <v>674</v>
      </c>
      <c r="Z65" t="s">
        <v>674</v>
      </c>
      <c r="AA65" t="s">
        <v>133</v>
      </c>
      <c r="AB65" t="s">
        <v>222</v>
      </c>
      <c r="AC65" t="s">
        <v>674</v>
      </c>
      <c r="AD65" t="s">
        <v>135</v>
      </c>
      <c r="AE65" t="s">
        <v>674</v>
      </c>
      <c r="AF65" t="s">
        <v>674</v>
      </c>
      <c r="AG65" t="s">
        <v>674</v>
      </c>
      <c r="AH65" t="s">
        <v>99</v>
      </c>
      <c r="AJ65" t="s">
        <v>674</v>
      </c>
      <c r="AK65" t="s">
        <v>674</v>
      </c>
      <c r="AL65" t="s">
        <v>223</v>
      </c>
      <c r="AM65" t="s">
        <v>674</v>
      </c>
      <c r="AN65" t="s">
        <v>224</v>
      </c>
      <c r="AO65" t="s">
        <v>674</v>
      </c>
      <c r="AP65" t="s">
        <v>674</v>
      </c>
      <c r="AQ65" t="s">
        <v>674</v>
      </c>
      <c r="AR65" t="s">
        <v>674</v>
      </c>
      <c r="AS65" t="s">
        <v>674</v>
      </c>
      <c r="AT65" t="s">
        <v>674</v>
      </c>
      <c r="AU65" t="s">
        <v>674</v>
      </c>
      <c r="AV65" t="s">
        <v>674</v>
      </c>
      <c r="AW65" t="s">
        <v>674</v>
      </c>
      <c r="AX65" t="s">
        <v>674</v>
      </c>
      <c r="AY65" t="s">
        <v>674</v>
      </c>
      <c r="AZ65" t="s">
        <v>674</v>
      </c>
      <c r="BA65" t="s">
        <v>674</v>
      </c>
      <c r="BB65" t="s">
        <v>674</v>
      </c>
      <c r="BC65" t="s">
        <v>674</v>
      </c>
      <c r="BD65" t="s">
        <v>674</v>
      </c>
      <c r="BE65" t="s">
        <v>674</v>
      </c>
      <c r="BF65" t="s">
        <v>674</v>
      </c>
      <c r="BG65" t="s">
        <v>674</v>
      </c>
      <c r="BH65" t="s">
        <v>674</v>
      </c>
      <c r="BI65" t="s">
        <v>674</v>
      </c>
      <c r="BJ65" t="s">
        <v>674</v>
      </c>
      <c r="BK65" t="s">
        <v>674</v>
      </c>
      <c r="BL65" t="s">
        <v>674</v>
      </c>
      <c r="BM65" t="s">
        <v>674</v>
      </c>
      <c r="BN65" t="s">
        <v>674</v>
      </c>
      <c r="BO65" t="s">
        <v>674</v>
      </c>
      <c r="BP65" t="s">
        <v>674</v>
      </c>
      <c r="BQ65" t="s">
        <v>674</v>
      </c>
      <c r="BR65" t="s">
        <v>674</v>
      </c>
      <c r="BS65" t="s">
        <v>674</v>
      </c>
      <c r="BT65" t="s">
        <v>217</v>
      </c>
      <c r="BU65" t="s">
        <v>674</v>
      </c>
      <c r="BV65" t="s">
        <v>674</v>
      </c>
      <c r="BW65" t="s">
        <v>674</v>
      </c>
      <c r="BX65" t="s">
        <v>674</v>
      </c>
      <c r="BY65" t="s">
        <v>674</v>
      </c>
      <c r="BZ65" t="s">
        <v>674</v>
      </c>
      <c r="CA65" t="s">
        <v>674</v>
      </c>
      <c r="CB65" t="s">
        <v>674</v>
      </c>
      <c r="CC65" t="s">
        <v>674</v>
      </c>
      <c r="CD65" t="s">
        <v>674</v>
      </c>
      <c r="CE65" t="s">
        <v>674</v>
      </c>
      <c r="CF65" t="s">
        <v>674</v>
      </c>
      <c r="CG65" t="s">
        <v>674</v>
      </c>
      <c r="CH65" t="s">
        <v>674</v>
      </c>
      <c r="CI65" t="s">
        <v>674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EA0E3-531C-4897-8A21-B12837452075}">
  <dimension ref="A1:CJ128"/>
  <sheetViews>
    <sheetView topLeftCell="BE113" zoomScale="70" zoomScaleNormal="70" workbookViewId="0">
      <selection activeCell="CA146" sqref="CA146"/>
    </sheetView>
  </sheetViews>
  <sheetFormatPr baseColWidth="10" defaultRowHeight="15" x14ac:dyDescent="0.25"/>
  <cols>
    <col min="1" max="1" width="11.42578125" style="2"/>
    <col min="2" max="2" width="12" style="2" customWidth="1"/>
    <col min="3" max="3" width="19.28515625" style="2" customWidth="1"/>
    <col min="4" max="5" width="11.42578125" style="2"/>
    <col min="6" max="6" width="20.42578125" style="2" customWidth="1"/>
    <col min="7" max="10" width="11.42578125" style="2"/>
    <col min="11" max="11" width="15.42578125" style="2" customWidth="1"/>
    <col min="12" max="12" width="11.42578125" style="2"/>
    <col min="13" max="13" width="22.140625" style="2" customWidth="1"/>
    <col min="14" max="14" width="24.42578125" style="2" customWidth="1"/>
    <col min="15" max="15" width="14.140625" style="2" customWidth="1"/>
    <col min="16" max="16" width="11.42578125" style="2"/>
    <col min="17" max="17" width="13.140625" style="2" customWidth="1"/>
    <col min="18" max="19" width="11.42578125" style="2"/>
    <col min="20" max="20" width="21.28515625" style="2" customWidth="1"/>
    <col min="21" max="21" width="21.42578125" style="2" customWidth="1"/>
    <col min="22" max="22" width="12.42578125" style="2" customWidth="1"/>
    <col min="23" max="23" width="11.42578125" style="2"/>
    <col min="24" max="24" width="16.5703125" style="2" customWidth="1"/>
    <col min="25" max="25" width="13.140625" style="2" customWidth="1"/>
    <col min="26" max="26" width="13.28515625" style="2" customWidth="1"/>
    <col min="27" max="27" width="11.7109375" style="2" customWidth="1"/>
    <col min="28" max="28" width="11.42578125" style="2"/>
    <col min="29" max="29" width="11.5703125" style="2" customWidth="1"/>
    <col min="30" max="32" width="11.42578125" style="2"/>
    <col min="33" max="33" width="18" style="2" customWidth="1"/>
    <col min="34" max="34" width="16.5703125" style="2" customWidth="1"/>
    <col min="35" max="35" width="14.42578125" style="2" customWidth="1"/>
    <col min="36" max="37" width="11.42578125" style="2"/>
    <col min="38" max="38" width="18.28515625" style="2" customWidth="1"/>
    <col min="39" max="39" width="18.7109375" style="2" customWidth="1"/>
    <col min="40" max="40" width="79.140625" style="2" customWidth="1"/>
    <col min="41" max="41" width="16.7109375" style="2" customWidth="1"/>
    <col min="42" max="42" width="11.42578125" style="2"/>
    <col min="43" max="43" width="14.7109375" style="2" customWidth="1"/>
    <col min="44" max="44" width="12.140625" style="2" customWidth="1"/>
    <col min="45" max="45" width="13.7109375" style="2" customWidth="1"/>
    <col min="46" max="46" width="16.42578125" style="2" customWidth="1"/>
    <col min="47" max="47" width="14" style="2" customWidth="1"/>
    <col min="48" max="48" width="15.140625" style="2" customWidth="1"/>
    <col min="49" max="49" width="14" style="2" customWidth="1"/>
    <col min="50" max="50" width="12.5703125" style="2" customWidth="1"/>
    <col min="51" max="51" width="13" style="2" customWidth="1"/>
    <col min="52" max="52" width="11.42578125" style="2"/>
    <col min="53" max="53" width="13.42578125" style="2" customWidth="1"/>
    <col min="54" max="54" width="11.42578125" style="2"/>
    <col min="55" max="55" width="11.85546875" style="2" customWidth="1"/>
    <col min="56" max="56" width="18.42578125" style="2" customWidth="1"/>
    <col min="57" max="57" width="13.7109375" style="2" customWidth="1"/>
    <col min="58" max="58" width="11.5703125" style="2" customWidth="1"/>
    <col min="59" max="61" width="11.42578125" style="2"/>
    <col min="62" max="62" width="15.42578125" style="2" customWidth="1"/>
    <col min="63" max="64" width="11.42578125" style="2"/>
    <col min="65" max="65" width="14.140625" style="2" customWidth="1"/>
    <col min="66" max="66" width="12.7109375" style="2" customWidth="1"/>
    <col min="67" max="67" width="21" style="2" customWidth="1"/>
    <col min="68" max="68" width="11.42578125" style="2"/>
    <col min="69" max="69" width="18.28515625" style="2" customWidth="1"/>
    <col min="70" max="70" width="11.42578125" style="2"/>
    <col min="71" max="71" width="16.140625" style="2" customWidth="1"/>
    <col min="72" max="72" width="19.5703125" style="2" customWidth="1"/>
    <col min="73" max="73" width="11.42578125" style="2"/>
    <col min="74" max="74" width="13.5703125" style="2" customWidth="1"/>
    <col min="75" max="75" width="11.42578125" style="2"/>
    <col min="76" max="76" width="14" style="2" customWidth="1"/>
    <col min="77" max="77" width="18.42578125" style="2" customWidth="1"/>
    <col min="78" max="78" width="23.85546875" style="2" customWidth="1"/>
    <col min="79" max="81" width="11.42578125" style="2"/>
    <col min="82" max="82" width="15.7109375" style="2" customWidth="1"/>
    <col min="83" max="84" width="11.42578125" style="2"/>
    <col min="85" max="85" width="13.42578125" style="2" customWidth="1"/>
    <col min="86" max="86" width="11.42578125" style="2"/>
    <col min="87" max="87" width="17.7109375" style="2" customWidth="1"/>
    <col min="88" max="16384" width="11.42578125" style="2"/>
  </cols>
  <sheetData>
    <row r="1" spans="1:88"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941</v>
      </c>
    </row>
    <row r="2" spans="1:88" ht="409.5" hidden="1" x14ac:dyDescent="0.25">
      <c r="A2" s="2" t="s">
        <v>405</v>
      </c>
      <c r="B2" s="2" t="s">
        <v>88</v>
      </c>
      <c r="D2" s="2" t="s">
        <v>406</v>
      </c>
      <c r="E2" s="2" t="s">
        <v>407</v>
      </c>
      <c r="K2" s="2" t="s">
        <v>408</v>
      </c>
      <c r="M2" s="4">
        <v>46258.849247685182</v>
      </c>
      <c r="N2" s="4">
        <v>46258.858877314815</v>
      </c>
      <c r="AC2" s="2" t="s">
        <v>97</v>
      </c>
      <c r="AH2" s="2" t="s">
        <v>163</v>
      </c>
      <c r="AL2" s="2" t="s">
        <v>409</v>
      </c>
      <c r="AN2" s="2" t="s">
        <v>410</v>
      </c>
      <c r="CJ2" s="2" t="str">
        <f>IF(ISERROR(_xlfn.XLOOKUP(Tabla_papers[[#This Row],[Key]],Primer_filtro[Key],Primer_filtro[Key])),"FALTA","YA ESTÁ")</f>
        <v>YA ESTÁ</v>
      </c>
    </row>
    <row r="3" spans="1:88" ht="105" hidden="1" x14ac:dyDescent="0.25">
      <c r="A3" s="2" t="s">
        <v>225</v>
      </c>
      <c r="B3" s="2" t="s">
        <v>126</v>
      </c>
      <c r="C3" s="2">
        <v>1989</v>
      </c>
      <c r="D3" s="2" t="s">
        <v>226</v>
      </c>
      <c r="E3" s="2" t="s">
        <v>227</v>
      </c>
      <c r="F3" s="2" t="s">
        <v>228</v>
      </c>
      <c r="I3" s="2" t="s">
        <v>229</v>
      </c>
      <c r="J3" s="2" t="s">
        <v>230</v>
      </c>
      <c r="L3" s="2" t="s">
        <v>231</v>
      </c>
      <c r="M3" s="4">
        <v>46257.902141203704</v>
      </c>
      <c r="N3" s="4">
        <v>46257.917569444442</v>
      </c>
      <c r="O3" s="4">
        <v>46257.902129629627</v>
      </c>
      <c r="P3" s="2" t="s">
        <v>232</v>
      </c>
      <c r="AA3" s="2" t="s">
        <v>133</v>
      </c>
      <c r="AB3" s="2" t="s">
        <v>233</v>
      </c>
      <c r="AH3" s="2" t="s">
        <v>99</v>
      </c>
      <c r="AL3" s="2" t="s">
        <v>234</v>
      </c>
      <c r="AN3" s="2" t="s">
        <v>235</v>
      </c>
      <c r="BT3" s="2" t="s">
        <v>228</v>
      </c>
      <c r="CJ3" s="2" t="str">
        <f>IF(ISERROR(_xlfn.XLOOKUP(Tabla_papers[[#This Row],[Key]],Primer_filtro[Key],Primer_filtro[Key])),"FALTA","YA ESTÁ")</f>
        <v>YA ESTÁ</v>
      </c>
    </row>
    <row r="4" spans="1:88" ht="180" hidden="1" x14ac:dyDescent="0.25">
      <c r="A4" s="2" t="s">
        <v>369</v>
      </c>
      <c r="B4" s="2" t="s">
        <v>88</v>
      </c>
      <c r="C4" s="2">
        <v>2006</v>
      </c>
      <c r="D4" s="2" t="s">
        <v>370</v>
      </c>
      <c r="E4" s="2" t="s">
        <v>371</v>
      </c>
      <c r="F4" s="2" t="s">
        <v>115</v>
      </c>
      <c r="H4" s="2" t="s">
        <v>372</v>
      </c>
      <c r="I4" s="2" t="s">
        <v>373</v>
      </c>
      <c r="J4" s="2" t="s">
        <v>374</v>
      </c>
      <c r="L4" s="2" t="s">
        <v>375</v>
      </c>
      <c r="M4" s="4">
        <v>46258.649189814816</v>
      </c>
      <c r="N4" s="4">
        <v>46258.845231481479</v>
      </c>
      <c r="O4" s="4">
        <v>46258.649189814816</v>
      </c>
      <c r="P4" s="2" t="s">
        <v>376</v>
      </c>
      <c r="R4" s="2">
        <v>2</v>
      </c>
      <c r="S4" s="2">
        <v>53</v>
      </c>
      <c r="U4" s="2" t="s">
        <v>121</v>
      </c>
      <c r="AD4" s="2" t="s">
        <v>122</v>
      </c>
      <c r="AH4" s="2" t="s">
        <v>99</v>
      </c>
      <c r="AL4" s="2" t="s">
        <v>377</v>
      </c>
      <c r="AN4" s="2" t="s">
        <v>378</v>
      </c>
      <c r="CJ4" s="2" t="str">
        <f>IF(ISERROR(_xlfn.XLOOKUP(Tabla_papers[[#This Row],[Key]],Primer_filtro[Key],Primer_filtro[Key])),"FALTA","YA ESTÁ")</f>
        <v>YA ESTÁ</v>
      </c>
    </row>
    <row r="5" spans="1:88" ht="225" hidden="1" x14ac:dyDescent="0.25">
      <c r="A5" s="2" t="s">
        <v>112</v>
      </c>
      <c r="B5" s="2" t="s">
        <v>88</v>
      </c>
      <c r="C5" s="2">
        <v>2021</v>
      </c>
      <c r="D5" s="2" t="s">
        <v>113</v>
      </c>
      <c r="E5" s="2" t="s">
        <v>114</v>
      </c>
      <c r="F5" s="2" t="s">
        <v>115</v>
      </c>
      <c r="H5" s="2" t="s">
        <v>116</v>
      </c>
      <c r="I5" s="2" t="s">
        <v>117</v>
      </c>
      <c r="J5" s="2" t="s">
        <v>118</v>
      </c>
      <c r="L5" s="2" t="s">
        <v>119</v>
      </c>
      <c r="M5" s="4">
        <v>46257.90152777778</v>
      </c>
      <c r="N5" s="4">
        <v>46257.929930555554</v>
      </c>
      <c r="O5" s="4">
        <v>46257.90152777778</v>
      </c>
      <c r="P5" s="2" t="s">
        <v>120</v>
      </c>
      <c r="R5" s="2">
        <v>1</v>
      </c>
      <c r="S5" s="2">
        <v>68</v>
      </c>
      <c r="U5" s="2" t="s">
        <v>121</v>
      </c>
      <c r="AD5" s="2" t="s">
        <v>122</v>
      </c>
      <c r="AH5" s="2" t="s">
        <v>99</v>
      </c>
      <c r="AL5" s="2" t="s">
        <v>123</v>
      </c>
      <c r="AN5" s="2" t="s">
        <v>124</v>
      </c>
      <c r="CJ5" s="2" t="str">
        <f>IF(ISERROR(_xlfn.XLOOKUP(Tabla_papers[[#This Row],[Key]],Primer_filtro[Key],Primer_filtro[Key])),"FALTA","YA ESTÁ")</f>
        <v>YA ESTÁ</v>
      </c>
    </row>
    <row r="6" spans="1:88" ht="165" hidden="1" x14ac:dyDescent="0.25">
      <c r="A6" s="2" t="s">
        <v>318</v>
      </c>
      <c r="B6" s="2" t="s">
        <v>88</v>
      </c>
      <c r="C6" s="2">
        <v>2016</v>
      </c>
      <c r="D6" s="2" t="s">
        <v>319</v>
      </c>
      <c r="E6" s="2" t="s">
        <v>320</v>
      </c>
      <c r="F6" s="2" t="s">
        <v>115</v>
      </c>
      <c r="H6" s="2" t="s">
        <v>116</v>
      </c>
      <c r="I6" s="2" t="s">
        <v>321</v>
      </c>
      <c r="J6" s="2" t="s">
        <v>322</v>
      </c>
      <c r="L6" s="2" t="s">
        <v>323</v>
      </c>
      <c r="M6" s="4">
        <v>46258.637569444443</v>
      </c>
      <c r="N6" s="4">
        <v>46258.638831018521</v>
      </c>
      <c r="O6" s="4">
        <v>46258.637569444443</v>
      </c>
      <c r="P6" s="2" t="s">
        <v>324</v>
      </c>
      <c r="R6" s="2">
        <v>7</v>
      </c>
      <c r="S6" s="2">
        <v>63</v>
      </c>
      <c r="U6" s="2" t="s">
        <v>121</v>
      </c>
      <c r="AD6" s="2" t="s">
        <v>122</v>
      </c>
      <c r="AH6" s="2" t="s">
        <v>99</v>
      </c>
      <c r="AL6" s="2" t="s">
        <v>325</v>
      </c>
      <c r="AN6" s="2" t="s">
        <v>326</v>
      </c>
      <c r="CJ6" s="2" t="str">
        <f>IF(ISERROR(_xlfn.XLOOKUP(Tabla_papers[[#This Row],[Key]],Primer_filtro[Key],Primer_filtro[Key])),"FALTA","YA ESTÁ")</f>
        <v>YA ESTÁ</v>
      </c>
    </row>
    <row r="7" spans="1:88" ht="180" hidden="1" x14ac:dyDescent="0.25">
      <c r="A7" s="2" t="s">
        <v>214</v>
      </c>
      <c r="B7" s="2" t="s">
        <v>126</v>
      </c>
      <c r="C7" s="2">
        <v>2024</v>
      </c>
      <c r="D7" s="2" t="s">
        <v>215</v>
      </c>
      <c r="E7" s="2" t="s">
        <v>216</v>
      </c>
      <c r="F7" s="2" t="s">
        <v>217</v>
      </c>
      <c r="G7" s="2" t="s">
        <v>218</v>
      </c>
      <c r="I7" s="2" t="s">
        <v>219</v>
      </c>
      <c r="J7" s="2" t="s">
        <v>220</v>
      </c>
      <c r="L7" s="5">
        <v>45429</v>
      </c>
      <c r="M7" s="4">
        <v>46257.902071759258</v>
      </c>
      <c r="N7" s="4">
        <v>46257.915439814817</v>
      </c>
      <c r="O7" s="4">
        <v>46257.902071759258</v>
      </c>
      <c r="P7" s="2" t="s">
        <v>221</v>
      </c>
      <c r="AA7" s="2" t="s">
        <v>133</v>
      </c>
      <c r="AB7" s="2" t="s">
        <v>222</v>
      </c>
      <c r="AD7" s="2" t="s">
        <v>135</v>
      </c>
      <c r="AH7" s="2" t="s">
        <v>99</v>
      </c>
      <c r="AL7" s="2" t="s">
        <v>223</v>
      </c>
      <c r="AN7" s="2" t="s">
        <v>224</v>
      </c>
      <c r="BT7" s="2" t="s">
        <v>217</v>
      </c>
      <c r="CJ7" s="2" t="str">
        <f>IF(ISERROR(_xlfn.XLOOKUP(Tabla_papers[[#This Row],[Key]],Primer_filtro[Key],Primer_filtro[Key])),"FALTA","YA ESTÁ")</f>
        <v>YA ESTÁ</v>
      </c>
    </row>
    <row r="8" spans="1:88" ht="165" hidden="1" x14ac:dyDescent="0.25">
      <c r="A8" s="2" t="s">
        <v>445</v>
      </c>
      <c r="B8" s="2" t="s">
        <v>126</v>
      </c>
      <c r="C8" s="2">
        <v>2013</v>
      </c>
      <c r="D8" s="2" t="s">
        <v>446</v>
      </c>
      <c r="E8" s="2" t="s">
        <v>447</v>
      </c>
      <c r="F8" s="2" t="s">
        <v>448</v>
      </c>
      <c r="G8" s="2" t="s">
        <v>449</v>
      </c>
      <c r="I8" s="2" t="s">
        <v>450</v>
      </c>
      <c r="J8" s="2" t="s">
        <v>451</v>
      </c>
      <c r="L8" s="2" t="s">
        <v>452</v>
      </c>
      <c r="M8" s="4">
        <v>46258.849606481483</v>
      </c>
      <c r="N8" s="4">
        <v>46258.854386574072</v>
      </c>
      <c r="O8" s="4">
        <v>46258.849606481483</v>
      </c>
      <c r="P8" s="2" t="s">
        <v>453</v>
      </c>
      <c r="AA8" s="2" t="s">
        <v>133</v>
      </c>
      <c r="AB8" s="2" t="s">
        <v>454</v>
      </c>
      <c r="AH8" s="2" t="s">
        <v>99</v>
      </c>
      <c r="AL8" s="2" t="s">
        <v>455</v>
      </c>
      <c r="AN8" s="2" t="s">
        <v>293</v>
      </c>
      <c r="BT8" s="2" t="s">
        <v>456</v>
      </c>
      <c r="CJ8" s="2" t="str">
        <f>IF(ISERROR(_xlfn.XLOOKUP(Tabla_papers[[#This Row],[Key]],Primer_filtro[Key],Primer_filtro[Key])),"FALTA","YA ESTÁ")</f>
        <v>YA ESTÁ</v>
      </c>
    </row>
    <row r="9" spans="1:88" ht="120" hidden="1" x14ac:dyDescent="0.25">
      <c r="A9" s="2" t="s">
        <v>160</v>
      </c>
      <c r="B9" s="2" t="s">
        <v>88</v>
      </c>
      <c r="D9" s="2" t="s">
        <v>161</v>
      </c>
      <c r="E9" s="2" t="s">
        <v>162</v>
      </c>
      <c r="M9" s="4">
        <v>46257.901736111111</v>
      </c>
      <c r="N9" s="4">
        <v>46257.925219907411</v>
      </c>
      <c r="AC9" s="2" t="s">
        <v>97</v>
      </c>
      <c r="AH9" s="2" t="s">
        <v>163</v>
      </c>
      <c r="AL9" s="2" t="s">
        <v>164</v>
      </c>
      <c r="AN9" s="2" t="s">
        <v>101</v>
      </c>
      <c r="CJ9" s="2" t="str">
        <f>IF(ISERROR(_xlfn.XLOOKUP(Tabla_papers[[#This Row],[Key]],Primer_filtro[Key],Primer_filtro[Key])),"FALTA","YA ESTÁ")</f>
        <v>YA ESTÁ</v>
      </c>
    </row>
    <row r="10" spans="1:88" ht="105" hidden="1" x14ac:dyDescent="0.25">
      <c r="A10" s="2" t="s">
        <v>400</v>
      </c>
      <c r="B10" s="2" t="s">
        <v>88</v>
      </c>
      <c r="D10" s="2" t="s">
        <v>401</v>
      </c>
      <c r="E10" s="2" t="s">
        <v>402</v>
      </c>
      <c r="M10" s="4">
        <v>46258.849178240744</v>
      </c>
      <c r="N10" s="4">
        <v>46258.861354166664</v>
      </c>
      <c r="AC10" s="2" t="s">
        <v>97</v>
      </c>
      <c r="AH10" s="2" t="s">
        <v>163</v>
      </c>
      <c r="AL10" s="2" t="s">
        <v>403</v>
      </c>
      <c r="AN10" s="2" t="s">
        <v>404</v>
      </c>
      <c r="CJ10" s="2" t="str">
        <f>IF(ISERROR(_xlfn.XLOOKUP(Tabla_papers[[#This Row],[Key]],Primer_filtro[Key],Primer_filtro[Key])),"FALTA","YA ESTÁ")</f>
        <v>YA ESTÁ</v>
      </c>
    </row>
    <row r="11" spans="1:88" ht="150" hidden="1" x14ac:dyDescent="0.25">
      <c r="A11" s="2" t="s">
        <v>350</v>
      </c>
      <c r="B11" s="2" t="s">
        <v>88</v>
      </c>
      <c r="C11" s="2">
        <v>2019</v>
      </c>
      <c r="D11" s="2" t="s">
        <v>351</v>
      </c>
      <c r="E11" s="2" t="s">
        <v>352</v>
      </c>
      <c r="F11" s="2" t="s">
        <v>115</v>
      </c>
      <c r="H11" s="2" t="s">
        <v>116</v>
      </c>
      <c r="I11" s="2" t="s">
        <v>353</v>
      </c>
      <c r="J11" s="2" t="s">
        <v>354</v>
      </c>
      <c r="L11" s="2" t="s">
        <v>355</v>
      </c>
      <c r="M11" s="4">
        <v>46258.639074074075</v>
      </c>
      <c r="N11" s="4">
        <v>46258.647997685184</v>
      </c>
      <c r="O11" s="4">
        <v>46258.639074074075</v>
      </c>
      <c r="P11" s="2" t="s">
        <v>356</v>
      </c>
      <c r="R11" s="2">
        <v>4</v>
      </c>
      <c r="S11" s="2">
        <v>66</v>
      </c>
      <c r="U11" s="2" t="s">
        <v>121</v>
      </c>
      <c r="AD11" s="2" t="s">
        <v>122</v>
      </c>
      <c r="AH11" s="2" t="s">
        <v>99</v>
      </c>
      <c r="AL11" s="2" t="s">
        <v>357</v>
      </c>
      <c r="AN11" s="2" t="s">
        <v>358</v>
      </c>
      <c r="CJ11" s="2" t="str">
        <f>IF(ISERROR(_xlfn.XLOOKUP(Tabla_papers[[#This Row],[Key]],Primer_filtro[Key],Primer_filtro[Key])),"FALTA","YA ESTÁ")</f>
        <v>YA ESTÁ</v>
      </c>
    </row>
    <row r="12" spans="1:88" ht="150" hidden="1" x14ac:dyDescent="0.25">
      <c r="A12" s="2" t="s">
        <v>485</v>
      </c>
      <c r="B12" s="2" t="s">
        <v>126</v>
      </c>
      <c r="C12" s="2">
        <v>2016</v>
      </c>
      <c r="D12" s="2" t="s">
        <v>486</v>
      </c>
      <c r="E12" s="2" t="s">
        <v>487</v>
      </c>
      <c r="F12" s="2" t="s">
        <v>488</v>
      </c>
      <c r="G12" s="2" t="s">
        <v>489</v>
      </c>
      <c r="I12" s="2" t="s">
        <v>490</v>
      </c>
      <c r="J12" s="2" t="s">
        <v>491</v>
      </c>
      <c r="L12" s="2" t="s">
        <v>492</v>
      </c>
      <c r="M12" s="4">
        <v>46258.850057870368</v>
      </c>
      <c r="N12" s="4">
        <v>46258.856874999998</v>
      </c>
      <c r="O12" s="4">
        <v>46258.850057870368</v>
      </c>
      <c r="P12" s="2" t="s">
        <v>493</v>
      </c>
      <c r="AA12" s="2" t="s">
        <v>133</v>
      </c>
      <c r="AB12" s="2" t="s">
        <v>494</v>
      </c>
      <c r="AH12" s="2" t="s">
        <v>99</v>
      </c>
      <c r="AL12" s="2" t="s">
        <v>495</v>
      </c>
      <c r="AN12" s="2" t="s">
        <v>444</v>
      </c>
      <c r="BT12" s="2" t="s">
        <v>488</v>
      </c>
      <c r="CJ12" s="2" t="str">
        <f>IF(ISERROR(_xlfn.XLOOKUP(Tabla_papers[[#This Row],[Key]],Primer_filtro[Key],Primer_filtro[Key])),"FALTA","YA ESTÁ")</f>
        <v>YA ESTÁ</v>
      </c>
    </row>
    <row r="13" spans="1:88" ht="165" hidden="1" x14ac:dyDescent="0.25">
      <c r="A13" s="2" t="s">
        <v>249</v>
      </c>
      <c r="B13" s="2" t="s">
        <v>126</v>
      </c>
      <c r="C13" s="2">
        <v>2016</v>
      </c>
      <c r="D13" s="2" t="s">
        <v>250</v>
      </c>
      <c r="E13" s="2" t="s">
        <v>251</v>
      </c>
      <c r="F13" s="2" t="s">
        <v>252</v>
      </c>
      <c r="G13" s="2" t="s">
        <v>253</v>
      </c>
      <c r="I13" s="2" t="s">
        <v>254</v>
      </c>
      <c r="J13" s="2" t="s">
        <v>255</v>
      </c>
      <c r="L13" s="2" t="s">
        <v>256</v>
      </c>
      <c r="M13" s="4">
        <v>46257.902256944442</v>
      </c>
      <c r="N13" s="4">
        <v>46257.917442129627</v>
      </c>
      <c r="O13" s="4">
        <v>46257.902256944442</v>
      </c>
      <c r="P13" s="6">
        <v>46143</v>
      </c>
      <c r="AA13" s="2" t="s">
        <v>133</v>
      </c>
      <c r="AB13" s="2" t="s">
        <v>257</v>
      </c>
      <c r="AH13" s="2" t="s">
        <v>99</v>
      </c>
      <c r="AL13" s="2" t="s">
        <v>258</v>
      </c>
      <c r="AN13" s="2" t="s">
        <v>235</v>
      </c>
      <c r="BT13" s="2" t="s">
        <v>252</v>
      </c>
      <c r="CJ13" s="2" t="str">
        <f>IF(ISERROR(_xlfn.XLOOKUP(Tabla_papers[[#This Row],[Key]],Primer_filtro[Key],Primer_filtro[Key])),"FALTA","YA ESTÁ")</f>
        <v>YA ESTÁ</v>
      </c>
    </row>
    <row r="14" spans="1:88" ht="180" hidden="1" x14ac:dyDescent="0.25">
      <c r="A14" s="2" t="s">
        <v>327</v>
      </c>
      <c r="B14" s="2" t="s">
        <v>126</v>
      </c>
      <c r="C14" s="2">
        <v>2025</v>
      </c>
      <c r="D14" s="2" t="s">
        <v>328</v>
      </c>
      <c r="E14" s="2" t="s">
        <v>329</v>
      </c>
      <c r="F14" s="2" t="s">
        <v>330</v>
      </c>
      <c r="G14" s="2" t="s">
        <v>331</v>
      </c>
      <c r="I14" s="2" t="s">
        <v>332</v>
      </c>
      <c r="J14" s="2" t="s">
        <v>333</v>
      </c>
      <c r="L14" s="5">
        <v>45819</v>
      </c>
      <c r="M14" s="4">
        <v>46258.637627314813</v>
      </c>
      <c r="N14" s="4">
        <v>46258.638101851851</v>
      </c>
      <c r="O14" s="4">
        <v>46258.637627314813</v>
      </c>
      <c r="P14" s="2" t="s">
        <v>334</v>
      </c>
      <c r="AA14" s="2" t="s">
        <v>133</v>
      </c>
      <c r="AB14" s="2" t="s">
        <v>335</v>
      </c>
      <c r="AD14" s="2" t="s">
        <v>135</v>
      </c>
      <c r="AH14" s="2" t="s">
        <v>99</v>
      </c>
      <c r="AL14" s="2" t="s">
        <v>336</v>
      </c>
      <c r="AN14" s="2" t="s">
        <v>337</v>
      </c>
      <c r="BT14" s="2" t="s">
        <v>330</v>
      </c>
      <c r="CJ14" s="2" t="str">
        <f>IF(ISERROR(_xlfn.XLOOKUP(Tabla_papers[[#This Row],[Key]],Primer_filtro[Key],Primer_filtro[Key])),"FALTA","YA ESTÁ")</f>
        <v>YA ESTÁ</v>
      </c>
    </row>
    <row r="15" spans="1:88" ht="150" hidden="1" x14ac:dyDescent="0.25">
      <c r="A15" s="2" t="s">
        <v>236</v>
      </c>
      <c r="B15" s="2" t="s">
        <v>88</v>
      </c>
      <c r="E15" s="2" t="s">
        <v>237</v>
      </c>
      <c r="M15" s="4">
        <v>46257.90216435185</v>
      </c>
      <c r="N15" s="4">
        <v>46257.918634259258</v>
      </c>
      <c r="AH15" s="2" t="s">
        <v>163</v>
      </c>
      <c r="AL15" s="2" t="s">
        <v>238</v>
      </c>
      <c r="AN15" s="2" t="s">
        <v>101</v>
      </c>
      <c r="CJ15" s="2" t="str">
        <f>IF(ISERROR(_xlfn.XLOOKUP(Tabla_papers[[#This Row],[Key]],Primer_filtro[Key],Primer_filtro[Key])),"FALTA","YA ESTÁ")</f>
        <v>YA ESTÁ</v>
      </c>
    </row>
    <row r="16" spans="1:88" ht="180" hidden="1" x14ac:dyDescent="0.25">
      <c r="A16" s="2" t="s">
        <v>102</v>
      </c>
      <c r="B16" s="2" t="s">
        <v>103</v>
      </c>
      <c r="C16" s="2">
        <v>2014</v>
      </c>
      <c r="D16" s="2" t="s">
        <v>104</v>
      </c>
      <c r="E16" s="2" t="s">
        <v>105</v>
      </c>
      <c r="I16" s="2" t="s">
        <v>106</v>
      </c>
      <c r="J16" s="2" t="s">
        <v>107</v>
      </c>
      <c r="L16" s="5">
        <v>41929</v>
      </c>
      <c r="M16" s="4">
        <v>46257.901469907411</v>
      </c>
      <c r="N16" s="4">
        <v>46257.921446759261</v>
      </c>
      <c r="O16" s="4">
        <v>46257.901469907411</v>
      </c>
      <c r="AA16" s="2" t="s">
        <v>108</v>
      </c>
      <c r="AE16" s="2" t="s">
        <v>109</v>
      </c>
      <c r="AH16" s="2" t="s">
        <v>99</v>
      </c>
      <c r="AL16" s="2" t="s">
        <v>110</v>
      </c>
      <c r="AN16" s="2" t="s">
        <v>111</v>
      </c>
      <c r="CJ16" s="2" t="str">
        <f>IF(ISERROR(_xlfn.XLOOKUP(Tabla_papers[[#This Row],[Key]],Primer_filtro[Key],Primer_filtro[Key])),"FALTA","YA ESTÁ")</f>
        <v>YA ESTÁ</v>
      </c>
    </row>
    <row r="17" spans="1:88" ht="30" hidden="1" x14ac:dyDescent="0.25">
      <c r="A17" s="2" t="s">
        <v>259</v>
      </c>
      <c r="B17" s="2" t="s">
        <v>88</v>
      </c>
      <c r="E17" s="2" t="s">
        <v>260</v>
      </c>
      <c r="M17" s="4">
        <v>46257.904942129629</v>
      </c>
      <c r="N17" s="4">
        <v>46258.611840277779</v>
      </c>
      <c r="AN17" s="2" t="s">
        <v>261</v>
      </c>
      <c r="CJ17" s="2" t="str">
        <f>IF(ISERROR(_xlfn.XLOOKUP(Tabla_papers[[#This Row],[Key]],Primer_filtro[Key],Primer_filtro[Key])),"FALTA","YA ESTÁ")</f>
        <v>YA ESTÁ</v>
      </c>
    </row>
    <row r="18" spans="1:88" ht="135" hidden="1" x14ac:dyDescent="0.25">
      <c r="A18" s="2" t="s">
        <v>125</v>
      </c>
      <c r="B18" s="2" t="s">
        <v>126</v>
      </c>
      <c r="C18" s="2">
        <v>2022</v>
      </c>
      <c r="D18" s="2" t="s">
        <v>127</v>
      </c>
      <c r="E18" s="2" t="s">
        <v>128</v>
      </c>
      <c r="F18" s="2" t="s">
        <v>129</v>
      </c>
      <c r="G18" s="2" t="s">
        <v>130</v>
      </c>
      <c r="I18" s="2" t="s">
        <v>131</v>
      </c>
      <c r="J18" s="2" t="s">
        <v>132</v>
      </c>
      <c r="L18" s="5">
        <v>44860</v>
      </c>
      <c r="M18" s="4">
        <v>46257.901574074072</v>
      </c>
      <c r="N18" s="4">
        <v>46257.93273148148</v>
      </c>
      <c r="O18" s="4">
        <v>46257.901574074072</v>
      </c>
      <c r="P18" s="6">
        <v>46174</v>
      </c>
      <c r="AA18" s="2" t="s">
        <v>133</v>
      </c>
      <c r="AB18" s="2" t="s">
        <v>134</v>
      </c>
      <c r="AD18" s="2" t="s">
        <v>135</v>
      </c>
      <c r="AH18" s="2" t="s">
        <v>99</v>
      </c>
      <c r="AL18" s="2" t="s">
        <v>136</v>
      </c>
      <c r="AN18" s="2" t="s">
        <v>137</v>
      </c>
      <c r="BT18" s="2" t="s">
        <v>129</v>
      </c>
      <c r="CJ18" s="2" t="str">
        <f>IF(ISERROR(_xlfn.XLOOKUP(Tabla_papers[[#This Row],[Key]],Primer_filtro[Key],Primer_filtro[Key])),"FALTA","YA ESTÁ")</f>
        <v>YA ESTÁ</v>
      </c>
    </row>
    <row r="19" spans="1:88" ht="135" hidden="1" x14ac:dyDescent="0.25">
      <c r="A19" s="2" t="s">
        <v>390</v>
      </c>
      <c r="B19" s="2" t="s">
        <v>126</v>
      </c>
      <c r="C19" s="2">
        <v>2026</v>
      </c>
      <c r="D19" s="2" t="s">
        <v>391</v>
      </c>
      <c r="E19" s="2" t="s">
        <v>392</v>
      </c>
      <c r="F19" s="2" t="s">
        <v>393</v>
      </c>
      <c r="G19" s="2" t="s">
        <v>394</v>
      </c>
      <c r="I19" s="2" t="s">
        <v>395</v>
      </c>
      <c r="J19" s="2" t="s">
        <v>396</v>
      </c>
      <c r="L19" s="5">
        <v>46125</v>
      </c>
      <c r="M19" s="4">
        <v>46258.846030092594</v>
      </c>
      <c r="N19" s="4">
        <v>46258.846388888887</v>
      </c>
      <c r="O19" s="4">
        <v>46258.846030092594</v>
      </c>
      <c r="P19" s="6">
        <v>46054</v>
      </c>
      <c r="AA19" s="2" t="s">
        <v>133</v>
      </c>
      <c r="AB19" s="2" t="s">
        <v>397</v>
      </c>
      <c r="AD19" s="2" t="s">
        <v>135</v>
      </c>
      <c r="AH19" s="2" t="s">
        <v>99</v>
      </c>
      <c r="AL19" s="2" t="s">
        <v>398</v>
      </c>
      <c r="AN19" s="2" t="s">
        <v>399</v>
      </c>
      <c r="BT19" s="2" t="s">
        <v>393</v>
      </c>
      <c r="CJ19" s="2" t="str">
        <f>IF(ISERROR(_xlfn.XLOOKUP(Tabla_papers[[#This Row],[Key]],Primer_filtro[Key],Primer_filtro[Key])),"FALTA","YA ESTÁ")</f>
        <v>YA ESTÁ</v>
      </c>
    </row>
    <row r="20" spans="1:88" ht="150" hidden="1" x14ac:dyDescent="0.25">
      <c r="A20" s="2" t="s">
        <v>165</v>
      </c>
      <c r="B20" s="2" t="s">
        <v>126</v>
      </c>
      <c r="C20" s="2">
        <v>2007</v>
      </c>
      <c r="D20" s="2" t="s">
        <v>166</v>
      </c>
      <c r="E20" s="2" t="s">
        <v>167</v>
      </c>
      <c r="F20" s="2" t="s">
        <v>168</v>
      </c>
      <c r="G20" s="2" t="s">
        <v>169</v>
      </c>
      <c r="I20" s="2" t="s">
        <v>170</v>
      </c>
      <c r="J20" s="2" t="s">
        <v>171</v>
      </c>
      <c r="L20" s="2" t="s">
        <v>172</v>
      </c>
      <c r="M20" s="4">
        <v>46257.90179398148</v>
      </c>
      <c r="N20" s="4">
        <v>46257.929259259261</v>
      </c>
      <c r="O20" s="4">
        <v>46257.90179398148</v>
      </c>
      <c r="P20" s="2" t="s">
        <v>173</v>
      </c>
      <c r="AA20" s="2" t="s">
        <v>133</v>
      </c>
      <c r="AB20" s="2" t="s">
        <v>174</v>
      </c>
      <c r="AH20" s="2" t="s">
        <v>99</v>
      </c>
      <c r="AL20" s="2" t="s">
        <v>175</v>
      </c>
      <c r="AN20" s="2" t="s">
        <v>101</v>
      </c>
      <c r="BT20" s="2" t="s">
        <v>176</v>
      </c>
      <c r="CJ20" s="2" t="str">
        <f>IF(ISERROR(_xlfn.XLOOKUP(Tabla_papers[[#This Row],[Key]],Primer_filtro[Key],Primer_filtro[Key])),"FALTA","YA ESTÁ")</f>
        <v>YA ESTÁ</v>
      </c>
    </row>
    <row r="21" spans="1:88" ht="240" hidden="1" x14ac:dyDescent="0.25">
      <c r="A21" s="2" t="s">
        <v>496</v>
      </c>
      <c r="B21" s="2" t="s">
        <v>88</v>
      </c>
      <c r="C21" s="2">
        <v>2015</v>
      </c>
      <c r="D21" s="2" t="s">
        <v>497</v>
      </c>
      <c r="E21" s="2" t="s">
        <v>498</v>
      </c>
      <c r="F21" s="2" t="s">
        <v>499</v>
      </c>
      <c r="H21" s="2" t="s">
        <v>500</v>
      </c>
      <c r="I21" s="2" t="s">
        <v>501</v>
      </c>
      <c r="J21" s="2" t="s">
        <v>502</v>
      </c>
      <c r="L21" s="2" t="s">
        <v>503</v>
      </c>
      <c r="M21" s="4">
        <v>46258.850173611114</v>
      </c>
      <c r="N21" s="4">
        <v>46258.853460648148</v>
      </c>
      <c r="O21" s="4">
        <v>46258.850162037037</v>
      </c>
      <c r="P21" s="2" t="s">
        <v>504</v>
      </c>
      <c r="R21" s="2">
        <v>8</v>
      </c>
      <c r="S21" s="2">
        <v>30</v>
      </c>
      <c r="U21" s="2" t="s">
        <v>505</v>
      </c>
      <c r="AD21" s="2" t="s">
        <v>122</v>
      </c>
      <c r="AH21" s="2" t="s">
        <v>99</v>
      </c>
      <c r="AL21" s="2" t="s">
        <v>506</v>
      </c>
      <c r="AN21" s="2" t="s">
        <v>507</v>
      </c>
      <c r="CJ21" s="2" t="str">
        <f>IF(ISERROR(_xlfn.XLOOKUP(Tabla_papers[[#This Row],[Key]],Primer_filtro[Key],Primer_filtro[Key])),"FALTA","YA ESTÁ")</f>
        <v>YA ESTÁ</v>
      </c>
    </row>
    <row r="22" spans="1:88" ht="195" hidden="1" x14ac:dyDescent="0.25">
      <c r="A22" s="2" t="s">
        <v>338</v>
      </c>
      <c r="B22" s="2" t="s">
        <v>88</v>
      </c>
      <c r="C22" s="2">
        <v>2019</v>
      </c>
      <c r="D22" s="2" t="s">
        <v>339</v>
      </c>
      <c r="E22" s="2" t="s">
        <v>340</v>
      </c>
      <c r="F22" s="2" t="s">
        <v>341</v>
      </c>
      <c r="H22" s="2" t="s">
        <v>342</v>
      </c>
      <c r="I22" s="2" t="s">
        <v>343</v>
      </c>
      <c r="J22" s="2" t="s">
        <v>344</v>
      </c>
      <c r="L22" s="2" t="s">
        <v>345</v>
      </c>
      <c r="M22" s="4">
        <v>46258.639016203706</v>
      </c>
      <c r="N22" s="4">
        <v>46258.647268518522</v>
      </c>
      <c r="O22" s="4">
        <v>46258.639016203706</v>
      </c>
      <c r="P22" s="2" t="s">
        <v>346</v>
      </c>
      <c r="R22" s="2">
        <v>4</v>
      </c>
      <c r="S22" s="2">
        <v>27</v>
      </c>
      <c r="U22" s="2" t="s">
        <v>347</v>
      </c>
      <c r="AD22" s="2" t="s">
        <v>122</v>
      </c>
      <c r="AH22" s="2" t="s">
        <v>99</v>
      </c>
      <c r="AL22" s="2" t="s">
        <v>348</v>
      </c>
      <c r="AN22" s="2" t="s">
        <v>349</v>
      </c>
      <c r="CJ22" s="2" t="str">
        <f>IF(ISERROR(_xlfn.XLOOKUP(Tabla_papers[[#This Row],[Key]],Primer_filtro[Key],Primer_filtro[Key])),"FALTA","YA ESTÁ")</f>
        <v>YA ESTÁ</v>
      </c>
    </row>
    <row r="23" spans="1:88" ht="409.5" hidden="1" x14ac:dyDescent="0.25">
      <c r="A23" s="2" t="s">
        <v>476</v>
      </c>
      <c r="B23" s="2" t="s">
        <v>88</v>
      </c>
      <c r="C23" s="2">
        <v>2022</v>
      </c>
      <c r="D23" s="2" t="s">
        <v>477</v>
      </c>
      <c r="E23" s="2" t="s">
        <v>478</v>
      </c>
      <c r="F23" s="2" t="s">
        <v>479</v>
      </c>
      <c r="H23" s="2" t="s">
        <v>480</v>
      </c>
      <c r="I23" s="2" t="s">
        <v>481</v>
      </c>
      <c r="J23" s="2" t="s">
        <v>482</v>
      </c>
      <c r="K23" s="2" t="s">
        <v>483</v>
      </c>
      <c r="L23" s="5">
        <v>44694</v>
      </c>
      <c r="M23" s="4">
        <v>46258.849988425929</v>
      </c>
      <c r="N23" s="4">
        <v>46258.858275462961</v>
      </c>
      <c r="O23" s="4">
        <v>46258.849988425929</v>
      </c>
      <c r="P23" s="2">
        <v>4958</v>
      </c>
      <c r="R23" s="2">
        <v>10</v>
      </c>
      <c r="S23" s="2">
        <v>12</v>
      </c>
      <c r="U23" s="2" t="s">
        <v>479</v>
      </c>
      <c r="AC23" s="2" t="s">
        <v>97</v>
      </c>
      <c r="AH23" s="2" t="s">
        <v>99</v>
      </c>
      <c r="AL23" s="2" t="s">
        <v>484</v>
      </c>
      <c r="AN23" s="2" t="s">
        <v>444</v>
      </c>
      <c r="CJ23" s="2" t="str">
        <f>IF(ISERROR(_xlfn.XLOOKUP(Tabla_papers[[#This Row],[Key]],Primer_filtro[Key],Primer_filtro[Key])),"FALTA","YA ESTÁ")</f>
        <v>YA ESTÁ</v>
      </c>
    </row>
    <row r="24" spans="1:88" ht="409.5" hidden="1" x14ac:dyDescent="0.25">
      <c r="A24" s="2" t="s">
        <v>271</v>
      </c>
      <c r="B24" s="2" t="s">
        <v>126</v>
      </c>
      <c r="C24" s="2">
        <v>2017</v>
      </c>
      <c r="D24" s="2" t="s">
        <v>272</v>
      </c>
      <c r="E24" s="2" t="s">
        <v>273</v>
      </c>
      <c r="F24" s="2" t="s">
        <v>274</v>
      </c>
      <c r="G24" s="2" t="s">
        <v>275</v>
      </c>
      <c r="I24" s="2" t="s">
        <v>276</v>
      </c>
      <c r="J24" s="2" t="s">
        <v>277</v>
      </c>
      <c r="K24" s="2" t="s">
        <v>278</v>
      </c>
      <c r="L24" s="2" t="s">
        <v>279</v>
      </c>
      <c r="M24" s="4">
        <v>46258.612615740742</v>
      </c>
      <c r="N24" s="4">
        <v>46258.619039351855</v>
      </c>
      <c r="O24" s="4">
        <v>46258.612615740742</v>
      </c>
      <c r="P24" s="2" t="s">
        <v>280</v>
      </c>
      <c r="AA24" s="2" t="s">
        <v>133</v>
      </c>
      <c r="AB24" s="2" t="s">
        <v>281</v>
      </c>
      <c r="AH24" s="2" t="s">
        <v>99</v>
      </c>
      <c r="AL24" s="2" t="s">
        <v>282</v>
      </c>
      <c r="AN24" s="2" t="s">
        <v>235</v>
      </c>
      <c r="BT24" s="2" t="s">
        <v>274</v>
      </c>
      <c r="CJ24" s="2" t="str">
        <f>IF(ISERROR(_xlfn.XLOOKUP(Tabla_papers[[#This Row],[Key]],Primer_filtro[Key],Primer_filtro[Key])),"FALTA","YA ESTÁ")</f>
        <v>YA ESTÁ</v>
      </c>
    </row>
    <row r="25" spans="1:88" ht="255" hidden="1" x14ac:dyDescent="0.25">
      <c r="A25" s="2" t="s">
        <v>239</v>
      </c>
      <c r="B25" s="2" t="s">
        <v>126</v>
      </c>
      <c r="C25" s="2">
        <v>2023</v>
      </c>
      <c r="D25" s="2" t="s">
        <v>240</v>
      </c>
      <c r="E25" s="2" t="s">
        <v>241</v>
      </c>
      <c r="F25" s="2" t="s">
        <v>242</v>
      </c>
      <c r="G25" s="2" t="s">
        <v>243</v>
      </c>
      <c r="I25" s="2" t="s">
        <v>244</v>
      </c>
      <c r="J25" s="2" t="s">
        <v>245</v>
      </c>
      <c r="L25" s="5">
        <v>45210</v>
      </c>
      <c r="M25" s="4">
        <v>46257.902199074073</v>
      </c>
      <c r="N25" s="4">
        <v>46257.91815972222</v>
      </c>
      <c r="O25" s="4">
        <v>46257.902199074073</v>
      </c>
      <c r="P25" s="6">
        <v>46204</v>
      </c>
      <c r="AA25" s="2" t="s">
        <v>133</v>
      </c>
      <c r="AB25" s="2" t="s">
        <v>246</v>
      </c>
      <c r="AD25" s="2" t="s">
        <v>135</v>
      </c>
      <c r="AH25" s="2" t="s">
        <v>99</v>
      </c>
      <c r="AL25" s="2" t="s">
        <v>247</v>
      </c>
      <c r="AN25" s="2" t="s">
        <v>248</v>
      </c>
      <c r="BT25" s="2" t="s">
        <v>242</v>
      </c>
      <c r="CJ25" s="2" t="str">
        <f>IF(ISERROR(_xlfn.XLOOKUP(Tabla_papers[[#This Row],[Key]],Primer_filtro[Key],Primer_filtro[Key])),"FALTA","YA ESTÁ")</f>
        <v>YA ESTÁ</v>
      </c>
    </row>
    <row r="26" spans="1:88" ht="150" hidden="1" x14ac:dyDescent="0.25">
      <c r="A26" s="2" t="s">
        <v>423</v>
      </c>
      <c r="B26" s="2" t="s">
        <v>126</v>
      </c>
      <c r="C26" s="2">
        <v>2017</v>
      </c>
      <c r="D26" s="2" t="s">
        <v>424</v>
      </c>
      <c r="E26" s="2" t="s">
        <v>425</v>
      </c>
      <c r="F26" s="2" t="s">
        <v>426</v>
      </c>
      <c r="G26" s="2" t="s">
        <v>427</v>
      </c>
      <c r="I26" s="2" t="s">
        <v>428</v>
      </c>
      <c r="J26" s="2" t="s">
        <v>429</v>
      </c>
      <c r="L26" s="2" t="s">
        <v>430</v>
      </c>
      <c r="M26" s="4">
        <v>46258.849502314813</v>
      </c>
      <c r="N26" s="4">
        <v>46258.855324074073</v>
      </c>
      <c r="O26" s="4">
        <v>46258.849502314813</v>
      </c>
      <c r="P26" s="2" t="s">
        <v>431</v>
      </c>
      <c r="AA26" s="2" t="s">
        <v>133</v>
      </c>
      <c r="AB26" s="2" t="s">
        <v>432</v>
      </c>
      <c r="AH26" s="2" t="s">
        <v>99</v>
      </c>
      <c r="AL26" s="2" t="s">
        <v>433</v>
      </c>
      <c r="AN26" s="2" t="s">
        <v>404</v>
      </c>
      <c r="BT26" s="2" t="s">
        <v>426</v>
      </c>
      <c r="CJ26" s="2" t="str">
        <f>IF(ISERROR(_xlfn.XLOOKUP(Tabla_papers[[#This Row],[Key]],Primer_filtro[Key],Primer_filtro[Key])),"FALTA","YA ESTÁ")</f>
        <v>YA ESTÁ</v>
      </c>
    </row>
    <row r="27" spans="1:88" ht="120" hidden="1" x14ac:dyDescent="0.25">
      <c r="A27" s="2" t="s">
        <v>262</v>
      </c>
      <c r="B27" s="2" t="s">
        <v>88</v>
      </c>
      <c r="C27" s="2">
        <v>2017</v>
      </c>
      <c r="D27" s="2" t="s">
        <v>263</v>
      </c>
      <c r="E27" s="2" t="s">
        <v>264</v>
      </c>
      <c r="F27" s="2" t="s">
        <v>265</v>
      </c>
      <c r="H27" s="3" t="s">
        <v>266</v>
      </c>
      <c r="I27" s="2" t="s">
        <v>267</v>
      </c>
      <c r="J27" s="2" t="s">
        <v>268</v>
      </c>
      <c r="L27" s="2" t="s">
        <v>269</v>
      </c>
      <c r="M27" s="4">
        <v>46258.612557870372</v>
      </c>
      <c r="N27" s="4">
        <v>46258.617615740739</v>
      </c>
      <c r="O27" s="4">
        <v>46258.612557870372</v>
      </c>
      <c r="P27" s="7">
        <v>42887</v>
      </c>
      <c r="S27" s="2">
        <v>43</v>
      </c>
      <c r="U27" s="2" t="s">
        <v>265</v>
      </c>
      <c r="AC27" s="2" t="s">
        <v>97</v>
      </c>
      <c r="AH27" s="2" t="s">
        <v>99</v>
      </c>
      <c r="AL27" s="2" t="s">
        <v>270</v>
      </c>
      <c r="AN27" s="2" t="s">
        <v>213</v>
      </c>
      <c r="CJ27" s="2" t="str">
        <f>IF(ISERROR(_xlfn.XLOOKUP(Tabla_papers[[#This Row],[Key]],Primer_filtro[Key],Primer_filtro[Key])),"FALTA","YA ESTÁ")</f>
        <v>YA ESTÁ</v>
      </c>
    </row>
    <row r="28" spans="1:88" ht="165" hidden="1" x14ac:dyDescent="0.25">
      <c r="A28" s="2" t="s">
        <v>434</v>
      </c>
      <c r="B28" s="2" t="s">
        <v>126</v>
      </c>
      <c r="C28" s="2">
        <v>2022</v>
      </c>
      <c r="D28" s="2" t="s">
        <v>435</v>
      </c>
      <c r="E28" s="2" t="s">
        <v>436</v>
      </c>
      <c r="F28" s="2" t="s">
        <v>437</v>
      </c>
      <c r="G28" s="2" t="s">
        <v>438</v>
      </c>
      <c r="I28" s="2" t="s">
        <v>439</v>
      </c>
      <c r="J28" s="2" t="s">
        <v>440</v>
      </c>
      <c r="L28" s="5">
        <v>44809</v>
      </c>
      <c r="M28" s="4">
        <v>46258.84957175926</v>
      </c>
      <c r="N28" s="4">
        <v>46258.858599537038</v>
      </c>
      <c r="O28" s="4">
        <v>46258.84957175926</v>
      </c>
      <c r="P28" s="2" t="s">
        <v>441</v>
      </c>
      <c r="AA28" s="2" t="s">
        <v>133</v>
      </c>
      <c r="AB28" s="2" t="s">
        <v>442</v>
      </c>
      <c r="AD28" s="2" t="s">
        <v>135</v>
      </c>
      <c r="AH28" s="2" t="s">
        <v>99</v>
      </c>
      <c r="AL28" s="2" t="s">
        <v>443</v>
      </c>
      <c r="AN28" s="2" t="s">
        <v>444</v>
      </c>
      <c r="BT28" s="2" t="s">
        <v>437</v>
      </c>
      <c r="CJ28" s="2" t="str">
        <f>IF(ISERROR(_xlfn.XLOOKUP(Tabla_papers[[#This Row],[Key]],Primer_filtro[Key],Primer_filtro[Key])),"FALTA","YA ESTÁ")</f>
        <v>YA ESTÁ</v>
      </c>
    </row>
    <row r="29" spans="1:88" ht="409.5" hidden="1" x14ac:dyDescent="0.25">
      <c r="A29" s="2" t="s">
        <v>304</v>
      </c>
      <c r="B29" s="2" t="s">
        <v>88</v>
      </c>
      <c r="C29" s="2">
        <v>2016</v>
      </c>
      <c r="D29" s="2" t="s">
        <v>305</v>
      </c>
      <c r="E29" s="2" t="s">
        <v>306</v>
      </c>
      <c r="F29" s="2" t="s">
        <v>307</v>
      </c>
      <c r="H29" s="2" t="s">
        <v>308</v>
      </c>
      <c r="I29" s="2" t="s">
        <v>309</v>
      </c>
      <c r="J29" s="2" t="s">
        <v>310</v>
      </c>
      <c r="K29" s="2" t="s">
        <v>311</v>
      </c>
      <c r="L29" s="2" t="s">
        <v>312</v>
      </c>
      <c r="M29" s="4">
        <v>46258.612893518519</v>
      </c>
      <c r="N29" s="4">
        <v>46258.615659722222</v>
      </c>
      <c r="O29" s="4">
        <v>46258.612893518519</v>
      </c>
      <c r="P29" s="2" t="s">
        <v>313</v>
      </c>
      <c r="R29" s="2">
        <v>8</v>
      </c>
      <c r="S29" s="2">
        <v>10</v>
      </c>
      <c r="U29" s="2" t="s">
        <v>314</v>
      </c>
      <c r="AC29" s="2" t="s">
        <v>97</v>
      </c>
      <c r="AD29" s="2" t="s">
        <v>315</v>
      </c>
      <c r="AH29" s="2" t="s">
        <v>99</v>
      </c>
      <c r="AL29" s="2" t="s">
        <v>316</v>
      </c>
      <c r="AN29" s="2" t="s">
        <v>317</v>
      </c>
      <c r="CJ29" s="2" t="str">
        <f>IF(ISERROR(_xlfn.XLOOKUP(Tabla_papers[[#This Row],[Key]],Primer_filtro[Key],Primer_filtro[Key])),"FALTA","YA ESTÁ")</f>
        <v>YA ESTÁ</v>
      </c>
    </row>
    <row r="30" spans="1:88" ht="180" hidden="1" x14ac:dyDescent="0.25">
      <c r="A30" s="2" t="s">
        <v>189</v>
      </c>
      <c r="B30" s="2" t="s">
        <v>88</v>
      </c>
      <c r="C30" s="2">
        <v>2020</v>
      </c>
      <c r="D30" s="2" t="s">
        <v>190</v>
      </c>
      <c r="E30" s="2" t="s">
        <v>191</v>
      </c>
      <c r="F30" s="2" t="s">
        <v>115</v>
      </c>
      <c r="H30" s="2" t="s">
        <v>116</v>
      </c>
      <c r="I30" s="2" t="s">
        <v>192</v>
      </c>
      <c r="J30" s="2" t="s">
        <v>193</v>
      </c>
      <c r="L30" s="2" t="s">
        <v>194</v>
      </c>
      <c r="M30" s="4">
        <v>46257.901886574073</v>
      </c>
      <c r="N30" s="4">
        <v>46257.924050925925</v>
      </c>
      <c r="O30" s="4">
        <v>46257.901886574073</v>
      </c>
      <c r="P30" s="2" t="s">
        <v>195</v>
      </c>
      <c r="R30" s="2">
        <v>7</v>
      </c>
      <c r="S30" s="2">
        <v>67</v>
      </c>
      <c r="U30" s="2" t="s">
        <v>121</v>
      </c>
      <c r="AD30" s="2" t="s">
        <v>122</v>
      </c>
      <c r="AH30" s="2" t="s">
        <v>99</v>
      </c>
      <c r="AL30" s="2" t="s">
        <v>196</v>
      </c>
      <c r="AN30" s="2" t="s">
        <v>197</v>
      </c>
      <c r="CJ30" s="2" t="str">
        <f>IF(ISERROR(_xlfn.XLOOKUP(Tabla_papers[[#This Row],[Key]],Primer_filtro[Key],Primer_filtro[Key])),"FALTA","YA ESTÁ")</f>
        <v>YA ESTÁ</v>
      </c>
    </row>
    <row r="31" spans="1:88" ht="150" hidden="1" x14ac:dyDescent="0.25">
      <c r="A31" s="2" t="s">
        <v>198</v>
      </c>
      <c r="B31" s="2" t="s">
        <v>126</v>
      </c>
      <c r="C31" s="2">
        <v>2024</v>
      </c>
      <c r="D31" s="2" t="s">
        <v>199</v>
      </c>
      <c r="E31" s="2" t="s">
        <v>200</v>
      </c>
      <c r="F31" s="2" t="s">
        <v>201</v>
      </c>
      <c r="G31" s="2" t="s">
        <v>202</v>
      </c>
      <c r="I31" s="2" t="s">
        <v>203</v>
      </c>
      <c r="J31" s="2" t="s">
        <v>204</v>
      </c>
      <c r="L31" s="5">
        <v>45447</v>
      </c>
      <c r="M31" s="4">
        <v>46257.901932870373</v>
      </c>
      <c r="N31" s="4">
        <v>46257.924803240741</v>
      </c>
      <c r="O31" s="4">
        <v>46257.901932870373</v>
      </c>
      <c r="P31" s="2" t="s">
        <v>205</v>
      </c>
      <c r="AA31" s="2" t="s">
        <v>133</v>
      </c>
      <c r="AB31" s="2" t="s">
        <v>206</v>
      </c>
      <c r="AD31" s="2" t="s">
        <v>135</v>
      </c>
      <c r="AH31" s="2" t="s">
        <v>99</v>
      </c>
      <c r="AL31" s="2" t="s">
        <v>207</v>
      </c>
      <c r="AN31" s="2" t="s">
        <v>208</v>
      </c>
      <c r="BT31" s="2" t="s">
        <v>201</v>
      </c>
      <c r="CJ31" s="2" t="str">
        <f>IF(ISERROR(_xlfn.XLOOKUP(Tabla_papers[[#This Row],[Key]],Primer_filtro[Key],Primer_filtro[Key])),"FALTA","YA ESTÁ")</f>
        <v>YA ESTÁ</v>
      </c>
    </row>
    <row r="32" spans="1:88" ht="409.5" hidden="1" x14ac:dyDescent="0.25">
      <c r="A32" s="2" t="s">
        <v>177</v>
      </c>
      <c r="B32" s="2" t="s">
        <v>88</v>
      </c>
      <c r="C32" s="2">
        <v>2022</v>
      </c>
      <c r="D32" s="2" t="s">
        <v>178</v>
      </c>
      <c r="E32" s="2" t="s">
        <v>179</v>
      </c>
      <c r="F32" s="2" t="s">
        <v>180</v>
      </c>
      <c r="H32" s="2" t="s">
        <v>181</v>
      </c>
      <c r="I32" s="2" t="s">
        <v>182</v>
      </c>
      <c r="J32" s="2" t="s">
        <v>183</v>
      </c>
      <c r="K32" s="2" t="s">
        <v>184</v>
      </c>
      <c r="L32" s="5">
        <v>44795</v>
      </c>
      <c r="M32" s="4">
        <v>46257.90185185185</v>
      </c>
      <c r="N32" s="4">
        <v>46257.923020833332</v>
      </c>
      <c r="O32" s="4">
        <v>46257.90185185185</v>
      </c>
      <c r="P32" s="7">
        <v>42736</v>
      </c>
      <c r="S32" s="2">
        <v>2022</v>
      </c>
      <c r="U32" s="2" t="s">
        <v>180</v>
      </c>
      <c r="AC32" s="2" t="s">
        <v>97</v>
      </c>
      <c r="AD32" s="2" t="s">
        <v>185</v>
      </c>
      <c r="AH32" s="2" t="s">
        <v>99</v>
      </c>
      <c r="AL32" s="2" t="s">
        <v>186</v>
      </c>
      <c r="AN32" s="2" t="s">
        <v>187</v>
      </c>
      <c r="AP32" s="2" t="s">
        <v>188</v>
      </c>
      <c r="CJ32" s="2" t="str">
        <f>IF(ISERROR(_xlfn.XLOOKUP(Tabla_papers[[#This Row],[Key]],Primer_filtro[Key],Primer_filtro[Key])),"FALTA","YA ESTÁ")</f>
        <v>YA ESTÁ</v>
      </c>
    </row>
    <row r="33" spans="1:88" ht="135" hidden="1" x14ac:dyDescent="0.25">
      <c r="A33" s="2" t="s">
        <v>359</v>
      </c>
      <c r="B33" s="2" t="s">
        <v>126</v>
      </c>
      <c r="C33" s="2">
        <v>2014</v>
      </c>
      <c r="D33" s="2" t="s">
        <v>360</v>
      </c>
      <c r="E33" s="2" t="s">
        <v>361</v>
      </c>
      <c r="F33" s="2" t="s">
        <v>362</v>
      </c>
      <c r="G33" s="2" t="s">
        <v>363</v>
      </c>
      <c r="I33" s="2" t="s">
        <v>364</v>
      </c>
      <c r="J33" s="2" t="s">
        <v>365</v>
      </c>
      <c r="L33" s="5">
        <v>41832</v>
      </c>
      <c r="M33" s="4">
        <v>46258.639236111114</v>
      </c>
      <c r="N33" s="4">
        <v>46258.646979166668</v>
      </c>
      <c r="O33" s="4">
        <v>46258.639236111114</v>
      </c>
      <c r="AA33" s="2" t="s">
        <v>366</v>
      </c>
      <c r="AH33" s="2" t="s">
        <v>99</v>
      </c>
      <c r="AL33" s="2" t="s">
        <v>367</v>
      </c>
      <c r="AN33" s="2" t="s">
        <v>358</v>
      </c>
      <c r="BT33" s="2" t="s">
        <v>368</v>
      </c>
      <c r="CJ33" s="2" t="str">
        <f>IF(ISERROR(_xlfn.XLOOKUP(Tabla_papers[[#This Row],[Key]],Primer_filtro[Key],Primer_filtro[Key])),"FALTA","YA ESTÁ")</f>
        <v>YA ESTÁ</v>
      </c>
    </row>
    <row r="34" spans="1:88" ht="225" hidden="1" x14ac:dyDescent="0.25">
      <c r="A34" s="2" t="s">
        <v>411</v>
      </c>
      <c r="B34" s="2" t="s">
        <v>88</v>
      </c>
      <c r="C34" s="2">
        <v>2015</v>
      </c>
      <c r="D34" s="2" t="s">
        <v>412</v>
      </c>
      <c r="E34" s="2" t="s">
        <v>413</v>
      </c>
      <c r="F34" s="2" t="s">
        <v>414</v>
      </c>
      <c r="H34" s="2" t="s">
        <v>415</v>
      </c>
      <c r="I34" s="2" t="s">
        <v>416</v>
      </c>
      <c r="J34" s="2" t="s">
        <v>417</v>
      </c>
      <c r="L34" s="2" t="s">
        <v>418</v>
      </c>
      <c r="M34" s="4">
        <v>46258.849305555559</v>
      </c>
      <c r="N34" s="4">
        <v>46258.857442129629</v>
      </c>
      <c r="O34" s="4">
        <v>46258.849305555559</v>
      </c>
      <c r="P34" s="2" t="s">
        <v>419</v>
      </c>
      <c r="R34" s="2">
        <v>3</v>
      </c>
      <c r="S34" s="2">
        <v>51</v>
      </c>
      <c r="U34" s="2" t="s">
        <v>420</v>
      </c>
      <c r="AD34" s="2" t="s">
        <v>122</v>
      </c>
      <c r="AH34" s="2" t="s">
        <v>99</v>
      </c>
      <c r="AL34" s="2" t="s">
        <v>421</v>
      </c>
      <c r="AN34" s="2" t="s">
        <v>422</v>
      </c>
      <c r="CJ34" s="2" t="str">
        <f>IF(ISERROR(_xlfn.XLOOKUP(Tabla_papers[[#This Row],[Key]],Primer_filtro[Key],Primer_filtro[Key])),"FALTA","YA ESTÁ")</f>
        <v>YA ESTÁ</v>
      </c>
    </row>
    <row r="35" spans="1:88" ht="409.5" hidden="1" x14ac:dyDescent="0.25">
      <c r="A35" s="2" t="s">
        <v>294</v>
      </c>
      <c r="B35" s="2" t="s">
        <v>88</v>
      </c>
      <c r="C35" s="2">
        <v>2022</v>
      </c>
      <c r="D35" s="2" t="s">
        <v>295</v>
      </c>
      <c r="E35" s="2" t="s">
        <v>296</v>
      </c>
      <c r="F35" s="2" t="s">
        <v>297</v>
      </c>
      <c r="H35" s="2" t="s">
        <v>298</v>
      </c>
      <c r="I35" s="2" t="s">
        <v>299</v>
      </c>
      <c r="J35" s="2" t="s">
        <v>300</v>
      </c>
      <c r="K35" s="2" t="s">
        <v>301</v>
      </c>
      <c r="L35" s="5">
        <v>44806</v>
      </c>
      <c r="M35" s="4">
        <v>46258.612835648149</v>
      </c>
      <c r="N35" s="4">
        <v>46258.616631944446</v>
      </c>
      <c r="O35" s="4">
        <v>46258.612835648149</v>
      </c>
      <c r="P35" s="2">
        <v>14993</v>
      </c>
      <c r="R35" s="2">
        <v>1</v>
      </c>
      <c r="S35" s="2">
        <v>12</v>
      </c>
      <c r="U35" s="2" t="s">
        <v>302</v>
      </c>
      <c r="AC35" s="2" t="s">
        <v>97</v>
      </c>
      <c r="AH35" s="2" t="s">
        <v>99</v>
      </c>
      <c r="AL35" s="2" t="s">
        <v>303</v>
      </c>
      <c r="AN35" s="2" t="s">
        <v>235</v>
      </c>
      <c r="CJ35" s="2" t="str">
        <f>IF(ISERROR(_xlfn.XLOOKUP(Tabla_papers[[#This Row],[Key]],Primer_filtro[Key],Primer_filtro[Key])),"FALTA","YA ESTÁ")</f>
        <v>YA ESTÁ</v>
      </c>
    </row>
    <row r="36" spans="1:88" ht="180" hidden="1" x14ac:dyDescent="0.25">
      <c r="A36" s="2" t="s">
        <v>465</v>
      </c>
      <c r="B36" s="2" t="s">
        <v>126</v>
      </c>
      <c r="C36" s="2">
        <v>2025</v>
      </c>
      <c r="D36" s="2" t="s">
        <v>466</v>
      </c>
      <c r="E36" s="2" t="s">
        <v>467</v>
      </c>
      <c r="F36" s="2" t="s">
        <v>468</v>
      </c>
      <c r="G36" s="2" t="s">
        <v>469</v>
      </c>
      <c r="I36" s="2" t="s">
        <v>470</v>
      </c>
      <c r="J36" s="2" t="s">
        <v>471</v>
      </c>
      <c r="L36" s="5">
        <v>45855</v>
      </c>
      <c r="M36" s="4">
        <v>46258.849942129629</v>
      </c>
      <c r="N36" s="4">
        <v>46258.856307870374</v>
      </c>
      <c r="O36" s="4">
        <v>46258.849942129629</v>
      </c>
      <c r="P36" s="2" t="s">
        <v>472</v>
      </c>
      <c r="AA36" s="2" t="s">
        <v>133</v>
      </c>
      <c r="AB36" s="2" t="s">
        <v>473</v>
      </c>
      <c r="AD36" s="2" t="s">
        <v>135</v>
      </c>
      <c r="AH36" s="2" t="s">
        <v>99</v>
      </c>
      <c r="AL36" s="2" t="s">
        <v>474</v>
      </c>
      <c r="AN36" s="2" t="s">
        <v>475</v>
      </c>
      <c r="BT36" s="2" t="s">
        <v>468</v>
      </c>
      <c r="CJ36" s="2" t="str">
        <f>IF(ISERROR(_xlfn.XLOOKUP(Tabla_papers[[#This Row],[Key]],Primer_filtro[Key],Primer_filtro[Key])),"FALTA","YA ESTÁ")</f>
        <v>YA ESTÁ</v>
      </c>
    </row>
    <row r="37" spans="1:88" ht="195" hidden="1" x14ac:dyDescent="0.25">
      <c r="A37" s="2" t="s">
        <v>379</v>
      </c>
      <c r="B37" s="2" t="s">
        <v>126</v>
      </c>
      <c r="C37" s="2">
        <v>2025</v>
      </c>
      <c r="D37" s="2" t="s">
        <v>380</v>
      </c>
      <c r="E37" s="2" t="s">
        <v>381</v>
      </c>
      <c r="F37" s="2" t="s">
        <v>382</v>
      </c>
      <c r="G37" s="2" t="s">
        <v>383</v>
      </c>
      <c r="I37" s="2" t="s">
        <v>384</v>
      </c>
      <c r="J37" s="2" t="s">
        <v>385</v>
      </c>
      <c r="L37" s="5">
        <v>45977</v>
      </c>
      <c r="M37" s="4">
        <v>46258.845925925925</v>
      </c>
      <c r="N37" s="4">
        <v>46258.847048611111</v>
      </c>
      <c r="O37" s="4">
        <v>46258.845925925925</v>
      </c>
      <c r="P37" s="2" t="s">
        <v>386</v>
      </c>
      <c r="AA37" s="2" t="s">
        <v>133</v>
      </c>
      <c r="AB37" s="2" t="s">
        <v>387</v>
      </c>
      <c r="AD37" s="2" t="s">
        <v>135</v>
      </c>
      <c r="AH37" s="2" t="s">
        <v>99</v>
      </c>
      <c r="AL37" s="2" t="s">
        <v>388</v>
      </c>
      <c r="AN37" s="2" t="s">
        <v>389</v>
      </c>
      <c r="BT37" s="2" t="s">
        <v>382</v>
      </c>
      <c r="CJ37" s="2" t="str">
        <f>IF(ISERROR(_xlfn.XLOOKUP(Tabla_papers[[#This Row],[Key]],Primer_filtro[Key],Primer_filtro[Key])),"FALTA","YA ESTÁ")</f>
        <v>YA ESTÁ</v>
      </c>
    </row>
    <row r="38" spans="1:88" ht="195" hidden="1" x14ac:dyDescent="0.25">
      <c r="A38" s="2" t="s">
        <v>457</v>
      </c>
      <c r="B38" s="2" t="s">
        <v>88</v>
      </c>
      <c r="C38" s="2">
        <v>2026</v>
      </c>
      <c r="D38" s="2" t="s">
        <v>458</v>
      </c>
      <c r="E38" s="2" t="s">
        <v>459</v>
      </c>
      <c r="F38" s="2" t="s">
        <v>115</v>
      </c>
      <c r="H38" s="2" t="s">
        <v>116</v>
      </c>
      <c r="I38" s="2" t="s">
        <v>460</v>
      </c>
      <c r="J38" s="2" t="s">
        <v>461</v>
      </c>
      <c r="L38" s="2" t="s">
        <v>462</v>
      </c>
      <c r="M38" s="4">
        <v>46258.849803240744</v>
      </c>
      <c r="N38" s="4">
        <v>46258.859895833331</v>
      </c>
      <c r="O38" s="4">
        <v>46258.849803240744</v>
      </c>
      <c r="P38" s="2" t="s">
        <v>463</v>
      </c>
      <c r="R38" s="2">
        <v>5</v>
      </c>
      <c r="S38" s="2">
        <v>73</v>
      </c>
      <c r="U38" s="2" t="s">
        <v>121</v>
      </c>
      <c r="AD38" s="2" t="s">
        <v>122</v>
      </c>
      <c r="AH38" s="2" t="s">
        <v>99</v>
      </c>
      <c r="AL38" s="2" t="s">
        <v>464</v>
      </c>
      <c r="AN38" s="2" t="s">
        <v>293</v>
      </c>
      <c r="CJ38" s="2" t="str">
        <f>IF(ISERROR(_xlfn.XLOOKUP(Tabla_papers[[#This Row],[Key]],Primer_filtro[Key],Primer_filtro[Key])),"FALTA","YA ESTÁ")</f>
        <v>YA ESTÁ</v>
      </c>
    </row>
    <row r="39" spans="1:88" ht="225" hidden="1" x14ac:dyDescent="0.25">
      <c r="A39" s="2" t="s">
        <v>149</v>
      </c>
      <c r="B39" s="2" t="s">
        <v>88</v>
      </c>
      <c r="C39" s="2">
        <v>2015</v>
      </c>
      <c r="D39" s="2" t="s">
        <v>150</v>
      </c>
      <c r="E39" s="2" t="s">
        <v>151</v>
      </c>
      <c r="F39" s="2" t="s">
        <v>152</v>
      </c>
      <c r="H39" s="2" t="s">
        <v>153</v>
      </c>
      <c r="I39" s="2" t="s">
        <v>154</v>
      </c>
      <c r="J39" s="2" t="s">
        <v>155</v>
      </c>
      <c r="L39" s="2" t="s">
        <v>156</v>
      </c>
      <c r="M39" s="4">
        <v>46257.901712962965</v>
      </c>
      <c r="N39" s="4">
        <v>46257.91615740741</v>
      </c>
      <c r="O39" s="4">
        <v>46257.901712962965</v>
      </c>
      <c r="P39" s="2" t="s">
        <v>157</v>
      </c>
      <c r="R39" s="2">
        <v>6</v>
      </c>
      <c r="S39" s="2">
        <v>11</v>
      </c>
      <c r="U39" s="2" t="s">
        <v>158</v>
      </c>
      <c r="AD39" s="2" t="s">
        <v>122</v>
      </c>
      <c r="AH39" s="2" t="s">
        <v>99</v>
      </c>
      <c r="AL39" s="2" t="s">
        <v>159</v>
      </c>
      <c r="AN39" s="2" t="s">
        <v>101</v>
      </c>
      <c r="CJ39" s="2" t="str">
        <f>IF(ISERROR(_xlfn.XLOOKUP(Tabla_papers[[#This Row],[Key]],Primer_filtro[Key],Primer_filtro[Key])),"FALTA","YA ESTÁ")</f>
        <v>YA ESTÁ</v>
      </c>
    </row>
    <row r="40" spans="1:88" ht="120" hidden="1" x14ac:dyDescent="0.25">
      <c r="A40" s="2" t="s">
        <v>209</v>
      </c>
      <c r="B40" s="2" t="s">
        <v>88</v>
      </c>
      <c r="D40" s="2" t="s">
        <v>210</v>
      </c>
      <c r="E40" s="2" t="s">
        <v>211</v>
      </c>
      <c r="M40" s="4">
        <v>46257.902037037034</v>
      </c>
      <c r="N40" s="4">
        <v>46257.925740740742</v>
      </c>
      <c r="AC40" s="2" t="s">
        <v>97</v>
      </c>
      <c r="AH40" s="2" t="s">
        <v>163</v>
      </c>
      <c r="AL40" s="2" t="s">
        <v>212</v>
      </c>
      <c r="AN40" s="2" t="s">
        <v>213</v>
      </c>
      <c r="CJ40" s="2" t="str">
        <f>IF(ISERROR(_xlfn.XLOOKUP(Tabla_papers[[#This Row],[Key]],Primer_filtro[Key],Primer_filtro[Key])),"FALTA","YA ESTÁ")</f>
        <v>YA ESTÁ</v>
      </c>
    </row>
    <row r="41" spans="1:88" ht="165" hidden="1" x14ac:dyDescent="0.25">
      <c r="A41" s="2" t="s">
        <v>283</v>
      </c>
      <c r="B41" s="2" t="s">
        <v>88</v>
      </c>
      <c r="C41" s="2">
        <v>2016</v>
      </c>
      <c r="D41" s="2" t="s">
        <v>284</v>
      </c>
      <c r="E41" s="2" t="s">
        <v>285</v>
      </c>
      <c r="F41" s="2" t="s">
        <v>286</v>
      </c>
      <c r="H41" s="2" t="s">
        <v>287</v>
      </c>
      <c r="I41" s="2" t="s">
        <v>288</v>
      </c>
      <c r="J41" s="2" t="s">
        <v>289</v>
      </c>
      <c r="L41" s="5">
        <v>42452</v>
      </c>
      <c r="M41" s="4">
        <v>46258.612719907411</v>
      </c>
      <c r="N41" s="4">
        <v>46258.618090277778</v>
      </c>
      <c r="O41" s="4">
        <v>46258.612719907411</v>
      </c>
      <c r="P41" s="2" t="s">
        <v>290</v>
      </c>
      <c r="R41" s="2">
        <v>1</v>
      </c>
      <c r="S41" s="2">
        <v>14</v>
      </c>
      <c r="U41" s="2" t="s">
        <v>291</v>
      </c>
      <c r="AH41" s="2" t="s">
        <v>99</v>
      </c>
      <c r="AL41" s="2" t="s">
        <v>292</v>
      </c>
      <c r="AN41" s="2" t="s">
        <v>293</v>
      </c>
      <c r="CJ41" s="2" t="str">
        <f>IF(ISERROR(_xlfn.XLOOKUP(Tabla_papers[[#This Row],[Key]],Primer_filtro[Key],Primer_filtro[Key])),"FALTA","YA ESTÁ")</f>
        <v>YA ESTÁ</v>
      </c>
    </row>
    <row r="42" spans="1:88" ht="180" hidden="1" x14ac:dyDescent="0.25">
      <c r="A42" s="2" t="s">
        <v>138</v>
      </c>
      <c r="B42" s="2" t="s">
        <v>126</v>
      </c>
      <c r="C42" s="2">
        <v>2019</v>
      </c>
      <c r="D42" s="2" t="s">
        <v>139</v>
      </c>
      <c r="E42" s="2" t="s">
        <v>140</v>
      </c>
      <c r="F42" s="2" t="s">
        <v>141</v>
      </c>
      <c r="G42" s="2" t="s">
        <v>142</v>
      </c>
      <c r="I42" s="2" t="s">
        <v>143</v>
      </c>
      <c r="J42" s="2" t="s">
        <v>144</v>
      </c>
      <c r="L42" s="2" t="s">
        <v>145</v>
      </c>
      <c r="M42" s="4">
        <v>46257.901597222219</v>
      </c>
      <c r="N42" s="4">
        <v>46257.928437499999</v>
      </c>
      <c r="O42" s="4">
        <v>46257.901597222219</v>
      </c>
      <c r="P42" s="6">
        <v>46174</v>
      </c>
      <c r="AA42" s="2" t="s">
        <v>133</v>
      </c>
      <c r="AB42" s="2" t="s">
        <v>146</v>
      </c>
      <c r="AD42" s="2" t="s">
        <v>122</v>
      </c>
      <c r="AH42" s="2" t="s">
        <v>99</v>
      </c>
      <c r="AL42" s="2" t="s">
        <v>147</v>
      </c>
      <c r="AN42" s="2" t="s">
        <v>148</v>
      </c>
      <c r="BT42" s="2" t="s">
        <v>141</v>
      </c>
      <c r="CJ42" s="2" t="str">
        <f>IF(ISERROR(_xlfn.XLOOKUP(Tabla_papers[[#This Row],[Key]],Primer_filtro[Key],Primer_filtro[Key])),"FALTA","YA ESTÁ")</f>
        <v>YA ESTÁ</v>
      </c>
    </row>
    <row r="43" spans="1:88" ht="120" hidden="1" x14ac:dyDescent="0.25">
      <c r="A43" s="2" t="s">
        <v>87</v>
      </c>
      <c r="B43" s="2" t="s">
        <v>88</v>
      </c>
      <c r="C43" s="2">
        <v>1994</v>
      </c>
      <c r="D43" s="2" t="s">
        <v>89</v>
      </c>
      <c r="E43" s="2" t="s">
        <v>90</v>
      </c>
      <c r="F43" s="2" t="s">
        <v>91</v>
      </c>
      <c r="H43" s="3" t="s">
        <v>92</v>
      </c>
      <c r="I43" s="2" t="s">
        <v>93</v>
      </c>
      <c r="J43" s="2" t="s">
        <v>94</v>
      </c>
      <c r="L43" s="2" t="s">
        <v>95</v>
      </c>
      <c r="M43" s="4">
        <v>46257.901307870372</v>
      </c>
      <c r="N43" s="4">
        <v>46257.932939814818</v>
      </c>
      <c r="O43" s="4">
        <v>46257.901307870372</v>
      </c>
      <c r="P43" s="2" t="s">
        <v>96</v>
      </c>
      <c r="R43" s="2">
        <v>5</v>
      </c>
      <c r="S43" s="2">
        <v>23</v>
      </c>
      <c r="U43" s="2" t="s">
        <v>91</v>
      </c>
      <c r="AC43" s="2" t="s">
        <v>97</v>
      </c>
      <c r="AD43" s="2" t="s">
        <v>98</v>
      </c>
      <c r="AH43" s="2" t="s">
        <v>99</v>
      </c>
      <c r="AL43" s="2" t="s">
        <v>100</v>
      </c>
      <c r="AN43" s="2" t="s">
        <v>101</v>
      </c>
      <c r="CJ43" s="2" t="str">
        <f>IF(ISERROR(_xlfn.XLOOKUP(Tabla_papers[[#This Row],[Key]],Primer_filtro[Key],Primer_filtro[Key])),"FALTA","YA ESTÁ")</f>
        <v>YA ESTÁ</v>
      </c>
    </row>
    <row r="44" spans="1:88" ht="409.5" hidden="1" x14ac:dyDescent="0.25">
      <c r="A44" s="2" t="s">
        <v>847</v>
      </c>
      <c r="B44" s="2" t="s">
        <v>126</v>
      </c>
      <c r="C44" s="2">
        <v>2016</v>
      </c>
      <c r="D44" s="2" t="s">
        <v>848</v>
      </c>
      <c r="E44" s="2" t="s">
        <v>849</v>
      </c>
      <c r="F44" s="2" t="s">
        <v>850</v>
      </c>
      <c r="G44" s="2" t="s">
        <v>851</v>
      </c>
      <c r="H44" s="2" t="s">
        <v>674</v>
      </c>
      <c r="I44" s="2" t="s">
        <v>852</v>
      </c>
      <c r="J44" s="2" t="s">
        <v>853</v>
      </c>
      <c r="K44" s="2" t="s">
        <v>854</v>
      </c>
      <c r="L44" s="2" t="s">
        <v>855</v>
      </c>
      <c r="M44" s="4">
        <v>46274.900092592594</v>
      </c>
      <c r="N44" s="4">
        <v>46274.90011574074</v>
      </c>
      <c r="O44" s="4">
        <v>46274.900092592594</v>
      </c>
      <c r="P44" s="2" t="s">
        <v>856</v>
      </c>
      <c r="Q44" s="2" t="s">
        <v>674</v>
      </c>
      <c r="T44" s="2" t="s">
        <v>674</v>
      </c>
      <c r="U44" s="2" t="s">
        <v>674</v>
      </c>
      <c r="V44" s="2" t="s">
        <v>674</v>
      </c>
      <c r="W44" s="2" t="s">
        <v>674</v>
      </c>
      <c r="X44" s="2" t="s">
        <v>674</v>
      </c>
      <c r="Y44" s="2" t="s">
        <v>674</v>
      </c>
      <c r="Z44" s="2" t="s">
        <v>674</v>
      </c>
      <c r="AA44" s="2" t="s">
        <v>133</v>
      </c>
      <c r="AB44" s="2" t="s">
        <v>857</v>
      </c>
      <c r="AC44" s="2" t="s">
        <v>97</v>
      </c>
      <c r="AD44" s="2" t="s">
        <v>674</v>
      </c>
      <c r="AE44" s="2" t="s">
        <v>674</v>
      </c>
      <c r="AF44" s="2" t="s">
        <v>674</v>
      </c>
      <c r="AG44" s="2" t="s">
        <v>674</v>
      </c>
      <c r="AH44" s="2" t="s">
        <v>99</v>
      </c>
      <c r="AJ44" s="2" t="s">
        <v>674</v>
      </c>
      <c r="AK44" s="2" t="s">
        <v>674</v>
      </c>
      <c r="AL44" s="2" t="s">
        <v>858</v>
      </c>
      <c r="AM44" s="2" t="s">
        <v>674</v>
      </c>
      <c r="AN44" s="2" t="s">
        <v>674</v>
      </c>
      <c r="AO44" s="2" t="s">
        <v>712</v>
      </c>
      <c r="AP44" s="2" t="s">
        <v>674</v>
      </c>
      <c r="AQ44" s="2" t="s">
        <v>674</v>
      </c>
      <c r="AR44" s="2" t="s">
        <v>674</v>
      </c>
      <c r="AS44" s="2" t="s">
        <v>674</v>
      </c>
      <c r="AT44" s="2" t="s">
        <v>674</v>
      </c>
      <c r="AU44" s="2" t="s">
        <v>674</v>
      </c>
      <c r="AV44" s="2" t="s">
        <v>674</v>
      </c>
      <c r="AW44" s="2" t="s">
        <v>674</v>
      </c>
      <c r="AX44" s="2" t="s">
        <v>674</v>
      </c>
      <c r="AY44" s="2" t="s">
        <v>674</v>
      </c>
      <c r="AZ44" s="2" t="s">
        <v>674</v>
      </c>
      <c r="BA44" s="2" t="s">
        <v>674</v>
      </c>
      <c r="BB44" s="2" t="s">
        <v>674</v>
      </c>
      <c r="BC44" s="2" t="s">
        <v>674</v>
      </c>
      <c r="BD44" s="2" t="s">
        <v>674</v>
      </c>
      <c r="BE44" s="2" t="s">
        <v>674</v>
      </c>
      <c r="BF44" s="2" t="s">
        <v>674</v>
      </c>
      <c r="BG44" s="2" t="s">
        <v>674</v>
      </c>
      <c r="BH44" s="2" t="s">
        <v>674</v>
      </c>
      <c r="BI44" s="2" t="s">
        <v>674</v>
      </c>
      <c r="BJ44" s="2" t="s">
        <v>674</v>
      </c>
      <c r="BK44" s="2" t="s">
        <v>674</v>
      </c>
      <c r="BL44" s="2" t="s">
        <v>674</v>
      </c>
      <c r="BM44" s="2" t="s">
        <v>674</v>
      </c>
      <c r="BN44" s="2" t="s">
        <v>674</v>
      </c>
      <c r="BO44" s="2" t="s">
        <v>674</v>
      </c>
      <c r="BP44" s="2" t="s">
        <v>674</v>
      </c>
      <c r="BQ44" s="2" t="s">
        <v>674</v>
      </c>
      <c r="BR44" s="2" t="s">
        <v>674</v>
      </c>
      <c r="BS44" s="2" t="s">
        <v>674</v>
      </c>
      <c r="BT44" s="2" t="s">
        <v>850</v>
      </c>
      <c r="BU44" s="2" t="s">
        <v>674</v>
      </c>
      <c r="BV44" s="2" t="s">
        <v>674</v>
      </c>
      <c r="BW44" s="2" t="s">
        <v>674</v>
      </c>
      <c r="BX44" s="2" t="s">
        <v>674</v>
      </c>
      <c r="BY44" s="2" t="s">
        <v>674</v>
      </c>
      <c r="BZ44" s="2" t="s">
        <v>674</v>
      </c>
      <c r="CA44" s="2" t="s">
        <v>674</v>
      </c>
      <c r="CB44" s="2" t="s">
        <v>674</v>
      </c>
      <c r="CC44" s="2" t="s">
        <v>674</v>
      </c>
      <c r="CD44" s="2" t="s">
        <v>674</v>
      </c>
      <c r="CE44" s="2" t="s">
        <v>674</v>
      </c>
      <c r="CF44" s="2" t="s">
        <v>674</v>
      </c>
      <c r="CG44" s="2" t="s">
        <v>674</v>
      </c>
      <c r="CH44" s="2" t="s">
        <v>674</v>
      </c>
      <c r="CI44" s="2" t="s">
        <v>674</v>
      </c>
      <c r="CJ44" s="2" t="str">
        <f>IF(ISERROR(_xlfn.XLOOKUP(Tabla_papers[[#This Row],[Key]],Primer_filtro[Key],Primer_filtro[Key])),"FALTA","YA ESTÁ")</f>
        <v>YA ESTÁ</v>
      </c>
    </row>
    <row r="45" spans="1:88" ht="409.5" hidden="1" x14ac:dyDescent="0.25">
      <c r="A45" s="2" t="s">
        <v>812</v>
      </c>
      <c r="B45" s="2" t="s">
        <v>126</v>
      </c>
      <c r="C45" s="2">
        <v>2009</v>
      </c>
      <c r="D45" s="2" t="s">
        <v>813</v>
      </c>
      <c r="E45" s="2" t="s">
        <v>814</v>
      </c>
      <c r="F45" s="2" t="s">
        <v>815</v>
      </c>
      <c r="G45" s="2" t="s">
        <v>816</v>
      </c>
      <c r="H45" s="2" t="s">
        <v>674</v>
      </c>
      <c r="I45" s="2" t="s">
        <v>817</v>
      </c>
      <c r="J45" s="2" t="s">
        <v>818</v>
      </c>
      <c r="K45" s="2" t="s">
        <v>819</v>
      </c>
      <c r="L45" s="2" t="s">
        <v>820</v>
      </c>
      <c r="M45" s="4">
        <v>46274.899895833332</v>
      </c>
      <c r="N45" s="4">
        <v>46274.899918981479</v>
      </c>
      <c r="O45" s="4">
        <v>46274.899895833332</v>
      </c>
      <c r="P45" s="2" t="s">
        <v>821</v>
      </c>
      <c r="Q45" s="2" t="s">
        <v>674</v>
      </c>
      <c r="T45" s="2" t="s">
        <v>674</v>
      </c>
      <c r="U45" s="2" t="s">
        <v>674</v>
      </c>
      <c r="V45" s="2" t="s">
        <v>674</v>
      </c>
      <c r="W45" s="2" t="s">
        <v>674</v>
      </c>
      <c r="X45" s="2" t="s">
        <v>674</v>
      </c>
      <c r="Y45" s="2" t="s">
        <v>674</v>
      </c>
      <c r="Z45" s="2" t="s">
        <v>674</v>
      </c>
      <c r="AA45" s="2" t="s">
        <v>133</v>
      </c>
      <c r="AB45" s="2" t="s">
        <v>822</v>
      </c>
      <c r="AC45" s="2" t="s">
        <v>97</v>
      </c>
      <c r="AD45" s="2" t="s">
        <v>674</v>
      </c>
      <c r="AE45" s="2" t="s">
        <v>674</v>
      </c>
      <c r="AF45" s="2" t="s">
        <v>674</v>
      </c>
      <c r="AG45" s="2" t="s">
        <v>674</v>
      </c>
      <c r="AH45" s="2" t="s">
        <v>99</v>
      </c>
      <c r="AJ45" s="2" t="s">
        <v>674</v>
      </c>
      <c r="AK45" s="2" t="s">
        <v>674</v>
      </c>
      <c r="AL45" s="2" t="s">
        <v>823</v>
      </c>
      <c r="AM45" s="2" t="s">
        <v>674</v>
      </c>
      <c r="AN45" s="2" t="s">
        <v>674</v>
      </c>
      <c r="AO45" s="2" t="s">
        <v>712</v>
      </c>
      <c r="AP45" s="2" t="s">
        <v>674</v>
      </c>
      <c r="AQ45" s="2" t="s">
        <v>674</v>
      </c>
      <c r="AR45" s="2" t="s">
        <v>674</v>
      </c>
      <c r="AS45" s="2" t="s">
        <v>674</v>
      </c>
      <c r="AT45" s="2" t="s">
        <v>674</v>
      </c>
      <c r="AU45" s="2" t="s">
        <v>674</v>
      </c>
      <c r="AV45" s="2" t="s">
        <v>674</v>
      </c>
      <c r="AW45" s="2" t="s">
        <v>674</v>
      </c>
      <c r="AX45" s="2" t="s">
        <v>674</v>
      </c>
      <c r="AY45" s="2" t="s">
        <v>674</v>
      </c>
      <c r="AZ45" s="2" t="s">
        <v>674</v>
      </c>
      <c r="BA45" s="2" t="s">
        <v>674</v>
      </c>
      <c r="BB45" s="2" t="s">
        <v>674</v>
      </c>
      <c r="BC45" s="2" t="s">
        <v>674</v>
      </c>
      <c r="BD45" s="2" t="s">
        <v>674</v>
      </c>
      <c r="BE45" s="2" t="s">
        <v>674</v>
      </c>
      <c r="BF45" s="2" t="s">
        <v>674</v>
      </c>
      <c r="BG45" s="2" t="s">
        <v>674</v>
      </c>
      <c r="BH45" s="2" t="s">
        <v>674</v>
      </c>
      <c r="BI45" s="2" t="s">
        <v>674</v>
      </c>
      <c r="BJ45" s="2" t="s">
        <v>674</v>
      </c>
      <c r="BK45" s="2" t="s">
        <v>674</v>
      </c>
      <c r="BL45" s="2" t="s">
        <v>674</v>
      </c>
      <c r="BM45" s="2" t="s">
        <v>674</v>
      </c>
      <c r="BN45" s="2" t="s">
        <v>674</v>
      </c>
      <c r="BO45" s="2" t="s">
        <v>674</v>
      </c>
      <c r="BP45" s="2" t="s">
        <v>674</v>
      </c>
      <c r="BQ45" s="2" t="s">
        <v>674</v>
      </c>
      <c r="BR45" s="2" t="s">
        <v>674</v>
      </c>
      <c r="BS45" s="2" t="s">
        <v>674</v>
      </c>
      <c r="BT45" s="2" t="s">
        <v>824</v>
      </c>
      <c r="BU45" s="2" t="s">
        <v>674</v>
      </c>
      <c r="BV45" s="2" t="s">
        <v>674</v>
      </c>
      <c r="BW45" s="2" t="s">
        <v>674</v>
      </c>
      <c r="BX45" s="2" t="s">
        <v>674</v>
      </c>
      <c r="BY45" s="2" t="s">
        <v>674</v>
      </c>
      <c r="BZ45" s="2" t="s">
        <v>674</v>
      </c>
      <c r="CA45" s="2" t="s">
        <v>674</v>
      </c>
      <c r="CB45" s="2" t="s">
        <v>674</v>
      </c>
      <c r="CC45" s="2" t="s">
        <v>674</v>
      </c>
      <c r="CD45" s="2" t="s">
        <v>674</v>
      </c>
      <c r="CE45" s="2" t="s">
        <v>674</v>
      </c>
      <c r="CF45" s="2" t="s">
        <v>674</v>
      </c>
      <c r="CG45" s="2" t="s">
        <v>674</v>
      </c>
      <c r="CH45" s="2" t="s">
        <v>674</v>
      </c>
      <c r="CI45" s="2" t="s">
        <v>674</v>
      </c>
      <c r="CJ45" s="2" t="str">
        <f>IF(ISERROR(_xlfn.XLOOKUP(Tabla_papers[[#This Row],[Key]],Primer_filtro[Key],Primer_filtro[Key])),"FALTA","YA ESTÁ")</f>
        <v>YA ESTÁ</v>
      </c>
    </row>
    <row r="46" spans="1:88" ht="409.5" hidden="1" x14ac:dyDescent="0.25">
      <c r="A46" s="2" t="s">
        <v>747</v>
      </c>
      <c r="B46" s="2" t="s">
        <v>126</v>
      </c>
      <c r="C46" s="2">
        <v>2023</v>
      </c>
      <c r="D46" s="2" t="s">
        <v>748</v>
      </c>
      <c r="E46" s="2" t="s">
        <v>749</v>
      </c>
      <c r="F46" s="2" t="s">
        <v>750</v>
      </c>
      <c r="G46" s="2" t="s">
        <v>751</v>
      </c>
      <c r="H46" s="2" t="s">
        <v>674</v>
      </c>
      <c r="I46" s="2" t="s">
        <v>752</v>
      </c>
      <c r="J46" s="2" t="s">
        <v>753</v>
      </c>
      <c r="K46" s="2" t="s">
        <v>754</v>
      </c>
      <c r="L46" s="2" t="s">
        <v>755</v>
      </c>
      <c r="M46" s="4">
        <v>46274.899201388886</v>
      </c>
      <c r="N46" s="4">
        <v>46274.899224537039</v>
      </c>
      <c r="O46" s="4">
        <v>46274.899201388886</v>
      </c>
      <c r="P46" s="2" t="s">
        <v>756</v>
      </c>
      <c r="Q46" s="2" t="s">
        <v>674</v>
      </c>
      <c r="T46" s="2" t="s">
        <v>674</v>
      </c>
      <c r="U46" s="2" t="s">
        <v>674</v>
      </c>
      <c r="V46" s="2" t="s">
        <v>674</v>
      </c>
      <c r="W46" s="2" t="s">
        <v>674</v>
      </c>
      <c r="X46" s="2" t="s">
        <v>674</v>
      </c>
      <c r="Y46" s="2" t="s">
        <v>674</v>
      </c>
      <c r="Z46" s="2" t="s">
        <v>674</v>
      </c>
      <c r="AA46" s="2" t="s">
        <v>133</v>
      </c>
      <c r="AB46" s="2" t="s">
        <v>757</v>
      </c>
      <c r="AC46" s="2" t="s">
        <v>97</v>
      </c>
      <c r="AD46" s="2" t="s">
        <v>135</v>
      </c>
      <c r="AE46" s="2" t="s">
        <v>674</v>
      </c>
      <c r="AF46" s="2" t="s">
        <v>674</v>
      </c>
      <c r="AG46" s="2" t="s">
        <v>674</v>
      </c>
      <c r="AH46" s="2" t="s">
        <v>99</v>
      </c>
      <c r="AJ46" s="2" t="s">
        <v>674</v>
      </c>
      <c r="AK46" s="2" t="s">
        <v>674</v>
      </c>
      <c r="AL46" s="2" t="s">
        <v>758</v>
      </c>
      <c r="AM46" s="2" t="s">
        <v>674</v>
      </c>
      <c r="AN46" s="2" t="s">
        <v>674</v>
      </c>
      <c r="AO46" s="2" t="s">
        <v>712</v>
      </c>
      <c r="AP46" s="2" t="s">
        <v>674</v>
      </c>
      <c r="AQ46" s="2" t="s">
        <v>674</v>
      </c>
      <c r="AR46" s="2" t="s">
        <v>674</v>
      </c>
      <c r="AS46" s="2" t="s">
        <v>674</v>
      </c>
      <c r="AT46" s="2" t="s">
        <v>674</v>
      </c>
      <c r="AU46" s="2" t="s">
        <v>674</v>
      </c>
      <c r="AV46" s="2" t="s">
        <v>674</v>
      </c>
      <c r="AW46" s="2" t="s">
        <v>674</v>
      </c>
      <c r="AX46" s="2" t="s">
        <v>674</v>
      </c>
      <c r="AY46" s="2" t="s">
        <v>674</v>
      </c>
      <c r="AZ46" s="2" t="s">
        <v>674</v>
      </c>
      <c r="BA46" s="2" t="s">
        <v>674</v>
      </c>
      <c r="BB46" s="2" t="s">
        <v>674</v>
      </c>
      <c r="BC46" s="2" t="s">
        <v>674</v>
      </c>
      <c r="BD46" s="2" t="s">
        <v>674</v>
      </c>
      <c r="BE46" s="2" t="s">
        <v>674</v>
      </c>
      <c r="BF46" s="2" t="s">
        <v>674</v>
      </c>
      <c r="BG46" s="2" t="s">
        <v>674</v>
      </c>
      <c r="BH46" s="2" t="s">
        <v>674</v>
      </c>
      <c r="BI46" s="2" t="s">
        <v>674</v>
      </c>
      <c r="BJ46" s="2" t="s">
        <v>674</v>
      </c>
      <c r="BK46" s="2" t="s">
        <v>674</v>
      </c>
      <c r="BL46" s="2" t="s">
        <v>674</v>
      </c>
      <c r="BM46" s="2" t="s">
        <v>674</v>
      </c>
      <c r="BN46" s="2" t="s">
        <v>674</v>
      </c>
      <c r="BO46" s="2" t="s">
        <v>674</v>
      </c>
      <c r="BP46" s="2" t="s">
        <v>674</v>
      </c>
      <c r="BQ46" s="2" t="s">
        <v>674</v>
      </c>
      <c r="BR46" s="2" t="s">
        <v>674</v>
      </c>
      <c r="BS46" s="2" t="s">
        <v>674</v>
      </c>
      <c r="BT46" s="2" t="s">
        <v>750</v>
      </c>
      <c r="BU46" s="2" t="s">
        <v>674</v>
      </c>
      <c r="BV46" s="2" t="s">
        <v>674</v>
      </c>
      <c r="BW46" s="2" t="s">
        <v>674</v>
      </c>
      <c r="BX46" s="2" t="s">
        <v>674</v>
      </c>
      <c r="BY46" s="2" t="s">
        <v>674</v>
      </c>
      <c r="BZ46" s="2" t="s">
        <v>674</v>
      </c>
      <c r="CA46" s="2" t="s">
        <v>674</v>
      </c>
      <c r="CB46" s="2" t="s">
        <v>674</v>
      </c>
      <c r="CC46" s="2" t="s">
        <v>674</v>
      </c>
      <c r="CD46" s="2" t="s">
        <v>674</v>
      </c>
      <c r="CE46" s="2" t="s">
        <v>674</v>
      </c>
      <c r="CF46" s="2" t="s">
        <v>674</v>
      </c>
      <c r="CG46" s="2" t="s">
        <v>674</v>
      </c>
      <c r="CH46" s="2" t="s">
        <v>674</v>
      </c>
      <c r="CI46" s="2" t="s">
        <v>674</v>
      </c>
      <c r="CJ46" s="2" t="str">
        <f>IF(ISERROR(_xlfn.XLOOKUP(Tabla_papers[[#This Row],[Key]],Primer_filtro[Key],Primer_filtro[Key])),"FALTA","YA ESTÁ")</f>
        <v>YA ESTÁ</v>
      </c>
    </row>
    <row r="47" spans="1:88" ht="409.5" hidden="1" x14ac:dyDescent="0.25">
      <c r="A47" s="2" t="s">
        <v>737</v>
      </c>
      <c r="B47" s="2" t="s">
        <v>88</v>
      </c>
      <c r="C47" s="2">
        <v>2025</v>
      </c>
      <c r="D47" s="2" t="s">
        <v>738</v>
      </c>
      <c r="E47" s="2" t="s">
        <v>739</v>
      </c>
      <c r="F47" s="2" t="s">
        <v>499</v>
      </c>
      <c r="G47" s="2" t="s">
        <v>674</v>
      </c>
      <c r="H47" s="2" t="s">
        <v>500</v>
      </c>
      <c r="I47" s="2" t="s">
        <v>740</v>
      </c>
      <c r="J47" s="2" t="s">
        <v>741</v>
      </c>
      <c r="K47" s="2" t="s">
        <v>742</v>
      </c>
      <c r="L47" s="2" t="s">
        <v>743</v>
      </c>
      <c r="M47" s="4">
        <v>46274.899074074077</v>
      </c>
      <c r="N47" s="4">
        <v>46274.899108796293</v>
      </c>
      <c r="O47" s="4">
        <v>46274.899074074077</v>
      </c>
      <c r="P47" s="2" t="s">
        <v>744</v>
      </c>
      <c r="Q47" s="2" t="s">
        <v>674</v>
      </c>
      <c r="R47" s="2">
        <v>12</v>
      </c>
      <c r="S47" s="2">
        <v>40</v>
      </c>
      <c r="T47" s="2" t="s">
        <v>674</v>
      </c>
      <c r="U47" s="2" t="s">
        <v>505</v>
      </c>
      <c r="V47" s="2" t="s">
        <v>745</v>
      </c>
      <c r="W47" s="2" t="s">
        <v>674</v>
      </c>
      <c r="X47" s="2" t="s">
        <v>674</v>
      </c>
      <c r="Y47" s="2" t="s">
        <v>674</v>
      </c>
      <c r="Z47" s="2" t="s">
        <v>674</v>
      </c>
      <c r="AA47" s="2" t="s">
        <v>674</v>
      </c>
      <c r="AB47" s="2" t="s">
        <v>674</v>
      </c>
      <c r="AC47" s="2" t="s">
        <v>97</v>
      </c>
      <c r="AD47" s="2" t="s">
        <v>122</v>
      </c>
      <c r="AE47" s="2" t="s">
        <v>674</v>
      </c>
      <c r="AF47" s="2" t="s">
        <v>674</v>
      </c>
      <c r="AG47" s="2" t="s">
        <v>674</v>
      </c>
      <c r="AH47" s="2" t="s">
        <v>99</v>
      </c>
      <c r="AJ47" s="2" t="s">
        <v>674</v>
      </c>
      <c r="AK47" s="2" t="s">
        <v>674</v>
      </c>
      <c r="AL47" s="2" t="s">
        <v>746</v>
      </c>
      <c r="AM47" s="2" t="s">
        <v>674</v>
      </c>
      <c r="AN47" s="2" t="s">
        <v>674</v>
      </c>
      <c r="AO47" s="2" t="s">
        <v>712</v>
      </c>
      <c r="AP47" s="2" t="s">
        <v>674</v>
      </c>
      <c r="AQ47" s="2" t="s">
        <v>674</v>
      </c>
      <c r="AR47" s="2" t="s">
        <v>674</v>
      </c>
      <c r="AS47" s="2" t="s">
        <v>674</v>
      </c>
      <c r="AT47" s="2" t="s">
        <v>674</v>
      </c>
      <c r="AU47" s="2" t="s">
        <v>674</v>
      </c>
      <c r="AV47" s="2" t="s">
        <v>674</v>
      </c>
      <c r="AW47" s="2" t="s">
        <v>674</v>
      </c>
      <c r="AX47" s="2" t="s">
        <v>674</v>
      </c>
      <c r="AY47" s="2" t="s">
        <v>674</v>
      </c>
      <c r="AZ47" s="2" t="s">
        <v>674</v>
      </c>
      <c r="BA47" s="2" t="s">
        <v>674</v>
      </c>
      <c r="BB47" s="2" t="s">
        <v>674</v>
      </c>
      <c r="BC47" s="2" t="s">
        <v>674</v>
      </c>
      <c r="BD47" s="2" t="s">
        <v>674</v>
      </c>
      <c r="BE47" s="2" t="s">
        <v>674</v>
      </c>
      <c r="BF47" s="2" t="s">
        <v>674</v>
      </c>
      <c r="BG47" s="2" t="s">
        <v>674</v>
      </c>
      <c r="BH47" s="2" t="s">
        <v>674</v>
      </c>
      <c r="BI47" s="2" t="s">
        <v>674</v>
      </c>
      <c r="BJ47" s="2" t="s">
        <v>674</v>
      </c>
      <c r="BK47" s="2" t="s">
        <v>674</v>
      </c>
      <c r="BL47" s="2" t="s">
        <v>674</v>
      </c>
      <c r="BM47" s="2" t="s">
        <v>674</v>
      </c>
      <c r="BN47" s="2" t="s">
        <v>674</v>
      </c>
      <c r="BO47" s="2" t="s">
        <v>674</v>
      </c>
      <c r="BP47" s="2" t="s">
        <v>674</v>
      </c>
      <c r="BQ47" s="2" t="s">
        <v>674</v>
      </c>
      <c r="BR47" s="2" t="s">
        <v>674</v>
      </c>
      <c r="BS47" s="2" t="s">
        <v>674</v>
      </c>
      <c r="BT47" s="2" t="s">
        <v>674</v>
      </c>
      <c r="BU47" s="2" t="s">
        <v>674</v>
      </c>
      <c r="BV47" s="2" t="s">
        <v>674</v>
      </c>
      <c r="BW47" s="2" t="s">
        <v>674</v>
      </c>
      <c r="BX47" s="2" t="s">
        <v>674</v>
      </c>
      <c r="BY47" s="2" t="s">
        <v>674</v>
      </c>
      <c r="BZ47" s="2" t="s">
        <v>674</v>
      </c>
      <c r="CA47" s="2" t="s">
        <v>674</v>
      </c>
      <c r="CB47" s="2" t="s">
        <v>674</v>
      </c>
      <c r="CC47" s="2" t="s">
        <v>674</v>
      </c>
      <c r="CD47" s="2" t="s">
        <v>674</v>
      </c>
      <c r="CE47" s="2" t="s">
        <v>674</v>
      </c>
      <c r="CF47" s="2" t="s">
        <v>674</v>
      </c>
      <c r="CG47" s="2" t="s">
        <v>674</v>
      </c>
      <c r="CH47" s="2" t="s">
        <v>674</v>
      </c>
      <c r="CI47" s="2" t="s">
        <v>674</v>
      </c>
      <c r="CJ47" s="2" t="str">
        <f>IF(ISERROR(_xlfn.XLOOKUP(Tabla_papers[[#This Row],[Key]],Primer_filtro[Key],Primer_filtro[Key])),"FALTA","YA ESTÁ")</f>
        <v>YA ESTÁ</v>
      </c>
    </row>
    <row r="48" spans="1:88" ht="165" hidden="1" x14ac:dyDescent="0.25">
      <c r="A48" s="2" t="s">
        <v>859</v>
      </c>
      <c r="B48" s="2" t="s">
        <v>88</v>
      </c>
      <c r="C48" s="2">
        <v>2016</v>
      </c>
      <c r="D48" s="2" t="s">
        <v>860</v>
      </c>
      <c r="E48" s="2" t="s">
        <v>861</v>
      </c>
      <c r="F48" s="2" t="s">
        <v>862</v>
      </c>
      <c r="G48" s="2" t="s">
        <v>674</v>
      </c>
      <c r="H48" s="2" t="s">
        <v>863</v>
      </c>
      <c r="I48" s="2" t="s">
        <v>864</v>
      </c>
      <c r="J48" s="2" t="s">
        <v>865</v>
      </c>
      <c r="K48" s="2" t="s">
        <v>674</v>
      </c>
      <c r="L48" s="2" t="s">
        <v>866</v>
      </c>
      <c r="M48" s="4">
        <v>46274.90016203704</v>
      </c>
      <c r="N48" s="4">
        <v>46274.900173611109</v>
      </c>
      <c r="O48" s="4">
        <v>46274.90016203704</v>
      </c>
      <c r="P48" s="2" t="s">
        <v>867</v>
      </c>
      <c r="Q48" s="2" t="s">
        <v>674</v>
      </c>
      <c r="R48" s="2">
        <v>12</v>
      </c>
      <c r="S48" s="2">
        <v>1</v>
      </c>
      <c r="T48" s="2" t="s">
        <v>674</v>
      </c>
      <c r="U48" s="2" t="s">
        <v>868</v>
      </c>
      <c r="V48" s="2" t="s">
        <v>674</v>
      </c>
      <c r="W48" s="2" t="s">
        <v>674</v>
      </c>
      <c r="X48" s="2" t="s">
        <v>674</v>
      </c>
      <c r="Y48" s="2" t="s">
        <v>674</v>
      </c>
      <c r="Z48" s="2" t="s">
        <v>674</v>
      </c>
      <c r="AA48" s="2" t="s">
        <v>674</v>
      </c>
      <c r="AB48" s="2" t="s">
        <v>674</v>
      </c>
      <c r="AC48" s="2" t="s">
        <v>97</v>
      </c>
      <c r="AD48" s="2" t="s">
        <v>674</v>
      </c>
      <c r="AE48" s="2" t="s">
        <v>674</v>
      </c>
      <c r="AF48" s="2" t="s">
        <v>674</v>
      </c>
      <c r="AG48" s="2" t="s">
        <v>674</v>
      </c>
      <c r="AH48" s="2" t="s">
        <v>99</v>
      </c>
      <c r="AJ48" s="2" t="s">
        <v>674</v>
      </c>
      <c r="AK48" s="2" t="s">
        <v>674</v>
      </c>
      <c r="AL48" s="2" t="s">
        <v>869</v>
      </c>
      <c r="AM48" s="2" t="s">
        <v>674</v>
      </c>
      <c r="AN48" s="2" t="s">
        <v>674</v>
      </c>
      <c r="AO48" s="2" t="s">
        <v>712</v>
      </c>
      <c r="AP48" s="2" t="s">
        <v>674</v>
      </c>
      <c r="AQ48" s="2" t="s">
        <v>674</v>
      </c>
      <c r="AR48" s="2" t="s">
        <v>674</v>
      </c>
      <c r="AS48" s="2" t="s">
        <v>674</v>
      </c>
      <c r="AT48" s="2" t="s">
        <v>674</v>
      </c>
      <c r="AU48" s="2" t="s">
        <v>674</v>
      </c>
      <c r="AV48" s="2" t="s">
        <v>674</v>
      </c>
      <c r="AW48" s="2" t="s">
        <v>674</v>
      </c>
      <c r="AX48" s="2" t="s">
        <v>674</v>
      </c>
      <c r="AY48" s="2" t="s">
        <v>674</v>
      </c>
      <c r="AZ48" s="2" t="s">
        <v>674</v>
      </c>
      <c r="BA48" s="2" t="s">
        <v>674</v>
      </c>
      <c r="BB48" s="2" t="s">
        <v>674</v>
      </c>
      <c r="BC48" s="2" t="s">
        <v>674</v>
      </c>
      <c r="BD48" s="2" t="s">
        <v>674</v>
      </c>
      <c r="BE48" s="2" t="s">
        <v>674</v>
      </c>
      <c r="BF48" s="2" t="s">
        <v>674</v>
      </c>
      <c r="BG48" s="2" t="s">
        <v>674</v>
      </c>
      <c r="BH48" s="2" t="s">
        <v>674</v>
      </c>
      <c r="BI48" s="2" t="s">
        <v>674</v>
      </c>
      <c r="BJ48" s="2" t="s">
        <v>674</v>
      </c>
      <c r="BK48" s="2" t="s">
        <v>674</v>
      </c>
      <c r="BL48" s="2" t="s">
        <v>674</v>
      </c>
      <c r="BM48" s="2" t="s">
        <v>674</v>
      </c>
      <c r="BN48" s="2" t="s">
        <v>674</v>
      </c>
      <c r="BO48" s="2" t="s">
        <v>674</v>
      </c>
      <c r="BP48" s="2" t="s">
        <v>674</v>
      </c>
      <c r="BQ48" s="2" t="s">
        <v>674</v>
      </c>
      <c r="BR48" s="2" t="s">
        <v>674</v>
      </c>
      <c r="BS48" s="2" t="s">
        <v>674</v>
      </c>
      <c r="BT48" s="2" t="s">
        <v>674</v>
      </c>
      <c r="BU48" s="2" t="s">
        <v>674</v>
      </c>
      <c r="BV48" s="2" t="s">
        <v>674</v>
      </c>
      <c r="BW48" s="2" t="s">
        <v>674</v>
      </c>
      <c r="BX48" s="2" t="s">
        <v>674</v>
      </c>
      <c r="BY48" s="2" t="s">
        <v>674</v>
      </c>
      <c r="BZ48" s="2" t="s">
        <v>674</v>
      </c>
      <c r="CA48" s="2" t="s">
        <v>674</v>
      </c>
      <c r="CB48" s="2" t="s">
        <v>674</v>
      </c>
      <c r="CC48" s="2" t="s">
        <v>674</v>
      </c>
      <c r="CD48" s="2" t="s">
        <v>674</v>
      </c>
      <c r="CE48" s="2" t="s">
        <v>674</v>
      </c>
      <c r="CF48" s="2" t="s">
        <v>674</v>
      </c>
      <c r="CG48" s="2" t="s">
        <v>674</v>
      </c>
      <c r="CH48" s="2" t="s">
        <v>674</v>
      </c>
      <c r="CI48" s="2" t="s">
        <v>674</v>
      </c>
      <c r="CJ48" s="2" t="str">
        <f>IF(ISERROR(_xlfn.XLOOKUP(Tabla_papers[[#This Row],[Key]],Primer_filtro[Key],Primer_filtro[Key])),"FALTA","YA ESTÁ")</f>
        <v>YA ESTÁ</v>
      </c>
    </row>
    <row r="49" spans="1:88" ht="409.5" hidden="1" x14ac:dyDescent="0.25">
      <c r="A49" s="2" t="s">
        <v>880</v>
      </c>
      <c r="B49" s="2" t="s">
        <v>88</v>
      </c>
      <c r="C49" s="2">
        <v>2026</v>
      </c>
      <c r="D49" s="2" t="s">
        <v>881</v>
      </c>
      <c r="E49" s="2" t="s">
        <v>882</v>
      </c>
      <c r="F49" s="2" t="s">
        <v>499</v>
      </c>
      <c r="G49" s="2" t="s">
        <v>674</v>
      </c>
      <c r="H49" s="2" t="s">
        <v>500</v>
      </c>
      <c r="I49" s="2" t="s">
        <v>883</v>
      </c>
      <c r="J49" s="2" t="s">
        <v>884</v>
      </c>
      <c r="K49" s="2" t="s">
        <v>885</v>
      </c>
      <c r="L49" s="2" t="s">
        <v>886</v>
      </c>
      <c r="M49" s="4">
        <v>46274.900416666664</v>
      </c>
      <c r="N49" s="4">
        <v>46274.900439814817</v>
      </c>
      <c r="O49" s="4">
        <v>46274.900416666664</v>
      </c>
      <c r="P49" s="2" t="s">
        <v>887</v>
      </c>
      <c r="Q49" s="2" t="s">
        <v>674</v>
      </c>
      <c r="R49" s="2">
        <v>4</v>
      </c>
      <c r="S49" s="2">
        <v>41</v>
      </c>
      <c r="T49" s="2" t="s">
        <v>674</v>
      </c>
      <c r="U49" s="2" t="s">
        <v>505</v>
      </c>
      <c r="V49" s="2" t="s">
        <v>674</v>
      </c>
      <c r="W49" s="2" t="s">
        <v>674</v>
      </c>
      <c r="X49" s="2" t="s">
        <v>674</v>
      </c>
      <c r="Y49" s="2" t="s">
        <v>674</v>
      </c>
      <c r="Z49" s="2" t="s">
        <v>674</v>
      </c>
      <c r="AA49" s="2" t="s">
        <v>674</v>
      </c>
      <c r="AB49" s="2" t="s">
        <v>674</v>
      </c>
      <c r="AC49" s="2" t="s">
        <v>97</v>
      </c>
      <c r="AD49" s="2" t="s">
        <v>122</v>
      </c>
      <c r="AE49" s="2" t="s">
        <v>674</v>
      </c>
      <c r="AF49" s="2" t="s">
        <v>674</v>
      </c>
      <c r="AG49" s="2" t="s">
        <v>674</v>
      </c>
      <c r="AH49" s="2" t="s">
        <v>99</v>
      </c>
      <c r="AJ49" s="2" t="s">
        <v>674</v>
      </c>
      <c r="AK49" s="2" t="s">
        <v>674</v>
      </c>
      <c r="AL49" s="2" t="s">
        <v>888</v>
      </c>
      <c r="AM49" s="2" t="s">
        <v>674</v>
      </c>
      <c r="AN49" s="2" t="s">
        <v>674</v>
      </c>
      <c r="AO49" s="2" t="s">
        <v>712</v>
      </c>
      <c r="AP49" s="2" t="s">
        <v>674</v>
      </c>
      <c r="AQ49" s="2" t="s">
        <v>674</v>
      </c>
      <c r="AR49" s="2" t="s">
        <v>674</v>
      </c>
      <c r="AS49" s="2" t="s">
        <v>674</v>
      </c>
      <c r="AT49" s="2" t="s">
        <v>674</v>
      </c>
      <c r="AU49" s="2" t="s">
        <v>674</v>
      </c>
      <c r="AV49" s="2" t="s">
        <v>674</v>
      </c>
      <c r="AW49" s="2" t="s">
        <v>674</v>
      </c>
      <c r="AX49" s="2" t="s">
        <v>674</v>
      </c>
      <c r="AY49" s="2" t="s">
        <v>674</v>
      </c>
      <c r="AZ49" s="2" t="s">
        <v>674</v>
      </c>
      <c r="BA49" s="2" t="s">
        <v>674</v>
      </c>
      <c r="BB49" s="2" t="s">
        <v>674</v>
      </c>
      <c r="BC49" s="2" t="s">
        <v>674</v>
      </c>
      <c r="BD49" s="2" t="s">
        <v>674</v>
      </c>
      <c r="BE49" s="2" t="s">
        <v>674</v>
      </c>
      <c r="BF49" s="2" t="s">
        <v>674</v>
      </c>
      <c r="BG49" s="2" t="s">
        <v>674</v>
      </c>
      <c r="BH49" s="2" t="s">
        <v>674</v>
      </c>
      <c r="BI49" s="2" t="s">
        <v>674</v>
      </c>
      <c r="BJ49" s="2" t="s">
        <v>674</v>
      </c>
      <c r="BK49" s="2" t="s">
        <v>674</v>
      </c>
      <c r="BL49" s="2" t="s">
        <v>674</v>
      </c>
      <c r="BM49" s="2" t="s">
        <v>674</v>
      </c>
      <c r="BN49" s="2" t="s">
        <v>674</v>
      </c>
      <c r="BO49" s="2" t="s">
        <v>674</v>
      </c>
      <c r="BP49" s="2" t="s">
        <v>674</v>
      </c>
      <c r="BQ49" s="2" t="s">
        <v>674</v>
      </c>
      <c r="BR49" s="2" t="s">
        <v>674</v>
      </c>
      <c r="BS49" s="2" t="s">
        <v>674</v>
      </c>
      <c r="BT49" s="2" t="s">
        <v>674</v>
      </c>
      <c r="BU49" s="2" t="s">
        <v>674</v>
      </c>
      <c r="BV49" s="2" t="s">
        <v>674</v>
      </c>
      <c r="BW49" s="2" t="s">
        <v>674</v>
      </c>
      <c r="BX49" s="2" t="s">
        <v>674</v>
      </c>
      <c r="BY49" s="2" t="s">
        <v>674</v>
      </c>
      <c r="BZ49" s="2" t="s">
        <v>674</v>
      </c>
      <c r="CA49" s="2" t="s">
        <v>674</v>
      </c>
      <c r="CB49" s="2" t="s">
        <v>674</v>
      </c>
      <c r="CC49" s="2" t="s">
        <v>674</v>
      </c>
      <c r="CD49" s="2" t="s">
        <v>674</v>
      </c>
      <c r="CE49" s="2" t="s">
        <v>674</v>
      </c>
      <c r="CF49" s="2" t="s">
        <v>674</v>
      </c>
      <c r="CG49" s="2" t="s">
        <v>674</v>
      </c>
      <c r="CH49" s="2" t="s">
        <v>674</v>
      </c>
      <c r="CI49" s="2" t="s">
        <v>674</v>
      </c>
      <c r="CJ49" s="2" t="str">
        <f>IF(ISERROR(_xlfn.XLOOKUP(Tabla_papers[[#This Row],[Key]],Primer_filtro[Key],Primer_filtro[Key])),"FALTA","YA ESTÁ")</f>
        <v>YA ESTÁ</v>
      </c>
    </row>
    <row r="50" spans="1:88" ht="120" hidden="1" x14ac:dyDescent="0.25">
      <c r="A50" s="2" t="s">
        <v>870</v>
      </c>
      <c r="B50" s="2" t="s">
        <v>88</v>
      </c>
      <c r="D50" s="2" t="s">
        <v>871</v>
      </c>
      <c r="E50" s="2" t="s">
        <v>872</v>
      </c>
      <c r="F50" s="2" t="s">
        <v>674</v>
      </c>
      <c r="G50" s="2" t="s">
        <v>674</v>
      </c>
      <c r="H50" s="2" t="s">
        <v>674</v>
      </c>
      <c r="I50" s="2" t="s">
        <v>674</v>
      </c>
      <c r="J50" s="2" t="s">
        <v>674</v>
      </c>
      <c r="K50" s="2" t="s">
        <v>674</v>
      </c>
      <c r="L50" s="2" t="s">
        <v>674</v>
      </c>
      <c r="M50" s="4">
        <v>46274.900208333333</v>
      </c>
      <c r="N50" s="4">
        <v>46274.900208333333</v>
      </c>
      <c r="O50" s="4"/>
      <c r="P50" s="2" t="s">
        <v>674</v>
      </c>
      <c r="Q50" s="2" t="s">
        <v>674</v>
      </c>
      <c r="T50" s="2" t="s">
        <v>674</v>
      </c>
      <c r="U50" s="2" t="s">
        <v>674</v>
      </c>
      <c r="V50" s="2" t="s">
        <v>674</v>
      </c>
      <c r="W50" s="2" t="s">
        <v>674</v>
      </c>
      <c r="X50" s="2" t="s">
        <v>674</v>
      </c>
      <c r="Y50" s="2" t="s">
        <v>674</v>
      </c>
      <c r="Z50" s="2" t="s">
        <v>674</v>
      </c>
      <c r="AA50" s="2" t="s">
        <v>674</v>
      </c>
      <c r="AB50" s="2" t="s">
        <v>674</v>
      </c>
      <c r="AC50" s="2" t="s">
        <v>710</v>
      </c>
      <c r="AD50" s="2" t="s">
        <v>674</v>
      </c>
      <c r="AE50" s="2" t="s">
        <v>674</v>
      </c>
      <c r="AF50" s="2" t="s">
        <v>674</v>
      </c>
      <c r="AG50" s="2" t="s">
        <v>674</v>
      </c>
      <c r="AH50" s="2" t="s">
        <v>163</v>
      </c>
      <c r="AJ50" s="2" t="s">
        <v>674</v>
      </c>
      <c r="AK50" s="2" t="s">
        <v>674</v>
      </c>
      <c r="AL50" s="2" t="s">
        <v>873</v>
      </c>
      <c r="AM50" s="2" t="s">
        <v>674</v>
      </c>
      <c r="AN50" s="2" t="s">
        <v>674</v>
      </c>
      <c r="AO50" s="2" t="s">
        <v>712</v>
      </c>
      <c r="AP50" s="2" t="s">
        <v>674</v>
      </c>
      <c r="AQ50" s="2" t="s">
        <v>674</v>
      </c>
      <c r="AR50" s="2" t="s">
        <v>674</v>
      </c>
      <c r="AS50" s="2" t="s">
        <v>674</v>
      </c>
      <c r="AT50" s="2" t="s">
        <v>674</v>
      </c>
      <c r="AU50" s="2" t="s">
        <v>674</v>
      </c>
      <c r="AV50" s="2" t="s">
        <v>674</v>
      </c>
      <c r="AW50" s="2" t="s">
        <v>674</v>
      </c>
      <c r="AX50" s="2" t="s">
        <v>674</v>
      </c>
      <c r="AY50" s="2" t="s">
        <v>674</v>
      </c>
      <c r="AZ50" s="2" t="s">
        <v>674</v>
      </c>
      <c r="BA50" s="2" t="s">
        <v>674</v>
      </c>
      <c r="BB50" s="2" t="s">
        <v>674</v>
      </c>
      <c r="BC50" s="2" t="s">
        <v>674</v>
      </c>
      <c r="BD50" s="2" t="s">
        <v>674</v>
      </c>
      <c r="BE50" s="2" t="s">
        <v>674</v>
      </c>
      <c r="BF50" s="2" t="s">
        <v>674</v>
      </c>
      <c r="BG50" s="2" t="s">
        <v>674</v>
      </c>
      <c r="BH50" s="2" t="s">
        <v>674</v>
      </c>
      <c r="BI50" s="2" t="s">
        <v>674</v>
      </c>
      <c r="BJ50" s="2" t="s">
        <v>674</v>
      </c>
      <c r="BK50" s="2" t="s">
        <v>674</v>
      </c>
      <c r="BL50" s="2" t="s">
        <v>674</v>
      </c>
      <c r="BM50" s="2" t="s">
        <v>674</v>
      </c>
      <c r="BN50" s="2" t="s">
        <v>674</v>
      </c>
      <c r="BO50" s="2" t="s">
        <v>674</v>
      </c>
      <c r="BP50" s="2" t="s">
        <v>674</v>
      </c>
      <c r="BQ50" s="2" t="s">
        <v>674</v>
      </c>
      <c r="BR50" s="2" t="s">
        <v>674</v>
      </c>
      <c r="BS50" s="2" t="s">
        <v>674</v>
      </c>
      <c r="BT50" s="2" t="s">
        <v>674</v>
      </c>
      <c r="BU50" s="2" t="s">
        <v>674</v>
      </c>
      <c r="BV50" s="2" t="s">
        <v>674</v>
      </c>
      <c r="BW50" s="2" t="s">
        <v>674</v>
      </c>
      <c r="BX50" s="2" t="s">
        <v>674</v>
      </c>
      <c r="BY50" s="2" t="s">
        <v>674</v>
      </c>
      <c r="BZ50" s="2" t="s">
        <v>674</v>
      </c>
      <c r="CA50" s="2" t="s">
        <v>674</v>
      </c>
      <c r="CB50" s="2" t="s">
        <v>674</v>
      </c>
      <c r="CC50" s="2" t="s">
        <v>674</v>
      </c>
      <c r="CD50" s="2" t="s">
        <v>674</v>
      </c>
      <c r="CE50" s="2" t="s">
        <v>674</v>
      </c>
      <c r="CF50" s="2" t="s">
        <v>674</v>
      </c>
      <c r="CG50" s="2" t="s">
        <v>674</v>
      </c>
      <c r="CH50" s="2" t="s">
        <v>674</v>
      </c>
      <c r="CI50" s="2" t="s">
        <v>674</v>
      </c>
      <c r="CJ50" s="2" t="str">
        <f>IF(ISERROR(_xlfn.XLOOKUP(Tabla_papers[[#This Row],[Key]],Primer_filtro[Key],Primer_filtro[Key])),"FALTA","YA ESTÁ")</f>
        <v>YA ESTÁ</v>
      </c>
    </row>
    <row r="51" spans="1:88" ht="409.5" hidden="1" x14ac:dyDescent="0.25">
      <c r="A51" s="2" t="s">
        <v>759</v>
      </c>
      <c r="B51" s="2" t="s">
        <v>126</v>
      </c>
      <c r="C51" s="2">
        <v>2015</v>
      </c>
      <c r="D51" s="2" t="s">
        <v>729</v>
      </c>
      <c r="E51" s="2" t="s">
        <v>760</v>
      </c>
      <c r="F51" s="2" t="s">
        <v>761</v>
      </c>
      <c r="G51" s="2" t="s">
        <v>762</v>
      </c>
      <c r="H51" s="2" t="s">
        <v>674</v>
      </c>
      <c r="I51" s="2" t="s">
        <v>763</v>
      </c>
      <c r="J51" s="2" t="s">
        <v>764</v>
      </c>
      <c r="K51" s="2" t="s">
        <v>765</v>
      </c>
      <c r="L51" s="2" t="s">
        <v>766</v>
      </c>
      <c r="M51" s="4">
        <v>46274.899305555555</v>
      </c>
      <c r="N51" s="4">
        <v>46274.899340277778</v>
      </c>
      <c r="O51" s="4">
        <v>46274.899305555555</v>
      </c>
      <c r="P51" s="2" t="s">
        <v>767</v>
      </c>
      <c r="Q51" s="2" t="s">
        <v>674</v>
      </c>
      <c r="T51" s="2" t="s">
        <v>674</v>
      </c>
      <c r="U51" s="2" t="s">
        <v>674</v>
      </c>
      <c r="V51" s="2" t="s">
        <v>674</v>
      </c>
      <c r="W51" s="2" t="s">
        <v>674</v>
      </c>
      <c r="X51" s="2" t="s">
        <v>674</v>
      </c>
      <c r="Y51" s="2" t="s">
        <v>674</v>
      </c>
      <c r="Z51" s="2" t="s">
        <v>674</v>
      </c>
      <c r="AA51" s="2" t="s">
        <v>133</v>
      </c>
      <c r="AB51" s="2" t="s">
        <v>768</v>
      </c>
      <c r="AC51" s="2" t="s">
        <v>97</v>
      </c>
      <c r="AD51" s="2" t="s">
        <v>674</v>
      </c>
      <c r="AE51" s="2" t="s">
        <v>674</v>
      </c>
      <c r="AF51" s="2" t="s">
        <v>674</v>
      </c>
      <c r="AG51" s="2" t="s">
        <v>674</v>
      </c>
      <c r="AH51" s="2" t="s">
        <v>99</v>
      </c>
      <c r="AJ51" s="2" t="s">
        <v>674</v>
      </c>
      <c r="AK51" s="2" t="s">
        <v>674</v>
      </c>
      <c r="AL51" s="2" t="s">
        <v>769</v>
      </c>
      <c r="AM51" s="2" t="s">
        <v>674</v>
      </c>
      <c r="AN51" s="2" t="s">
        <v>674</v>
      </c>
      <c r="AO51" s="2" t="s">
        <v>712</v>
      </c>
      <c r="AP51" s="2" t="s">
        <v>674</v>
      </c>
      <c r="AQ51" s="2" t="s">
        <v>674</v>
      </c>
      <c r="AR51" s="2" t="s">
        <v>674</v>
      </c>
      <c r="AS51" s="2" t="s">
        <v>674</v>
      </c>
      <c r="AT51" s="2" t="s">
        <v>674</v>
      </c>
      <c r="AU51" s="2" t="s">
        <v>674</v>
      </c>
      <c r="AV51" s="2" t="s">
        <v>674</v>
      </c>
      <c r="AW51" s="2" t="s">
        <v>674</v>
      </c>
      <c r="AX51" s="2" t="s">
        <v>674</v>
      </c>
      <c r="AY51" s="2" t="s">
        <v>674</v>
      </c>
      <c r="AZ51" s="2" t="s">
        <v>674</v>
      </c>
      <c r="BA51" s="2" t="s">
        <v>674</v>
      </c>
      <c r="BB51" s="2" t="s">
        <v>674</v>
      </c>
      <c r="BC51" s="2" t="s">
        <v>674</v>
      </c>
      <c r="BD51" s="2" t="s">
        <v>674</v>
      </c>
      <c r="BE51" s="2" t="s">
        <v>674</v>
      </c>
      <c r="BF51" s="2" t="s">
        <v>674</v>
      </c>
      <c r="BG51" s="2" t="s">
        <v>674</v>
      </c>
      <c r="BH51" s="2" t="s">
        <v>674</v>
      </c>
      <c r="BI51" s="2" t="s">
        <v>674</v>
      </c>
      <c r="BJ51" s="2" t="s">
        <v>674</v>
      </c>
      <c r="BK51" s="2" t="s">
        <v>674</v>
      </c>
      <c r="BL51" s="2" t="s">
        <v>674</v>
      </c>
      <c r="BM51" s="2" t="s">
        <v>674</v>
      </c>
      <c r="BN51" s="2" t="s">
        <v>674</v>
      </c>
      <c r="BO51" s="2" t="s">
        <v>674</v>
      </c>
      <c r="BP51" s="2" t="s">
        <v>674</v>
      </c>
      <c r="BQ51" s="2" t="s">
        <v>674</v>
      </c>
      <c r="BR51" s="2" t="s">
        <v>674</v>
      </c>
      <c r="BS51" s="2" t="s">
        <v>674</v>
      </c>
      <c r="BT51" s="2" t="s">
        <v>761</v>
      </c>
      <c r="BU51" s="2" t="s">
        <v>674</v>
      </c>
      <c r="BV51" s="2" t="s">
        <v>674</v>
      </c>
      <c r="BW51" s="2" t="s">
        <v>674</v>
      </c>
      <c r="BX51" s="2" t="s">
        <v>674</v>
      </c>
      <c r="BY51" s="2" t="s">
        <v>674</v>
      </c>
      <c r="BZ51" s="2" t="s">
        <v>674</v>
      </c>
      <c r="CA51" s="2" t="s">
        <v>674</v>
      </c>
      <c r="CB51" s="2" t="s">
        <v>674</v>
      </c>
      <c r="CC51" s="2" t="s">
        <v>674</v>
      </c>
      <c r="CD51" s="2" t="s">
        <v>674</v>
      </c>
      <c r="CE51" s="2" t="s">
        <v>674</v>
      </c>
      <c r="CF51" s="2" t="s">
        <v>674</v>
      </c>
      <c r="CG51" s="2" t="s">
        <v>674</v>
      </c>
      <c r="CH51" s="2" t="s">
        <v>674</v>
      </c>
      <c r="CI51" s="2" t="s">
        <v>674</v>
      </c>
      <c r="CJ51" s="2" t="str">
        <f>IF(ISERROR(_xlfn.XLOOKUP(Tabla_papers[[#This Row],[Key]],Primer_filtro[Key],Primer_filtro[Key])),"FALTA","YA ESTÁ")</f>
        <v>YA ESTÁ</v>
      </c>
    </row>
    <row r="52" spans="1:88" ht="409.5" hidden="1" x14ac:dyDescent="0.25">
      <c r="A52" s="2" t="s">
        <v>782</v>
      </c>
      <c r="B52" s="2" t="s">
        <v>126</v>
      </c>
      <c r="C52" s="2">
        <v>2015</v>
      </c>
      <c r="D52" s="2" t="s">
        <v>729</v>
      </c>
      <c r="E52" s="2" t="s">
        <v>783</v>
      </c>
      <c r="F52" s="2" t="s">
        <v>784</v>
      </c>
      <c r="G52" s="2" t="s">
        <v>674</v>
      </c>
      <c r="H52" s="2" t="s">
        <v>674</v>
      </c>
      <c r="I52" s="2" t="s">
        <v>785</v>
      </c>
      <c r="J52" s="2" t="s">
        <v>786</v>
      </c>
      <c r="K52" s="2" t="s">
        <v>787</v>
      </c>
      <c r="L52" s="2" t="s">
        <v>788</v>
      </c>
      <c r="M52" s="4">
        <v>46274.899699074071</v>
      </c>
      <c r="N52" s="4">
        <v>46274.899722222224</v>
      </c>
      <c r="O52" s="4">
        <v>46274.899699074071</v>
      </c>
      <c r="P52" s="2" t="s">
        <v>756</v>
      </c>
      <c r="Q52" s="2" t="s">
        <v>674</v>
      </c>
      <c r="T52" s="2" t="s">
        <v>674</v>
      </c>
      <c r="U52" s="2" t="s">
        <v>674</v>
      </c>
      <c r="V52" s="2" t="s">
        <v>674</v>
      </c>
      <c r="W52" s="2" t="s">
        <v>674</v>
      </c>
      <c r="X52" s="2" t="s">
        <v>674</v>
      </c>
      <c r="Y52" s="2" t="s">
        <v>674</v>
      </c>
      <c r="Z52" s="2" t="s">
        <v>674</v>
      </c>
      <c r="AA52" s="2" t="s">
        <v>674</v>
      </c>
      <c r="AB52" s="2" t="s">
        <v>674</v>
      </c>
      <c r="AC52" s="2" t="s">
        <v>674</v>
      </c>
      <c r="AD52" s="2" t="s">
        <v>674</v>
      </c>
      <c r="AE52" s="2" t="s">
        <v>674</v>
      </c>
      <c r="AF52" s="2" t="s">
        <v>674</v>
      </c>
      <c r="AG52" s="2" t="s">
        <v>674</v>
      </c>
      <c r="AH52" s="2" t="s">
        <v>789</v>
      </c>
      <c r="AJ52" s="2" t="s">
        <v>790</v>
      </c>
      <c r="AK52" s="2" t="s">
        <v>674</v>
      </c>
      <c r="AL52" s="2" t="s">
        <v>791</v>
      </c>
      <c r="AM52" s="2" t="s">
        <v>674</v>
      </c>
      <c r="AN52" s="2" t="s">
        <v>674</v>
      </c>
      <c r="AO52" s="2" t="s">
        <v>792</v>
      </c>
      <c r="AP52" s="2" t="s">
        <v>674</v>
      </c>
      <c r="AQ52" s="2" t="s">
        <v>674</v>
      </c>
      <c r="AR52" s="2" t="s">
        <v>674</v>
      </c>
      <c r="AS52" s="2" t="s">
        <v>674</v>
      </c>
      <c r="AT52" s="2" t="s">
        <v>674</v>
      </c>
      <c r="AU52" s="2" t="s">
        <v>674</v>
      </c>
      <c r="AV52" s="2" t="s">
        <v>674</v>
      </c>
      <c r="AW52" s="2" t="s">
        <v>674</v>
      </c>
      <c r="AX52" s="2" t="s">
        <v>674</v>
      </c>
      <c r="AY52" s="2" t="s">
        <v>674</v>
      </c>
      <c r="AZ52" s="2" t="s">
        <v>674</v>
      </c>
      <c r="BA52" s="2" t="s">
        <v>674</v>
      </c>
      <c r="BB52" s="2" t="s">
        <v>674</v>
      </c>
      <c r="BC52" s="2" t="s">
        <v>674</v>
      </c>
      <c r="BD52" s="2" t="s">
        <v>674</v>
      </c>
      <c r="BE52" s="2" t="s">
        <v>674</v>
      </c>
      <c r="BF52" s="2" t="s">
        <v>674</v>
      </c>
      <c r="BG52" s="2" t="s">
        <v>674</v>
      </c>
      <c r="BH52" s="2" t="s">
        <v>674</v>
      </c>
      <c r="BI52" s="2" t="s">
        <v>674</v>
      </c>
      <c r="BJ52" s="2" t="s">
        <v>674</v>
      </c>
      <c r="BK52" s="2" t="s">
        <v>674</v>
      </c>
      <c r="BL52" s="2" t="s">
        <v>674</v>
      </c>
      <c r="BM52" s="2" t="s">
        <v>674</v>
      </c>
      <c r="BN52" s="2" t="s">
        <v>674</v>
      </c>
      <c r="BO52" s="2" t="s">
        <v>674</v>
      </c>
      <c r="BP52" s="2" t="s">
        <v>674</v>
      </c>
      <c r="BQ52" s="2" t="s">
        <v>674</v>
      </c>
      <c r="BR52" s="2" t="s">
        <v>674</v>
      </c>
      <c r="BS52" s="2" t="s">
        <v>674</v>
      </c>
      <c r="BT52" s="2" t="s">
        <v>674</v>
      </c>
      <c r="BU52" s="2" t="s">
        <v>674</v>
      </c>
      <c r="BV52" s="2" t="s">
        <v>674</v>
      </c>
      <c r="BW52" s="2" t="s">
        <v>674</v>
      </c>
      <c r="BX52" s="2" t="s">
        <v>674</v>
      </c>
      <c r="BY52" s="2" t="s">
        <v>674</v>
      </c>
      <c r="BZ52" s="2" t="s">
        <v>674</v>
      </c>
      <c r="CA52" s="2" t="s">
        <v>674</v>
      </c>
      <c r="CB52" s="2" t="s">
        <v>674</v>
      </c>
      <c r="CC52" s="2" t="s">
        <v>674</v>
      </c>
      <c r="CD52" s="2" t="s">
        <v>674</v>
      </c>
      <c r="CE52" s="2" t="s">
        <v>674</v>
      </c>
      <c r="CF52" s="2" t="s">
        <v>674</v>
      </c>
      <c r="CG52" s="2" t="s">
        <v>674</v>
      </c>
      <c r="CH52" s="2" t="s">
        <v>674</v>
      </c>
      <c r="CI52" s="2" t="s">
        <v>674</v>
      </c>
      <c r="CJ52" s="2" t="str">
        <f>IF(ISERROR(_xlfn.XLOOKUP(Tabla_papers[[#This Row],[Key]],Primer_filtro[Key],Primer_filtro[Key])),"FALTA","YA ESTÁ")</f>
        <v>YA ESTÁ</v>
      </c>
    </row>
    <row r="53" spans="1:88" ht="409.5" hidden="1" x14ac:dyDescent="0.25">
      <c r="A53" s="2" t="s">
        <v>715</v>
      </c>
      <c r="B53" s="2" t="s">
        <v>88</v>
      </c>
      <c r="C53" s="2">
        <v>2025</v>
      </c>
      <c r="D53" s="2" t="s">
        <v>716</v>
      </c>
      <c r="E53" s="2" t="s">
        <v>717</v>
      </c>
      <c r="F53" s="2" t="s">
        <v>674</v>
      </c>
      <c r="G53" s="2" t="s">
        <v>674</v>
      </c>
      <c r="H53" s="2" t="s">
        <v>718</v>
      </c>
      <c r="I53" s="2" t="s">
        <v>719</v>
      </c>
      <c r="J53" s="2" t="s">
        <v>720</v>
      </c>
      <c r="K53" s="2" t="s">
        <v>721</v>
      </c>
      <c r="L53" s="2" t="s">
        <v>722</v>
      </c>
      <c r="M53" s="4">
        <v>46274.898217592592</v>
      </c>
      <c r="N53" s="4">
        <v>46274.898298611108</v>
      </c>
      <c r="O53" s="4">
        <v>46274.898217592592</v>
      </c>
      <c r="P53" s="2" t="s">
        <v>674</v>
      </c>
      <c r="Q53" s="2" t="s">
        <v>674</v>
      </c>
      <c r="T53" s="2" t="s">
        <v>674</v>
      </c>
      <c r="U53" s="2" t="s">
        <v>674</v>
      </c>
      <c r="V53" s="2" t="s">
        <v>674</v>
      </c>
      <c r="W53" s="2" t="s">
        <v>674</v>
      </c>
      <c r="X53" s="2" t="s">
        <v>674</v>
      </c>
      <c r="Y53" s="2" t="s">
        <v>674</v>
      </c>
      <c r="Z53" s="2" t="s">
        <v>674</v>
      </c>
      <c r="AA53" s="2" t="s">
        <v>723</v>
      </c>
      <c r="AB53" s="2" t="s">
        <v>674</v>
      </c>
      <c r="AC53" s="2" t="s">
        <v>97</v>
      </c>
      <c r="AD53" s="2" t="s">
        <v>724</v>
      </c>
      <c r="AE53" s="2" t="s">
        <v>674</v>
      </c>
      <c r="AF53" s="2" t="s">
        <v>674</v>
      </c>
      <c r="AG53" s="2" t="s">
        <v>674</v>
      </c>
      <c r="AH53" s="2" t="s">
        <v>725</v>
      </c>
      <c r="AJ53" s="2" t="s">
        <v>674</v>
      </c>
      <c r="AK53" s="2" t="s">
        <v>674</v>
      </c>
      <c r="AL53" s="2" t="s">
        <v>726</v>
      </c>
      <c r="AM53" s="2" t="s">
        <v>674</v>
      </c>
      <c r="AN53" s="2" t="s">
        <v>674</v>
      </c>
      <c r="AO53" s="2" t="s">
        <v>727</v>
      </c>
      <c r="AP53" s="2" t="s">
        <v>674</v>
      </c>
      <c r="AQ53" s="2" t="s">
        <v>674</v>
      </c>
      <c r="AR53" s="2" t="s">
        <v>674</v>
      </c>
      <c r="AS53" s="2" t="s">
        <v>674</v>
      </c>
      <c r="AT53" s="2" t="s">
        <v>674</v>
      </c>
      <c r="AU53" s="2" t="s">
        <v>674</v>
      </c>
      <c r="AV53" s="2" t="s">
        <v>674</v>
      </c>
      <c r="AW53" s="2" t="s">
        <v>674</v>
      </c>
      <c r="AX53" s="2" t="s">
        <v>674</v>
      </c>
      <c r="AY53" s="2" t="s">
        <v>674</v>
      </c>
      <c r="AZ53" s="2" t="s">
        <v>674</v>
      </c>
      <c r="BA53" s="2" t="s">
        <v>674</v>
      </c>
      <c r="BB53" s="2" t="s">
        <v>674</v>
      </c>
      <c r="BC53" s="2" t="s">
        <v>674</v>
      </c>
      <c r="BD53" s="2" t="s">
        <v>674</v>
      </c>
      <c r="BE53" s="2" t="s">
        <v>674</v>
      </c>
      <c r="BF53" s="2" t="s">
        <v>674</v>
      </c>
      <c r="BG53" s="2" t="s">
        <v>674</v>
      </c>
      <c r="BH53" s="2" t="s">
        <v>674</v>
      </c>
      <c r="BI53" s="2" t="s">
        <v>674</v>
      </c>
      <c r="BJ53" s="2" t="s">
        <v>674</v>
      </c>
      <c r="BK53" s="2" t="s">
        <v>674</v>
      </c>
      <c r="BL53" s="2" t="s">
        <v>674</v>
      </c>
      <c r="BM53" s="2" t="s">
        <v>674</v>
      </c>
      <c r="BN53" s="2" t="s">
        <v>674</v>
      </c>
      <c r="BO53" s="2" t="s">
        <v>674</v>
      </c>
      <c r="BP53" s="2" t="s">
        <v>674</v>
      </c>
      <c r="BQ53" s="2" t="s">
        <v>674</v>
      </c>
      <c r="BR53" s="2" t="s">
        <v>674</v>
      </c>
      <c r="BS53" s="2" t="s">
        <v>674</v>
      </c>
      <c r="BT53" s="2" t="s">
        <v>674</v>
      </c>
      <c r="BU53" s="2" t="s">
        <v>674</v>
      </c>
      <c r="BV53" s="2" t="s">
        <v>674</v>
      </c>
      <c r="BW53" s="2" t="s">
        <v>674</v>
      </c>
      <c r="BX53" s="2" t="s">
        <v>674</v>
      </c>
      <c r="BY53" s="2" t="s">
        <v>674</v>
      </c>
      <c r="BZ53" s="2" t="s">
        <v>674</v>
      </c>
      <c r="CA53" s="2" t="s">
        <v>674</v>
      </c>
      <c r="CB53" s="2" t="s">
        <v>674</v>
      </c>
      <c r="CC53" s="2" t="s">
        <v>674</v>
      </c>
      <c r="CD53" s="2" t="s">
        <v>674</v>
      </c>
      <c r="CE53" s="2" t="s">
        <v>674</v>
      </c>
      <c r="CF53" s="2" t="s">
        <v>674</v>
      </c>
      <c r="CG53" s="2" t="s">
        <v>674</v>
      </c>
      <c r="CH53" s="2" t="s">
        <v>674</v>
      </c>
      <c r="CI53" s="2" t="s">
        <v>674</v>
      </c>
      <c r="CJ53" s="2" t="str">
        <f>IF(ISERROR(_xlfn.XLOOKUP(Tabla_papers[[#This Row],[Key]],Primer_filtro[Key],Primer_filtro[Key])),"FALTA","YA ESTÁ")</f>
        <v>YA ESTÁ</v>
      </c>
    </row>
    <row r="54" spans="1:88" ht="409.5" hidden="1" x14ac:dyDescent="0.25">
      <c r="A54" s="2" t="s">
        <v>770</v>
      </c>
      <c r="B54" s="2" t="s">
        <v>126</v>
      </c>
      <c r="C54" s="2">
        <v>2009</v>
      </c>
      <c r="D54" s="2" t="s">
        <v>771</v>
      </c>
      <c r="E54" s="2" t="s">
        <v>772</v>
      </c>
      <c r="F54" s="2" t="s">
        <v>773</v>
      </c>
      <c r="G54" s="2" t="s">
        <v>774</v>
      </c>
      <c r="H54" s="2" t="s">
        <v>674</v>
      </c>
      <c r="I54" s="2" t="s">
        <v>775</v>
      </c>
      <c r="J54" s="2" t="s">
        <v>776</v>
      </c>
      <c r="K54" s="2" t="s">
        <v>777</v>
      </c>
      <c r="L54" s="2" t="s">
        <v>778</v>
      </c>
      <c r="M54" s="4">
        <v>46274.899421296293</v>
      </c>
      <c r="N54" s="4">
        <v>46274.899467592593</v>
      </c>
      <c r="O54" s="4">
        <v>46274.899421296293</v>
      </c>
      <c r="P54" s="2" t="s">
        <v>677</v>
      </c>
      <c r="Q54" s="2" t="s">
        <v>674</v>
      </c>
      <c r="T54" s="2" t="s">
        <v>674</v>
      </c>
      <c r="U54" s="2" t="s">
        <v>674</v>
      </c>
      <c r="V54" s="2" t="s">
        <v>674</v>
      </c>
      <c r="W54" s="2" t="s">
        <v>674</v>
      </c>
      <c r="X54" s="2" t="s">
        <v>674</v>
      </c>
      <c r="Y54" s="2" t="s">
        <v>674</v>
      </c>
      <c r="Z54" s="2" t="s">
        <v>674</v>
      </c>
      <c r="AA54" s="2" t="s">
        <v>133</v>
      </c>
      <c r="AB54" s="2" t="s">
        <v>779</v>
      </c>
      <c r="AC54" s="2" t="s">
        <v>97</v>
      </c>
      <c r="AD54" s="2" t="s">
        <v>674</v>
      </c>
      <c r="AE54" s="2" t="s">
        <v>674</v>
      </c>
      <c r="AF54" s="2" t="s">
        <v>674</v>
      </c>
      <c r="AG54" s="2" t="s">
        <v>674</v>
      </c>
      <c r="AH54" s="2" t="s">
        <v>99</v>
      </c>
      <c r="AJ54" s="2" t="s">
        <v>674</v>
      </c>
      <c r="AK54" s="2" t="s">
        <v>674</v>
      </c>
      <c r="AL54" s="2" t="s">
        <v>780</v>
      </c>
      <c r="AM54" s="2" t="s">
        <v>674</v>
      </c>
      <c r="AN54" s="2" t="s">
        <v>674</v>
      </c>
      <c r="AO54" s="2" t="s">
        <v>712</v>
      </c>
      <c r="AP54" s="2" t="s">
        <v>674</v>
      </c>
      <c r="AQ54" s="2" t="s">
        <v>674</v>
      </c>
      <c r="AR54" s="2" t="s">
        <v>674</v>
      </c>
      <c r="AS54" s="2" t="s">
        <v>674</v>
      </c>
      <c r="AT54" s="2" t="s">
        <v>674</v>
      </c>
      <c r="AU54" s="2" t="s">
        <v>674</v>
      </c>
      <c r="AV54" s="2" t="s">
        <v>674</v>
      </c>
      <c r="AW54" s="2" t="s">
        <v>674</v>
      </c>
      <c r="AX54" s="2" t="s">
        <v>674</v>
      </c>
      <c r="AY54" s="2" t="s">
        <v>674</v>
      </c>
      <c r="AZ54" s="2" t="s">
        <v>674</v>
      </c>
      <c r="BA54" s="2" t="s">
        <v>674</v>
      </c>
      <c r="BB54" s="2" t="s">
        <v>674</v>
      </c>
      <c r="BC54" s="2" t="s">
        <v>674</v>
      </c>
      <c r="BD54" s="2" t="s">
        <v>674</v>
      </c>
      <c r="BE54" s="2" t="s">
        <v>674</v>
      </c>
      <c r="BF54" s="2" t="s">
        <v>674</v>
      </c>
      <c r="BG54" s="2" t="s">
        <v>674</v>
      </c>
      <c r="BH54" s="2" t="s">
        <v>674</v>
      </c>
      <c r="BI54" s="2" t="s">
        <v>674</v>
      </c>
      <c r="BJ54" s="2" t="s">
        <v>674</v>
      </c>
      <c r="BK54" s="2" t="s">
        <v>674</v>
      </c>
      <c r="BL54" s="2" t="s">
        <v>674</v>
      </c>
      <c r="BM54" s="2" t="s">
        <v>674</v>
      </c>
      <c r="BN54" s="2" t="s">
        <v>674</v>
      </c>
      <c r="BO54" s="2" t="s">
        <v>674</v>
      </c>
      <c r="BP54" s="2" t="s">
        <v>674</v>
      </c>
      <c r="BQ54" s="2" t="s">
        <v>674</v>
      </c>
      <c r="BR54" s="2" t="s">
        <v>674</v>
      </c>
      <c r="BS54" s="2" t="s">
        <v>674</v>
      </c>
      <c r="BT54" s="2" t="s">
        <v>781</v>
      </c>
      <c r="BU54" s="2" t="s">
        <v>674</v>
      </c>
      <c r="BV54" s="2" t="s">
        <v>674</v>
      </c>
      <c r="BW54" s="2" t="s">
        <v>674</v>
      </c>
      <c r="BX54" s="2" t="s">
        <v>674</v>
      </c>
      <c r="BY54" s="2" t="s">
        <v>674</v>
      </c>
      <c r="BZ54" s="2" t="s">
        <v>674</v>
      </c>
      <c r="CA54" s="2" t="s">
        <v>674</v>
      </c>
      <c r="CB54" s="2" t="s">
        <v>674</v>
      </c>
      <c r="CC54" s="2" t="s">
        <v>674</v>
      </c>
      <c r="CD54" s="2" t="s">
        <v>674</v>
      </c>
      <c r="CE54" s="2" t="s">
        <v>674</v>
      </c>
      <c r="CF54" s="2" t="s">
        <v>674</v>
      </c>
      <c r="CG54" s="2" t="s">
        <v>674</v>
      </c>
      <c r="CH54" s="2" t="s">
        <v>674</v>
      </c>
      <c r="CI54" s="2" t="s">
        <v>674</v>
      </c>
      <c r="CJ54" s="2" t="str">
        <f>IF(ISERROR(_xlfn.XLOOKUP(Tabla_papers[[#This Row],[Key]],Primer_filtro[Key],Primer_filtro[Key])),"FALTA","YA ESTÁ")</f>
        <v>YA ESTÁ</v>
      </c>
    </row>
    <row r="55" spans="1:88" ht="255" hidden="1" x14ac:dyDescent="0.25">
      <c r="A55" s="2" t="s">
        <v>899</v>
      </c>
      <c r="B55" s="2" t="s">
        <v>103</v>
      </c>
      <c r="C55" s="2">
        <v>2004</v>
      </c>
      <c r="D55" s="2" t="s">
        <v>900</v>
      </c>
      <c r="E55" s="2" t="s">
        <v>901</v>
      </c>
      <c r="F55" s="2" t="s">
        <v>674</v>
      </c>
      <c r="G55" s="2" t="s">
        <v>674</v>
      </c>
      <c r="H55" s="2" t="s">
        <v>674</v>
      </c>
      <c r="I55" s="2" t="s">
        <v>902</v>
      </c>
      <c r="J55" s="2" t="s">
        <v>903</v>
      </c>
      <c r="K55" s="2" t="s">
        <v>904</v>
      </c>
      <c r="L55" s="2" t="s">
        <v>905</v>
      </c>
      <c r="M55" s="4">
        <v>46274.90053240741</v>
      </c>
      <c r="N55" s="4">
        <v>46274.900543981479</v>
      </c>
      <c r="O55" s="4">
        <v>46274.90053240741</v>
      </c>
      <c r="P55" s="2" t="s">
        <v>674</v>
      </c>
      <c r="Q55" s="2" t="s">
        <v>674</v>
      </c>
      <c r="T55" s="2" t="s">
        <v>674</v>
      </c>
      <c r="U55" s="2" t="s">
        <v>674</v>
      </c>
      <c r="V55" s="2" t="s">
        <v>674</v>
      </c>
      <c r="W55" s="2" t="s">
        <v>674</v>
      </c>
      <c r="X55" s="2" t="s">
        <v>674</v>
      </c>
      <c r="Y55" s="2" t="s">
        <v>674</v>
      </c>
      <c r="Z55" s="2" t="s">
        <v>674</v>
      </c>
      <c r="AA55" s="2" t="s">
        <v>906</v>
      </c>
      <c r="AB55" s="2" t="s">
        <v>674</v>
      </c>
      <c r="AC55" s="2" t="s">
        <v>710</v>
      </c>
      <c r="AD55" s="2" t="s">
        <v>907</v>
      </c>
      <c r="AE55" s="2" t="s">
        <v>908</v>
      </c>
      <c r="AF55" s="2" t="s">
        <v>674</v>
      </c>
      <c r="AG55" s="2" t="s">
        <v>674</v>
      </c>
      <c r="AH55" s="2" t="s">
        <v>99</v>
      </c>
      <c r="AJ55" s="2" t="s">
        <v>674</v>
      </c>
      <c r="AK55" s="2" t="s">
        <v>674</v>
      </c>
      <c r="AL55" s="2" t="s">
        <v>909</v>
      </c>
      <c r="AM55" s="2" t="s">
        <v>674</v>
      </c>
      <c r="AN55" s="2" t="s">
        <v>674</v>
      </c>
      <c r="AO55" s="2" t="s">
        <v>712</v>
      </c>
      <c r="AP55" s="2" t="s">
        <v>674</v>
      </c>
      <c r="AQ55" s="2" t="s">
        <v>674</v>
      </c>
      <c r="AR55" s="2" t="s">
        <v>674</v>
      </c>
      <c r="AS55" s="2" t="s">
        <v>674</v>
      </c>
      <c r="AT55" s="2" t="s">
        <v>674</v>
      </c>
      <c r="AU55" s="2" t="s">
        <v>674</v>
      </c>
      <c r="AV55" s="2" t="s">
        <v>674</v>
      </c>
      <c r="AW55" s="2" t="s">
        <v>674</v>
      </c>
      <c r="AX55" s="2" t="s">
        <v>674</v>
      </c>
      <c r="AY55" s="2" t="s">
        <v>674</v>
      </c>
      <c r="AZ55" s="2" t="s">
        <v>674</v>
      </c>
      <c r="BA55" s="2" t="s">
        <v>674</v>
      </c>
      <c r="BB55" s="2" t="s">
        <v>674</v>
      </c>
      <c r="BC55" s="2" t="s">
        <v>674</v>
      </c>
      <c r="BD55" s="2" t="s">
        <v>674</v>
      </c>
      <c r="BE55" s="2" t="s">
        <v>674</v>
      </c>
      <c r="BF55" s="2" t="s">
        <v>674</v>
      </c>
      <c r="BG55" s="2" t="s">
        <v>674</v>
      </c>
      <c r="BH55" s="2" t="s">
        <v>674</v>
      </c>
      <c r="BI55" s="2" t="s">
        <v>674</v>
      </c>
      <c r="BJ55" s="2" t="s">
        <v>674</v>
      </c>
      <c r="BK55" s="2" t="s">
        <v>674</v>
      </c>
      <c r="BL55" s="2" t="s">
        <v>674</v>
      </c>
      <c r="BM55" s="2" t="s">
        <v>674</v>
      </c>
      <c r="BN55" s="2" t="s">
        <v>674</v>
      </c>
      <c r="BO55" s="2" t="s">
        <v>674</v>
      </c>
      <c r="BP55" s="2" t="s">
        <v>674</v>
      </c>
      <c r="BQ55" s="2" t="s">
        <v>674</v>
      </c>
      <c r="BR55" s="2" t="s">
        <v>674</v>
      </c>
      <c r="BS55" s="2" t="s">
        <v>674</v>
      </c>
      <c r="BT55" s="2" t="s">
        <v>674</v>
      </c>
      <c r="BU55" s="2" t="s">
        <v>674</v>
      </c>
      <c r="BV55" s="2" t="s">
        <v>674</v>
      </c>
      <c r="BW55" s="2" t="s">
        <v>674</v>
      </c>
      <c r="BX55" s="2" t="s">
        <v>674</v>
      </c>
      <c r="BY55" s="2" t="s">
        <v>674</v>
      </c>
      <c r="BZ55" s="2" t="s">
        <v>674</v>
      </c>
      <c r="CA55" s="2" t="s">
        <v>674</v>
      </c>
      <c r="CB55" s="2" t="s">
        <v>674</v>
      </c>
      <c r="CC55" s="2" t="s">
        <v>674</v>
      </c>
      <c r="CD55" s="2" t="s">
        <v>674</v>
      </c>
      <c r="CE55" s="2" t="s">
        <v>674</v>
      </c>
      <c r="CF55" s="2" t="s">
        <v>674</v>
      </c>
      <c r="CG55" s="2" t="s">
        <v>674</v>
      </c>
      <c r="CH55" s="2" t="s">
        <v>674</v>
      </c>
      <c r="CI55" s="2" t="s">
        <v>674</v>
      </c>
      <c r="CJ55" s="2" t="str">
        <f>IF(ISERROR(_xlfn.XLOOKUP(Tabla_papers[[#This Row],[Key]],Primer_filtro[Key],Primer_filtro[Key])),"FALTA","YA ESTÁ")</f>
        <v>YA ESTÁ</v>
      </c>
    </row>
    <row r="56" spans="1:88" ht="135" hidden="1" x14ac:dyDescent="0.25">
      <c r="A56" s="2" t="s">
        <v>874</v>
      </c>
      <c r="B56" s="2" t="s">
        <v>88</v>
      </c>
      <c r="D56" s="2" t="s">
        <v>871</v>
      </c>
      <c r="E56" s="2" t="s">
        <v>875</v>
      </c>
      <c r="F56" s="2" t="s">
        <v>674</v>
      </c>
      <c r="G56" s="2" t="s">
        <v>674</v>
      </c>
      <c r="H56" s="2" t="s">
        <v>674</v>
      </c>
      <c r="I56" s="2" t="s">
        <v>674</v>
      </c>
      <c r="J56" s="2" t="s">
        <v>674</v>
      </c>
      <c r="K56" s="2" t="s">
        <v>674</v>
      </c>
      <c r="L56" s="2" t="s">
        <v>674</v>
      </c>
      <c r="M56" s="4">
        <v>46274.900254629632</v>
      </c>
      <c r="N56" s="4">
        <v>46274.900266203702</v>
      </c>
      <c r="O56" s="4"/>
      <c r="P56" s="2" t="s">
        <v>674</v>
      </c>
      <c r="Q56" s="2" t="s">
        <v>674</v>
      </c>
      <c r="R56" s="2">
        <v>2</v>
      </c>
      <c r="T56" s="2" t="s">
        <v>674</v>
      </c>
      <c r="U56" s="2" t="s">
        <v>674</v>
      </c>
      <c r="V56" s="2" t="s">
        <v>674</v>
      </c>
      <c r="W56" s="2" t="s">
        <v>674</v>
      </c>
      <c r="X56" s="2" t="s">
        <v>674</v>
      </c>
      <c r="Y56" s="2" t="s">
        <v>674</v>
      </c>
      <c r="Z56" s="2" t="s">
        <v>674</v>
      </c>
      <c r="AA56" s="2" t="s">
        <v>674</v>
      </c>
      <c r="AB56" s="2" t="s">
        <v>674</v>
      </c>
      <c r="AC56" s="2" t="s">
        <v>710</v>
      </c>
      <c r="AD56" s="2" t="s">
        <v>674</v>
      </c>
      <c r="AE56" s="2" t="s">
        <v>674</v>
      </c>
      <c r="AF56" s="2" t="s">
        <v>674</v>
      </c>
      <c r="AG56" s="2" t="s">
        <v>674</v>
      </c>
      <c r="AH56" s="2" t="s">
        <v>163</v>
      </c>
      <c r="AJ56" s="2" t="s">
        <v>674</v>
      </c>
      <c r="AK56" s="2" t="s">
        <v>674</v>
      </c>
      <c r="AL56" s="2" t="s">
        <v>876</v>
      </c>
      <c r="AM56" s="2" t="s">
        <v>674</v>
      </c>
      <c r="AN56" s="2" t="s">
        <v>674</v>
      </c>
      <c r="AO56" s="2" t="s">
        <v>712</v>
      </c>
      <c r="AP56" s="2" t="s">
        <v>674</v>
      </c>
      <c r="AQ56" s="2" t="s">
        <v>674</v>
      </c>
      <c r="AR56" s="2" t="s">
        <v>674</v>
      </c>
      <c r="AS56" s="2" t="s">
        <v>674</v>
      </c>
      <c r="AT56" s="2" t="s">
        <v>674</v>
      </c>
      <c r="AU56" s="2" t="s">
        <v>674</v>
      </c>
      <c r="AV56" s="2" t="s">
        <v>674</v>
      </c>
      <c r="AW56" s="2" t="s">
        <v>674</v>
      </c>
      <c r="AX56" s="2" t="s">
        <v>674</v>
      </c>
      <c r="AY56" s="2" t="s">
        <v>674</v>
      </c>
      <c r="AZ56" s="2" t="s">
        <v>674</v>
      </c>
      <c r="BA56" s="2" t="s">
        <v>674</v>
      </c>
      <c r="BB56" s="2" t="s">
        <v>674</v>
      </c>
      <c r="BC56" s="2" t="s">
        <v>674</v>
      </c>
      <c r="BD56" s="2" t="s">
        <v>674</v>
      </c>
      <c r="BE56" s="2" t="s">
        <v>674</v>
      </c>
      <c r="BF56" s="2" t="s">
        <v>674</v>
      </c>
      <c r="BG56" s="2" t="s">
        <v>674</v>
      </c>
      <c r="BH56" s="2" t="s">
        <v>674</v>
      </c>
      <c r="BI56" s="2" t="s">
        <v>674</v>
      </c>
      <c r="BJ56" s="2" t="s">
        <v>674</v>
      </c>
      <c r="BK56" s="2" t="s">
        <v>674</v>
      </c>
      <c r="BL56" s="2" t="s">
        <v>674</v>
      </c>
      <c r="BM56" s="2" t="s">
        <v>674</v>
      </c>
      <c r="BN56" s="2" t="s">
        <v>674</v>
      </c>
      <c r="BO56" s="2" t="s">
        <v>674</v>
      </c>
      <c r="BP56" s="2" t="s">
        <v>674</v>
      </c>
      <c r="BQ56" s="2" t="s">
        <v>674</v>
      </c>
      <c r="BR56" s="2" t="s">
        <v>674</v>
      </c>
      <c r="BS56" s="2" t="s">
        <v>674</v>
      </c>
      <c r="BT56" s="2" t="s">
        <v>674</v>
      </c>
      <c r="BU56" s="2" t="s">
        <v>674</v>
      </c>
      <c r="BV56" s="2" t="s">
        <v>674</v>
      </c>
      <c r="BW56" s="2" t="s">
        <v>674</v>
      </c>
      <c r="BX56" s="2" t="s">
        <v>674</v>
      </c>
      <c r="BY56" s="2" t="s">
        <v>674</v>
      </c>
      <c r="BZ56" s="2" t="s">
        <v>674</v>
      </c>
      <c r="CA56" s="2" t="s">
        <v>674</v>
      </c>
      <c r="CB56" s="2" t="s">
        <v>674</v>
      </c>
      <c r="CC56" s="2" t="s">
        <v>674</v>
      </c>
      <c r="CD56" s="2" t="s">
        <v>674</v>
      </c>
      <c r="CE56" s="2" t="s">
        <v>674</v>
      </c>
      <c r="CF56" s="2" t="s">
        <v>674</v>
      </c>
      <c r="CG56" s="2" t="s">
        <v>674</v>
      </c>
      <c r="CH56" s="2" t="s">
        <v>674</v>
      </c>
      <c r="CI56" s="2" t="s">
        <v>674</v>
      </c>
      <c r="CJ56" s="2" t="str">
        <f>IF(ISERROR(_xlfn.XLOOKUP(Tabla_papers[[#This Row],[Key]],Primer_filtro[Key],Primer_filtro[Key])),"FALTA","YA ESTÁ")</f>
        <v>YA ESTÁ</v>
      </c>
    </row>
    <row r="57" spans="1:88" ht="409.5" hidden="1" x14ac:dyDescent="0.25">
      <c r="A57" s="2" t="s">
        <v>793</v>
      </c>
      <c r="B57" s="2" t="s">
        <v>88</v>
      </c>
      <c r="C57" s="2">
        <v>2020</v>
      </c>
      <c r="D57" s="2" t="s">
        <v>794</v>
      </c>
      <c r="E57" s="2" t="s">
        <v>795</v>
      </c>
      <c r="F57" s="2" t="s">
        <v>115</v>
      </c>
      <c r="G57" s="2" t="s">
        <v>674</v>
      </c>
      <c r="H57" s="2" t="s">
        <v>116</v>
      </c>
      <c r="I57" s="2" t="s">
        <v>796</v>
      </c>
      <c r="J57" s="2" t="s">
        <v>797</v>
      </c>
      <c r="K57" s="2" t="s">
        <v>798</v>
      </c>
      <c r="L57" s="2" t="s">
        <v>194</v>
      </c>
      <c r="M57" s="4">
        <v>46274.899768518517</v>
      </c>
      <c r="N57" s="4">
        <v>46274.899780092594</v>
      </c>
      <c r="O57" s="4">
        <v>46274.899768518517</v>
      </c>
      <c r="P57" s="2" t="s">
        <v>799</v>
      </c>
      <c r="Q57" s="2" t="s">
        <v>674</v>
      </c>
      <c r="R57" s="2">
        <v>7</v>
      </c>
      <c r="S57" s="2">
        <v>67</v>
      </c>
      <c r="T57" s="2" t="s">
        <v>674</v>
      </c>
      <c r="U57" s="2" t="s">
        <v>121</v>
      </c>
      <c r="V57" s="2" t="s">
        <v>674</v>
      </c>
      <c r="W57" s="2" t="s">
        <v>674</v>
      </c>
      <c r="X57" s="2" t="s">
        <v>674</v>
      </c>
      <c r="Y57" s="2" t="s">
        <v>674</v>
      </c>
      <c r="Z57" s="2" t="s">
        <v>674</v>
      </c>
      <c r="AA57" s="2" t="s">
        <v>674</v>
      </c>
      <c r="AB57" s="2" t="s">
        <v>674</v>
      </c>
      <c r="AC57" s="2" t="s">
        <v>97</v>
      </c>
      <c r="AD57" s="2" t="s">
        <v>122</v>
      </c>
      <c r="AE57" s="2" t="s">
        <v>674</v>
      </c>
      <c r="AF57" s="2" t="s">
        <v>674</v>
      </c>
      <c r="AG57" s="2" t="s">
        <v>674</v>
      </c>
      <c r="AH57" s="2" t="s">
        <v>99</v>
      </c>
      <c r="AJ57" s="2" t="s">
        <v>674</v>
      </c>
      <c r="AK57" s="2" t="s">
        <v>674</v>
      </c>
      <c r="AL57" s="2" t="s">
        <v>800</v>
      </c>
      <c r="AM57" s="2" t="s">
        <v>674</v>
      </c>
      <c r="AN57" s="2" t="s">
        <v>674</v>
      </c>
      <c r="AO57" s="2" t="s">
        <v>712</v>
      </c>
      <c r="AP57" s="2" t="s">
        <v>674</v>
      </c>
      <c r="AQ57" s="2" t="s">
        <v>674</v>
      </c>
      <c r="AR57" s="2" t="s">
        <v>674</v>
      </c>
      <c r="AS57" s="2" t="s">
        <v>674</v>
      </c>
      <c r="AT57" s="2" t="s">
        <v>674</v>
      </c>
      <c r="AU57" s="2" t="s">
        <v>674</v>
      </c>
      <c r="AV57" s="2" t="s">
        <v>674</v>
      </c>
      <c r="AW57" s="2" t="s">
        <v>674</v>
      </c>
      <c r="AX57" s="2" t="s">
        <v>674</v>
      </c>
      <c r="AY57" s="2" t="s">
        <v>674</v>
      </c>
      <c r="AZ57" s="2" t="s">
        <v>674</v>
      </c>
      <c r="BA57" s="2" t="s">
        <v>674</v>
      </c>
      <c r="BB57" s="2" t="s">
        <v>674</v>
      </c>
      <c r="BC57" s="2" t="s">
        <v>674</v>
      </c>
      <c r="BD57" s="2" t="s">
        <v>674</v>
      </c>
      <c r="BE57" s="2" t="s">
        <v>674</v>
      </c>
      <c r="BF57" s="2" t="s">
        <v>674</v>
      </c>
      <c r="BG57" s="2" t="s">
        <v>674</v>
      </c>
      <c r="BH57" s="2" t="s">
        <v>674</v>
      </c>
      <c r="BI57" s="2" t="s">
        <v>674</v>
      </c>
      <c r="BJ57" s="2" t="s">
        <v>674</v>
      </c>
      <c r="BK57" s="2" t="s">
        <v>674</v>
      </c>
      <c r="BL57" s="2" t="s">
        <v>674</v>
      </c>
      <c r="BM57" s="2" t="s">
        <v>674</v>
      </c>
      <c r="BN57" s="2" t="s">
        <v>674</v>
      </c>
      <c r="BO57" s="2" t="s">
        <v>674</v>
      </c>
      <c r="BP57" s="2" t="s">
        <v>674</v>
      </c>
      <c r="BQ57" s="2" t="s">
        <v>674</v>
      </c>
      <c r="BR57" s="2" t="s">
        <v>674</v>
      </c>
      <c r="BS57" s="2" t="s">
        <v>674</v>
      </c>
      <c r="BT57" s="2" t="s">
        <v>674</v>
      </c>
      <c r="BU57" s="2" t="s">
        <v>674</v>
      </c>
      <c r="BV57" s="2" t="s">
        <v>674</v>
      </c>
      <c r="BW57" s="2" t="s">
        <v>674</v>
      </c>
      <c r="BX57" s="2" t="s">
        <v>674</v>
      </c>
      <c r="BY57" s="2" t="s">
        <v>674</v>
      </c>
      <c r="BZ57" s="2" t="s">
        <v>674</v>
      </c>
      <c r="CA57" s="2" t="s">
        <v>674</v>
      </c>
      <c r="CB57" s="2" t="s">
        <v>674</v>
      </c>
      <c r="CC57" s="2" t="s">
        <v>674</v>
      </c>
      <c r="CD57" s="2" t="s">
        <v>674</v>
      </c>
      <c r="CE57" s="2" t="s">
        <v>674</v>
      </c>
      <c r="CF57" s="2" t="s">
        <v>674</v>
      </c>
      <c r="CG57" s="2" t="s">
        <v>674</v>
      </c>
      <c r="CH57" s="2" t="s">
        <v>674</v>
      </c>
      <c r="CI57" s="2" t="s">
        <v>674</v>
      </c>
      <c r="CJ57" s="2" t="str">
        <f>IF(ISERROR(_xlfn.XLOOKUP(Tabla_papers[[#This Row],[Key]],Primer_filtro[Key],Primer_filtro[Key])),"FALTA","YA ESTÁ")</f>
        <v>YA ESTÁ</v>
      </c>
    </row>
    <row r="58" spans="1:88" ht="75" hidden="1" x14ac:dyDescent="0.25">
      <c r="A58" s="2" t="s">
        <v>889</v>
      </c>
      <c r="B58" s="2" t="s">
        <v>890</v>
      </c>
      <c r="C58" s="2">
        <v>2016</v>
      </c>
      <c r="D58" s="2" t="s">
        <v>891</v>
      </c>
      <c r="E58" s="2" t="s">
        <v>892</v>
      </c>
      <c r="F58" s="2" t="s">
        <v>674</v>
      </c>
      <c r="G58" s="2" t="s">
        <v>893</v>
      </c>
      <c r="H58" s="2" t="s">
        <v>674</v>
      </c>
      <c r="I58" s="2" t="s">
        <v>674</v>
      </c>
      <c r="J58" s="2" t="s">
        <v>674</v>
      </c>
      <c r="K58" s="2" t="s">
        <v>674</v>
      </c>
      <c r="L58" s="2" t="s">
        <v>894</v>
      </c>
      <c r="M58" s="4">
        <v>46274.900497685187</v>
      </c>
      <c r="N58" s="4">
        <v>46274.900497685187</v>
      </c>
      <c r="O58" s="4"/>
      <c r="P58" s="2" t="s">
        <v>674</v>
      </c>
      <c r="Q58" s="2" t="s">
        <v>674</v>
      </c>
      <c r="T58" s="2" t="s">
        <v>674</v>
      </c>
      <c r="U58" s="2" t="s">
        <v>674</v>
      </c>
      <c r="V58" s="2" t="s">
        <v>674</v>
      </c>
      <c r="W58" s="2" t="s">
        <v>895</v>
      </c>
      <c r="X58" s="2" t="s">
        <v>674</v>
      </c>
      <c r="Y58" s="2" t="s">
        <v>674</v>
      </c>
      <c r="Z58" s="2" t="s">
        <v>674</v>
      </c>
      <c r="AA58" s="2" t="s">
        <v>896</v>
      </c>
      <c r="AB58" s="2" t="s">
        <v>897</v>
      </c>
      <c r="AC58" s="2" t="s">
        <v>97</v>
      </c>
      <c r="AD58" s="2" t="s">
        <v>674</v>
      </c>
      <c r="AE58" s="2" t="s">
        <v>674</v>
      </c>
      <c r="AF58" s="2" t="s">
        <v>674</v>
      </c>
      <c r="AG58" s="2" t="s">
        <v>674</v>
      </c>
      <c r="AH58" s="2" t="s">
        <v>898</v>
      </c>
      <c r="AI58" s="2">
        <v>621312</v>
      </c>
      <c r="AJ58" s="2" t="s">
        <v>674</v>
      </c>
      <c r="AK58" s="2" t="s">
        <v>674</v>
      </c>
      <c r="AL58" s="2" t="s">
        <v>674</v>
      </c>
      <c r="AM58" s="2" t="s">
        <v>674</v>
      </c>
      <c r="AN58" s="2" t="s">
        <v>674</v>
      </c>
      <c r="AO58" s="2" t="s">
        <v>712</v>
      </c>
      <c r="AP58" s="2" t="s">
        <v>674</v>
      </c>
      <c r="AQ58" s="2" t="s">
        <v>674</v>
      </c>
      <c r="AR58" s="2" t="s">
        <v>674</v>
      </c>
      <c r="AS58" s="2" t="s">
        <v>674</v>
      </c>
      <c r="AT58" s="2" t="s">
        <v>674</v>
      </c>
      <c r="AU58" s="2" t="s">
        <v>674</v>
      </c>
      <c r="AV58" s="2" t="s">
        <v>674</v>
      </c>
      <c r="AW58" s="2" t="s">
        <v>674</v>
      </c>
      <c r="AX58" s="2" t="s">
        <v>674</v>
      </c>
      <c r="AY58" s="2" t="s">
        <v>674</v>
      </c>
      <c r="AZ58" s="2" t="s">
        <v>674</v>
      </c>
      <c r="BA58" s="2" t="s">
        <v>674</v>
      </c>
      <c r="BB58" s="2" t="s">
        <v>674</v>
      </c>
      <c r="BC58" s="2" t="s">
        <v>674</v>
      </c>
      <c r="BD58" s="2" t="s">
        <v>674</v>
      </c>
      <c r="BE58" s="2" t="s">
        <v>674</v>
      </c>
      <c r="BF58" s="2" t="s">
        <v>674</v>
      </c>
      <c r="BG58" s="2" t="s">
        <v>674</v>
      </c>
      <c r="BH58" s="2" t="s">
        <v>674</v>
      </c>
      <c r="BI58" s="2" t="s">
        <v>674</v>
      </c>
      <c r="BJ58" s="2" t="s">
        <v>674</v>
      </c>
      <c r="BK58" s="2" t="s">
        <v>674</v>
      </c>
      <c r="BL58" s="2" t="s">
        <v>674</v>
      </c>
      <c r="BM58" s="2" t="s">
        <v>674</v>
      </c>
      <c r="BN58" s="2" t="s">
        <v>674</v>
      </c>
      <c r="BO58" s="2" t="s">
        <v>674</v>
      </c>
      <c r="BP58" s="2" t="s">
        <v>674</v>
      </c>
      <c r="BQ58" s="2" t="s">
        <v>674</v>
      </c>
      <c r="BR58" s="2" t="s">
        <v>674</v>
      </c>
      <c r="BS58" s="2" t="s">
        <v>674</v>
      </c>
      <c r="BT58" s="2" t="s">
        <v>674</v>
      </c>
      <c r="BU58" s="2" t="s">
        <v>674</v>
      </c>
      <c r="BV58" s="2" t="s">
        <v>674</v>
      </c>
      <c r="BW58" s="2" t="s">
        <v>674</v>
      </c>
      <c r="BX58" s="2" t="s">
        <v>674</v>
      </c>
      <c r="BY58" s="2" t="s">
        <v>674</v>
      </c>
      <c r="BZ58" s="2" t="s">
        <v>674</v>
      </c>
      <c r="CA58" s="2" t="s">
        <v>674</v>
      </c>
      <c r="CB58" s="2" t="s">
        <v>674</v>
      </c>
      <c r="CC58" s="2" t="s">
        <v>674</v>
      </c>
      <c r="CD58" s="2" t="s">
        <v>674</v>
      </c>
      <c r="CE58" s="2" t="s">
        <v>674</v>
      </c>
      <c r="CF58" s="2" t="s">
        <v>674</v>
      </c>
      <c r="CG58" s="2" t="s">
        <v>674</v>
      </c>
      <c r="CH58" s="2" t="s">
        <v>674</v>
      </c>
      <c r="CI58" s="2" t="s">
        <v>674</v>
      </c>
      <c r="CJ58" s="2" t="str">
        <f>IF(ISERROR(_xlfn.XLOOKUP(Tabla_papers[[#This Row],[Key]],Primer_filtro[Key],Primer_filtro[Key])),"FALTA","YA ESTÁ")</f>
        <v>YA ESTÁ</v>
      </c>
    </row>
    <row r="59" spans="1:88" ht="135" hidden="1" x14ac:dyDescent="0.25">
      <c r="A59" s="2" t="s">
        <v>877</v>
      </c>
      <c r="B59" s="2" t="s">
        <v>88</v>
      </c>
      <c r="D59" s="2" t="s">
        <v>871</v>
      </c>
      <c r="E59" s="2" t="s">
        <v>878</v>
      </c>
      <c r="F59" s="2" t="s">
        <v>674</v>
      </c>
      <c r="G59" s="2" t="s">
        <v>674</v>
      </c>
      <c r="H59" s="2" t="s">
        <v>674</v>
      </c>
      <c r="I59" s="2" t="s">
        <v>674</v>
      </c>
      <c r="J59" s="2" t="s">
        <v>674</v>
      </c>
      <c r="K59" s="2" t="s">
        <v>674</v>
      </c>
      <c r="L59" s="2" t="s">
        <v>674</v>
      </c>
      <c r="M59" s="4">
        <v>46274.900300925925</v>
      </c>
      <c r="N59" s="4">
        <v>46274.900300925925</v>
      </c>
      <c r="O59" s="4"/>
      <c r="P59" s="2" t="s">
        <v>674</v>
      </c>
      <c r="Q59" s="2" t="s">
        <v>674</v>
      </c>
      <c r="R59" s="2">
        <v>2</v>
      </c>
      <c r="T59" s="2" t="s">
        <v>674</v>
      </c>
      <c r="U59" s="2" t="s">
        <v>674</v>
      </c>
      <c r="V59" s="2" t="s">
        <v>674</v>
      </c>
      <c r="W59" s="2" t="s">
        <v>674</v>
      </c>
      <c r="X59" s="2" t="s">
        <v>674</v>
      </c>
      <c r="Y59" s="2" t="s">
        <v>674</v>
      </c>
      <c r="Z59" s="2" t="s">
        <v>674</v>
      </c>
      <c r="AA59" s="2" t="s">
        <v>674</v>
      </c>
      <c r="AB59" s="2" t="s">
        <v>674</v>
      </c>
      <c r="AC59" s="2" t="s">
        <v>710</v>
      </c>
      <c r="AD59" s="2" t="s">
        <v>674</v>
      </c>
      <c r="AE59" s="2" t="s">
        <v>674</v>
      </c>
      <c r="AF59" s="2" t="s">
        <v>674</v>
      </c>
      <c r="AG59" s="2" t="s">
        <v>674</v>
      </c>
      <c r="AH59" s="2" t="s">
        <v>163</v>
      </c>
      <c r="AJ59" s="2" t="s">
        <v>674</v>
      </c>
      <c r="AK59" s="2" t="s">
        <v>674</v>
      </c>
      <c r="AL59" s="2" t="s">
        <v>879</v>
      </c>
      <c r="AM59" s="2" t="s">
        <v>674</v>
      </c>
      <c r="AN59" s="2" t="s">
        <v>674</v>
      </c>
      <c r="AO59" s="2" t="s">
        <v>712</v>
      </c>
      <c r="AP59" s="2" t="s">
        <v>674</v>
      </c>
      <c r="AQ59" s="2" t="s">
        <v>674</v>
      </c>
      <c r="AR59" s="2" t="s">
        <v>674</v>
      </c>
      <c r="AS59" s="2" t="s">
        <v>674</v>
      </c>
      <c r="AT59" s="2" t="s">
        <v>674</v>
      </c>
      <c r="AU59" s="2" t="s">
        <v>674</v>
      </c>
      <c r="AV59" s="2" t="s">
        <v>674</v>
      </c>
      <c r="AW59" s="2" t="s">
        <v>674</v>
      </c>
      <c r="AX59" s="2" t="s">
        <v>674</v>
      </c>
      <c r="AY59" s="2" t="s">
        <v>674</v>
      </c>
      <c r="AZ59" s="2" t="s">
        <v>674</v>
      </c>
      <c r="BA59" s="2" t="s">
        <v>674</v>
      </c>
      <c r="BB59" s="2" t="s">
        <v>674</v>
      </c>
      <c r="BC59" s="2" t="s">
        <v>674</v>
      </c>
      <c r="BD59" s="2" t="s">
        <v>674</v>
      </c>
      <c r="BE59" s="2" t="s">
        <v>674</v>
      </c>
      <c r="BF59" s="2" t="s">
        <v>674</v>
      </c>
      <c r="BG59" s="2" t="s">
        <v>674</v>
      </c>
      <c r="BH59" s="2" t="s">
        <v>674</v>
      </c>
      <c r="BI59" s="2" t="s">
        <v>674</v>
      </c>
      <c r="BJ59" s="2" t="s">
        <v>674</v>
      </c>
      <c r="BK59" s="2" t="s">
        <v>674</v>
      </c>
      <c r="BL59" s="2" t="s">
        <v>674</v>
      </c>
      <c r="BM59" s="2" t="s">
        <v>674</v>
      </c>
      <c r="BN59" s="2" t="s">
        <v>674</v>
      </c>
      <c r="BO59" s="2" t="s">
        <v>674</v>
      </c>
      <c r="BP59" s="2" t="s">
        <v>674</v>
      </c>
      <c r="BQ59" s="2" t="s">
        <v>674</v>
      </c>
      <c r="BR59" s="2" t="s">
        <v>674</v>
      </c>
      <c r="BS59" s="2" t="s">
        <v>674</v>
      </c>
      <c r="BT59" s="2" t="s">
        <v>674</v>
      </c>
      <c r="BU59" s="2" t="s">
        <v>674</v>
      </c>
      <c r="BV59" s="2" t="s">
        <v>674</v>
      </c>
      <c r="BW59" s="2" t="s">
        <v>674</v>
      </c>
      <c r="BX59" s="2" t="s">
        <v>674</v>
      </c>
      <c r="BY59" s="2" t="s">
        <v>674</v>
      </c>
      <c r="BZ59" s="2" t="s">
        <v>674</v>
      </c>
      <c r="CA59" s="2" t="s">
        <v>674</v>
      </c>
      <c r="CB59" s="2" t="s">
        <v>674</v>
      </c>
      <c r="CC59" s="2" t="s">
        <v>674</v>
      </c>
      <c r="CD59" s="2" t="s">
        <v>674</v>
      </c>
      <c r="CE59" s="2" t="s">
        <v>674</v>
      </c>
      <c r="CF59" s="2" t="s">
        <v>674</v>
      </c>
      <c r="CG59" s="2" t="s">
        <v>674</v>
      </c>
      <c r="CH59" s="2" t="s">
        <v>674</v>
      </c>
      <c r="CI59" s="2" t="s">
        <v>674</v>
      </c>
      <c r="CJ59" s="2" t="str">
        <f>IF(ISERROR(_xlfn.XLOOKUP(Tabla_papers[[#This Row],[Key]],Primer_filtro[Key],Primer_filtro[Key])),"FALTA","YA ESTÁ")</f>
        <v>YA ESTÁ</v>
      </c>
    </row>
    <row r="60" spans="1:88" ht="409.5" hidden="1" x14ac:dyDescent="0.25">
      <c r="A60" s="2" t="s">
        <v>713</v>
      </c>
      <c r="B60" s="2" t="s">
        <v>88</v>
      </c>
      <c r="D60" s="2" t="s">
        <v>406</v>
      </c>
      <c r="E60" s="2" t="s">
        <v>407</v>
      </c>
      <c r="F60" s="2" t="s">
        <v>674</v>
      </c>
      <c r="G60" s="2" t="s">
        <v>674</v>
      </c>
      <c r="H60" s="2" t="s">
        <v>674</v>
      </c>
      <c r="I60" s="2" t="s">
        <v>674</v>
      </c>
      <c r="J60" s="2" t="s">
        <v>674</v>
      </c>
      <c r="K60" s="2" t="s">
        <v>408</v>
      </c>
      <c r="L60" s="2" t="s">
        <v>674</v>
      </c>
      <c r="M60" s="4">
        <v>46274.897893518515</v>
      </c>
      <c r="N60" s="4">
        <v>46274.897905092592</v>
      </c>
      <c r="O60" s="4"/>
      <c r="P60" s="2" t="s">
        <v>674</v>
      </c>
      <c r="Q60" s="2" t="s">
        <v>674</v>
      </c>
      <c r="T60" s="2" t="s">
        <v>674</v>
      </c>
      <c r="U60" s="2" t="s">
        <v>674</v>
      </c>
      <c r="V60" s="2" t="s">
        <v>674</v>
      </c>
      <c r="W60" s="2" t="s">
        <v>674</v>
      </c>
      <c r="X60" s="2" t="s">
        <v>674</v>
      </c>
      <c r="Y60" s="2" t="s">
        <v>674</v>
      </c>
      <c r="Z60" s="2" t="s">
        <v>674</v>
      </c>
      <c r="AA60" s="2" t="s">
        <v>674</v>
      </c>
      <c r="AB60" s="2" t="s">
        <v>674</v>
      </c>
      <c r="AC60" s="2" t="s">
        <v>97</v>
      </c>
      <c r="AD60" s="2" t="s">
        <v>674</v>
      </c>
      <c r="AE60" s="2" t="s">
        <v>674</v>
      </c>
      <c r="AF60" s="2" t="s">
        <v>674</v>
      </c>
      <c r="AG60" s="2" t="s">
        <v>674</v>
      </c>
      <c r="AH60" s="2" t="s">
        <v>163</v>
      </c>
      <c r="AJ60" s="2" t="s">
        <v>674</v>
      </c>
      <c r="AK60" s="2" t="s">
        <v>674</v>
      </c>
      <c r="AL60" s="2" t="s">
        <v>714</v>
      </c>
      <c r="AM60" s="2" t="s">
        <v>674</v>
      </c>
      <c r="AN60" s="2" t="s">
        <v>674</v>
      </c>
      <c r="AO60" s="2" t="s">
        <v>712</v>
      </c>
      <c r="AP60" s="2" t="s">
        <v>674</v>
      </c>
      <c r="AQ60" s="2" t="s">
        <v>674</v>
      </c>
      <c r="AR60" s="2" t="s">
        <v>674</v>
      </c>
      <c r="AS60" s="2" t="s">
        <v>674</v>
      </c>
      <c r="AT60" s="2" t="s">
        <v>674</v>
      </c>
      <c r="AU60" s="2" t="s">
        <v>674</v>
      </c>
      <c r="AV60" s="2" t="s">
        <v>674</v>
      </c>
      <c r="AW60" s="2" t="s">
        <v>674</v>
      </c>
      <c r="AX60" s="2" t="s">
        <v>674</v>
      </c>
      <c r="AY60" s="2" t="s">
        <v>674</v>
      </c>
      <c r="AZ60" s="2" t="s">
        <v>674</v>
      </c>
      <c r="BA60" s="2" t="s">
        <v>674</v>
      </c>
      <c r="BB60" s="2" t="s">
        <v>674</v>
      </c>
      <c r="BC60" s="2" t="s">
        <v>674</v>
      </c>
      <c r="BD60" s="2" t="s">
        <v>674</v>
      </c>
      <c r="BE60" s="2" t="s">
        <v>674</v>
      </c>
      <c r="BF60" s="2" t="s">
        <v>674</v>
      </c>
      <c r="BG60" s="2" t="s">
        <v>674</v>
      </c>
      <c r="BH60" s="2" t="s">
        <v>674</v>
      </c>
      <c r="BI60" s="2" t="s">
        <v>674</v>
      </c>
      <c r="BJ60" s="2" t="s">
        <v>674</v>
      </c>
      <c r="BK60" s="2" t="s">
        <v>674</v>
      </c>
      <c r="BL60" s="2" t="s">
        <v>674</v>
      </c>
      <c r="BM60" s="2" t="s">
        <v>674</v>
      </c>
      <c r="BN60" s="2" t="s">
        <v>674</v>
      </c>
      <c r="BO60" s="2" t="s">
        <v>674</v>
      </c>
      <c r="BP60" s="2" t="s">
        <v>674</v>
      </c>
      <c r="BQ60" s="2" t="s">
        <v>674</v>
      </c>
      <c r="BR60" s="2" t="s">
        <v>674</v>
      </c>
      <c r="BS60" s="2" t="s">
        <v>674</v>
      </c>
      <c r="BT60" s="2" t="s">
        <v>674</v>
      </c>
      <c r="BU60" s="2" t="s">
        <v>674</v>
      </c>
      <c r="BV60" s="2" t="s">
        <v>674</v>
      </c>
      <c r="BW60" s="2" t="s">
        <v>674</v>
      </c>
      <c r="BX60" s="2" t="s">
        <v>674</v>
      </c>
      <c r="BY60" s="2" t="s">
        <v>674</v>
      </c>
      <c r="BZ60" s="2" t="s">
        <v>674</v>
      </c>
      <c r="CA60" s="2" t="s">
        <v>674</v>
      </c>
      <c r="CB60" s="2" t="s">
        <v>674</v>
      </c>
      <c r="CC60" s="2" t="s">
        <v>674</v>
      </c>
      <c r="CD60" s="2" t="s">
        <v>674</v>
      </c>
      <c r="CE60" s="2" t="s">
        <v>674</v>
      </c>
      <c r="CF60" s="2" t="s">
        <v>674</v>
      </c>
      <c r="CG60" s="2" t="s">
        <v>674</v>
      </c>
      <c r="CH60" s="2" t="s">
        <v>674</v>
      </c>
      <c r="CI60" s="2" t="s">
        <v>674</v>
      </c>
      <c r="CJ60" s="2" t="str">
        <f>IF(ISERROR(_xlfn.XLOOKUP(Tabla_papers[[#This Row],[Key]],Primer_filtro[Key],Primer_filtro[Key])),"FALTA","YA ESTÁ")</f>
        <v>YA ESTÁ</v>
      </c>
    </row>
    <row r="61" spans="1:88" ht="409.5" hidden="1" x14ac:dyDescent="0.25">
      <c r="A61" s="2" t="s">
        <v>825</v>
      </c>
      <c r="B61" s="2" t="s">
        <v>126</v>
      </c>
      <c r="C61" s="2">
        <v>2008</v>
      </c>
      <c r="D61" s="2" t="s">
        <v>826</v>
      </c>
      <c r="E61" s="2" t="s">
        <v>827</v>
      </c>
      <c r="F61" s="2" t="s">
        <v>828</v>
      </c>
      <c r="G61" s="2" t="s">
        <v>829</v>
      </c>
      <c r="H61" s="2" t="s">
        <v>674</v>
      </c>
      <c r="I61" s="2" t="s">
        <v>830</v>
      </c>
      <c r="J61" s="2" t="s">
        <v>831</v>
      </c>
      <c r="K61" s="2" t="s">
        <v>832</v>
      </c>
      <c r="L61" s="2" t="s">
        <v>833</v>
      </c>
      <c r="M61" s="4">
        <v>46274.899965277778</v>
      </c>
      <c r="N61" s="4">
        <v>46274.899976851855</v>
      </c>
      <c r="O61" s="4">
        <v>46274.899965277778</v>
      </c>
      <c r="P61" s="2" t="s">
        <v>834</v>
      </c>
      <c r="Q61" s="2" t="s">
        <v>674</v>
      </c>
      <c r="T61" s="2" t="s">
        <v>674</v>
      </c>
      <c r="U61" s="2" t="s">
        <v>674</v>
      </c>
      <c r="V61" s="2" t="s">
        <v>674</v>
      </c>
      <c r="W61" s="2" t="s">
        <v>674</v>
      </c>
      <c r="X61" s="2" t="s">
        <v>674</v>
      </c>
      <c r="Y61" s="2" t="s">
        <v>674</v>
      </c>
      <c r="Z61" s="2" t="s">
        <v>674</v>
      </c>
      <c r="AA61" s="2" t="s">
        <v>133</v>
      </c>
      <c r="AB61" s="2" t="s">
        <v>835</v>
      </c>
      <c r="AC61" s="2" t="s">
        <v>97</v>
      </c>
      <c r="AD61" s="2" t="s">
        <v>674</v>
      </c>
      <c r="AE61" s="2" t="s">
        <v>674</v>
      </c>
      <c r="AF61" s="2" t="s">
        <v>674</v>
      </c>
      <c r="AG61" s="2" t="s">
        <v>674</v>
      </c>
      <c r="AH61" s="2" t="s">
        <v>99</v>
      </c>
      <c r="AJ61" s="2" t="s">
        <v>674</v>
      </c>
      <c r="AK61" s="2" t="s">
        <v>674</v>
      </c>
      <c r="AL61" s="2" t="s">
        <v>836</v>
      </c>
      <c r="AM61" s="2" t="s">
        <v>674</v>
      </c>
      <c r="AN61" s="2" t="s">
        <v>674</v>
      </c>
      <c r="AO61" s="2" t="s">
        <v>712</v>
      </c>
      <c r="AP61" s="2" t="s">
        <v>674</v>
      </c>
      <c r="AQ61" s="2" t="s">
        <v>674</v>
      </c>
      <c r="AR61" s="2" t="s">
        <v>674</v>
      </c>
      <c r="AS61" s="2" t="s">
        <v>674</v>
      </c>
      <c r="AT61" s="2" t="s">
        <v>674</v>
      </c>
      <c r="AU61" s="2" t="s">
        <v>674</v>
      </c>
      <c r="AV61" s="2" t="s">
        <v>674</v>
      </c>
      <c r="AW61" s="2" t="s">
        <v>674</v>
      </c>
      <c r="AX61" s="2" t="s">
        <v>674</v>
      </c>
      <c r="AY61" s="2" t="s">
        <v>674</v>
      </c>
      <c r="AZ61" s="2" t="s">
        <v>674</v>
      </c>
      <c r="BA61" s="2" t="s">
        <v>674</v>
      </c>
      <c r="BB61" s="2" t="s">
        <v>674</v>
      </c>
      <c r="BC61" s="2" t="s">
        <v>674</v>
      </c>
      <c r="BD61" s="2" t="s">
        <v>674</v>
      </c>
      <c r="BE61" s="2" t="s">
        <v>674</v>
      </c>
      <c r="BF61" s="2" t="s">
        <v>674</v>
      </c>
      <c r="BG61" s="2" t="s">
        <v>674</v>
      </c>
      <c r="BH61" s="2" t="s">
        <v>674</v>
      </c>
      <c r="BI61" s="2" t="s">
        <v>674</v>
      </c>
      <c r="BJ61" s="2" t="s">
        <v>674</v>
      </c>
      <c r="BK61" s="2" t="s">
        <v>674</v>
      </c>
      <c r="BL61" s="2" t="s">
        <v>674</v>
      </c>
      <c r="BM61" s="2" t="s">
        <v>674</v>
      </c>
      <c r="BN61" s="2" t="s">
        <v>674</v>
      </c>
      <c r="BO61" s="2" t="s">
        <v>674</v>
      </c>
      <c r="BP61" s="2" t="s">
        <v>674</v>
      </c>
      <c r="BQ61" s="2" t="s">
        <v>674</v>
      </c>
      <c r="BR61" s="2" t="s">
        <v>674</v>
      </c>
      <c r="BS61" s="2" t="s">
        <v>674</v>
      </c>
      <c r="BT61" s="2" t="s">
        <v>837</v>
      </c>
      <c r="BU61" s="2" t="s">
        <v>674</v>
      </c>
      <c r="BV61" s="2" t="s">
        <v>674</v>
      </c>
      <c r="BW61" s="2" t="s">
        <v>674</v>
      </c>
      <c r="BX61" s="2" t="s">
        <v>674</v>
      </c>
      <c r="BY61" s="2" t="s">
        <v>674</v>
      </c>
      <c r="BZ61" s="2" t="s">
        <v>674</v>
      </c>
      <c r="CA61" s="2" t="s">
        <v>674</v>
      </c>
      <c r="CB61" s="2" t="s">
        <v>674</v>
      </c>
      <c r="CC61" s="2" t="s">
        <v>674</v>
      </c>
      <c r="CD61" s="2" t="s">
        <v>674</v>
      </c>
      <c r="CE61" s="2" t="s">
        <v>674</v>
      </c>
      <c r="CF61" s="2" t="s">
        <v>674</v>
      </c>
      <c r="CG61" s="2" t="s">
        <v>674</v>
      </c>
      <c r="CH61" s="2" t="s">
        <v>674</v>
      </c>
      <c r="CI61" s="2" t="s">
        <v>674</v>
      </c>
      <c r="CJ61" s="2" t="str">
        <f>IF(ISERROR(_xlfn.XLOOKUP(Tabla_papers[[#This Row],[Key]],Primer_filtro[Key],Primer_filtro[Key])),"FALTA","YA ESTÁ")</f>
        <v>YA ESTÁ</v>
      </c>
    </row>
    <row r="62" spans="1:88" ht="409.5" hidden="1" x14ac:dyDescent="0.25">
      <c r="A62" s="2" t="s">
        <v>728</v>
      </c>
      <c r="B62" s="2" t="s">
        <v>88</v>
      </c>
      <c r="C62" s="2">
        <v>2015</v>
      </c>
      <c r="D62" s="2" t="s">
        <v>729</v>
      </c>
      <c r="E62" s="2" t="s">
        <v>730</v>
      </c>
      <c r="F62" s="2" t="s">
        <v>115</v>
      </c>
      <c r="G62" s="2" t="s">
        <v>674</v>
      </c>
      <c r="H62" s="2" t="s">
        <v>116</v>
      </c>
      <c r="I62" s="2" t="s">
        <v>731</v>
      </c>
      <c r="J62" s="2" t="s">
        <v>732</v>
      </c>
      <c r="K62" s="2" t="s">
        <v>733</v>
      </c>
      <c r="L62" s="2" t="s">
        <v>734</v>
      </c>
      <c r="M62" s="4">
        <v>46274.898888888885</v>
      </c>
      <c r="N62" s="4">
        <v>46274.898969907408</v>
      </c>
      <c r="O62" s="4">
        <v>46274.898888888885</v>
      </c>
      <c r="P62" s="2" t="s">
        <v>735</v>
      </c>
      <c r="Q62" s="2" t="s">
        <v>674</v>
      </c>
      <c r="R62" s="2">
        <v>11</v>
      </c>
      <c r="S62" s="2">
        <v>62</v>
      </c>
      <c r="T62" s="2" t="s">
        <v>674</v>
      </c>
      <c r="U62" s="2" t="s">
        <v>121</v>
      </c>
      <c r="V62" s="2" t="s">
        <v>674</v>
      </c>
      <c r="W62" s="2" t="s">
        <v>674</v>
      </c>
      <c r="X62" s="2" t="s">
        <v>674</v>
      </c>
      <c r="Y62" s="2" t="s">
        <v>674</v>
      </c>
      <c r="Z62" s="2" t="s">
        <v>674</v>
      </c>
      <c r="AA62" s="2" t="s">
        <v>674</v>
      </c>
      <c r="AB62" s="2" t="s">
        <v>674</v>
      </c>
      <c r="AC62" s="2" t="s">
        <v>97</v>
      </c>
      <c r="AD62" s="2" t="s">
        <v>122</v>
      </c>
      <c r="AE62" s="2" t="s">
        <v>674</v>
      </c>
      <c r="AF62" s="2" t="s">
        <v>674</v>
      </c>
      <c r="AG62" s="2" t="s">
        <v>674</v>
      </c>
      <c r="AH62" s="2" t="s">
        <v>99</v>
      </c>
      <c r="AJ62" s="2" t="s">
        <v>674</v>
      </c>
      <c r="AK62" s="2" t="s">
        <v>674</v>
      </c>
      <c r="AL62" s="2" t="s">
        <v>736</v>
      </c>
      <c r="AM62" s="2" t="s">
        <v>674</v>
      </c>
      <c r="AN62" s="2" t="s">
        <v>674</v>
      </c>
      <c r="AO62" s="2" t="s">
        <v>712</v>
      </c>
      <c r="AP62" s="2" t="s">
        <v>674</v>
      </c>
      <c r="AQ62" s="2" t="s">
        <v>674</v>
      </c>
      <c r="AR62" s="2" t="s">
        <v>674</v>
      </c>
      <c r="AS62" s="2" t="s">
        <v>674</v>
      </c>
      <c r="AT62" s="2" t="s">
        <v>674</v>
      </c>
      <c r="AU62" s="2" t="s">
        <v>674</v>
      </c>
      <c r="AV62" s="2" t="s">
        <v>674</v>
      </c>
      <c r="AW62" s="2" t="s">
        <v>674</v>
      </c>
      <c r="AX62" s="2" t="s">
        <v>674</v>
      </c>
      <c r="AY62" s="2" t="s">
        <v>674</v>
      </c>
      <c r="AZ62" s="2" t="s">
        <v>674</v>
      </c>
      <c r="BA62" s="2" t="s">
        <v>674</v>
      </c>
      <c r="BB62" s="2" t="s">
        <v>674</v>
      </c>
      <c r="BC62" s="2" t="s">
        <v>674</v>
      </c>
      <c r="BD62" s="2" t="s">
        <v>674</v>
      </c>
      <c r="BE62" s="2" t="s">
        <v>674</v>
      </c>
      <c r="BF62" s="2" t="s">
        <v>674</v>
      </c>
      <c r="BG62" s="2" t="s">
        <v>674</v>
      </c>
      <c r="BH62" s="2" t="s">
        <v>674</v>
      </c>
      <c r="BI62" s="2" t="s">
        <v>674</v>
      </c>
      <c r="BJ62" s="2" t="s">
        <v>674</v>
      </c>
      <c r="BK62" s="2" t="s">
        <v>674</v>
      </c>
      <c r="BL62" s="2" t="s">
        <v>674</v>
      </c>
      <c r="BM62" s="2" t="s">
        <v>674</v>
      </c>
      <c r="BN62" s="2" t="s">
        <v>674</v>
      </c>
      <c r="BO62" s="2" t="s">
        <v>674</v>
      </c>
      <c r="BP62" s="2" t="s">
        <v>674</v>
      </c>
      <c r="BQ62" s="2" t="s">
        <v>674</v>
      </c>
      <c r="BR62" s="2" t="s">
        <v>674</v>
      </c>
      <c r="BS62" s="2" t="s">
        <v>674</v>
      </c>
      <c r="BT62" s="2" t="s">
        <v>674</v>
      </c>
      <c r="BU62" s="2" t="s">
        <v>674</v>
      </c>
      <c r="BV62" s="2" t="s">
        <v>674</v>
      </c>
      <c r="BW62" s="2" t="s">
        <v>674</v>
      </c>
      <c r="BX62" s="2" t="s">
        <v>674</v>
      </c>
      <c r="BY62" s="2" t="s">
        <v>674</v>
      </c>
      <c r="BZ62" s="2" t="s">
        <v>674</v>
      </c>
      <c r="CA62" s="2" t="s">
        <v>674</v>
      </c>
      <c r="CB62" s="2" t="s">
        <v>674</v>
      </c>
      <c r="CC62" s="2" t="s">
        <v>674</v>
      </c>
      <c r="CD62" s="2" t="s">
        <v>674</v>
      </c>
      <c r="CE62" s="2" t="s">
        <v>674</v>
      </c>
      <c r="CF62" s="2" t="s">
        <v>674</v>
      </c>
      <c r="CG62" s="2" t="s">
        <v>674</v>
      </c>
      <c r="CH62" s="2" t="s">
        <v>674</v>
      </c>
      <c r="CI62" s="2" t="s">
        <v>674</v>
      </c>
      <c r="CJ62" s="2" t="str">
        <f>IF(ISERROR(_xlfn.XLOOKUP(Tabla_papers[[#This Row],[Key]],Primer_filtro[Key],Primer_filtro[Key])),"FALTA","YA ESTÁ")</f>
        <v>YA ESTÁ</v>
      </c>
    </row>
    <row r="63" spans="1:88" ht="409.5" hidden="1" x14ac:dyDescent="0.25">
      <c r="A63" s="2" t="s">
        <v>699</v>
      </c>
      <c r="B63" s="2" t="s">
        <v>88</v>
      </c>
      <c r="C63" s="2">
        <v>2016</v>
      </c>
      <c r="D63" s="2" t="s">
        <v>700</v>
      </c>
      <c r="E63" s="2" t="s">
        <v>701</v>
      </c>
      <c r="F63" s="2" t="s">
        <v>702</v>
      </c>
      <c r="G63" s="2" t="s">
        <v>674</v>
      </c>
      <c r="H63" s="2" t="s">
        <v>703</v>
      </c>
      <c r="I63" s="2" t="s">
        <v>704</v>
      </c>
      <c r="J63" s="2" t="s">
        <v>705</v>
      </c>
      <c r="K63" s="2" t="s">
        <v>706</v>
      </c>
      <c r="L63" s="2" t="s">
        <v>707</v>
      </c>
      <c r="M63" s="4">
        <v>46274.897604166668</v>
      </c>
      <c r="N63" s="4">
        <v>46274.897650462961</v>
      </c>
      <c r="O63" s="4">
        <v>46274.897604166668</v>
      </c>
      <c r="P63" s="2" t="s">
        <v>708</v>
      </c>
      <c r="Q63" s="2" t="s">
        <v>674</v>
      </c>
      <c r="R63" s="2">
        <v>1</v>
      </c>
      <c r="S63" s="2">
        <v>12</v>
      </c>
      <c r="T63" s="2" t="s">
        <v>674</v>
      </c>
      <c r="U63" s="2" t="s">
        <v>702</v>
      </c>
      <c r="V63" s="2" t="s">
        <v>709</v>
      </c>
      <c r="W63" s="2" t="s">
        <v>674</v>
      </c>
      <c r="X63" s="2" t="s">
        <v>674</v>
      </c>
      <c r="Y63" s="2" t="s">
        <v>674</v>
      </c>
      <c r="Z63" s="2" t="s">
        <v>674</v>
      </c>
      <c r="AA63" s="2" t="s">
        <v>674</v>
      </c>
      <c r="AB63" s="2" t="s">
        <v>674</v>
      </c>
      <c r="AC63" s="2" t="s">
        <v>710</v>
      </c>
      <c r="AD63" s="2" t="s">
        <v>674</v>
      </c>
      <c r="AE63" s="2" t="s">
        <v>674</v>
      </c>
      <c r="AF63" s="2" t="s">
        <v>674</v>
      </c>
      <c r="AG63" s="2" t="s">
        <v>674</v>
      </c>
      <c r="AH63" s="2" t="s">
        <v>99</v>
      </c>
      <c r="AJ63" s="2" t="s">
        <v>674</v>
      </c>
      <c r="AK63" s="2" t="s">
        <v>674</v>
      </c>
      <c r="AL63" s="2" t="s">
        <v>711</v>
      </c>
      <c r="AM63" s="2" t="s">
        <v>674</v>
      </c>
      <c r="AN63" s="2" t="s">
        <v>674</v>
      </c>
      <c r="AO63" s="2" t="s">
        <v>712</v>
      </c>
      <c r="AP63" s="2" t="s">
        <v>674</v>
      </c>
      <c r="AQ63" s="2" t="s">
        <v>674</v>
      </c>
      <c r="AR63" s="2" t="s">
        <v>674</v>
      </c>
      <c r="AS63" s="2" t="s">
        <v>674</v>
      </c>
      <c r="AT63" s="2" t="s">
        <v>674</v>
      </c>
      <c r="AU63" s="2" t="s">
        <v>674</v>
      </c>
      <c r="AV63" s="2" t="s">
        <v>674</v>
      </c>
      <c r="AW63" s="2" t="s">
        <v>674</v>
      </c>
      <c r="AX63" s="2" t="s">
        <v>674</v>
      </c>
      <c r="AY63" s="2" t="s">
        <v>674</v>
      </c>
      <c r="AZ63" s="2" t="s">
        <v>674</v>
      </c>
      <c r="BA63" s="2" t="s">
        <v>674</v>
      </c>
      <c r="BB63" s="2" t="s">
        <v>674</v>
      </c>
      <c r="BC63" s="2" t="s">
        <v>674</v>
      </c>
      <c r="BD63" s="2" t="s">
        <v>674</v>
      </c>
      <c r="BE63" s="2" t="s">
        <v>674</v>
      </c>
      <c r="BF63" s="2" t="s">
        <v>674</v>
      </c>
      <c r="BG63" s="2" t="s">
        <v>674</v>
      </c>
      <c r="BH63" s="2" t="s">
        <v>674</v>
      </c>
      <c r="BI63" s="2" t="s">
        <v>674</v>
      </c>
      <c r="BJ63" s="2" t="s">
        <v>674</v>
      </c>
      <c r="BK63" s="2" t="s">
        <v>674</v>
      </c>
      <c r="BL63" s="2" t="s">
        <v>674</v>
      </c>
      <c r="BM63" s="2" t="s">
        <v>674</v>
      </c>
      <c r="BN63" s="2" t="s">
        <v>674</v>
      </c>
      <c r="BO63" s="2" t="s">
        <v>674</v>
      </c>
      <c r="BP63" s="2" t="s">
        <v>674</v>
      </c>
      <c r="BQ63" s="2" t="s">
        <v>674</v>
      </c>
      <c r="BR63" s="2" t="s">
        <v>674</v>
      </c>
      <c r="BS63" s="2" t="s">
        <v>674</v>
      </c>
      <c r="BT63" s="2" t="s">
        <v>674</v>
      </c>
      <c r="BU63" s="2" t="s">
        <v>674</v>
      </c>
      <c r="BV63" s="2" t="s">
        <v>674</v>
      </c>
      <c r="BW63" s="2" t="s">
        <v>674</v>
      </c>
      <c r="BX63" s="2" t="s">
        <v>674</v>
      </c>
      <c r="BY63" s="2" t="s">
        <v>674</v>
      </c>
      <c r="BZ63" s="2" t="s">
        <v>674</v>
      </c>
      <c r="CA63" s="2" t="s">
        <v>674</v>
      </c>
      <c r="CB63" s="2" t="s">
        <v>674</v>
      </c>
      <c r="CC63" s="2" t="s">
        <v>674</v>
      </c>
      <c r="CD63" s="2" t="s">
        <v>674</v>
      </c>
      <c r="CE63" s="2" t="s">
        <v>674</v>
      </c>
      <c r="CF63" s="2" t="s">
        <v>674</v>
      </c>
      <c r="CG63" s="2" t="s">
        <v>674</v>
      </c>
      <c r="CH63" s="2" t="s">
        <v>674</v>
      </c>
      <c r="CI63" s="2" t="s">
        <v>674</v>
      </c>
      <c r="CJ63" s="2" t="str">
        <f>IF(ISERROR(_xlfn.XLOOKUP(Tabla_papers[[#This Row],[Key]],Primer_filtro[Key],Primer_filtro[Key])),"FALTA","YA ESTÁ")</f>
        <v>YA ESTÁ</v>
      </c>
    </row>
    <row r="64" spans="1:88" ht="409.5" hidden="1" x14ac:dyDescent="0.25">
      <c r="A64" s="2" t="s">
        <v>801</v>
      </c>
      <c r="B64" s="2" t="s">
        <v>126</v>
      </c>
      <c r="C64" s="2">
        <v>2012</v>
      </c>
      <c r="D64" s="2" t="s">
        <v>802</v>
      </c>
      <c r="E64" s="2" t="s">
        <v>803</v>
      </c>
      <c r="F64" s="2" t="s">
        <v>804</v>
      </c>
      <c r="G64" s="2" t="s">
        <v>805</v>
      </c>
      <c r="H64" s="2" t="s">
        <v>674</v>
      </c>
      <c r="I64" s="2" t="s">
        <v>806</v>
      </c>
      <c r="J64" s="2" t="s">
        <v>807</v>
      </c>
      <c r="K64" s="2" t="s">
        <v>808</v>
      </c>
      <c r="L64" s="2" t="s">
        <v>809</v>
      </c>
      <c r="M64" s="4">
        <v>46274.899837962963</v>
      </c>
      <c r="N64" s="4">
        <v>46274.89984953704</v>
      </c>
      <c r="O64" s="4">
        <v>46274.899837962963</v>
      </c>
      <c r="P64" s="2" t="s">
        <v>756</v>
      </c>
      <c r="Q64" s="2" t="s">
        <v>674</v>
      </c>
      <c r="T64" s="2" t="s">
        <v>674</v>
      </c>
      <c r="U64" s="2" t="s">
        <v>674</v>
      </c>
      <c r="V64" s="2" t="s">
        <v>674</v>
      </c>
      <c r="W64" s="2" t="s">
        <v>674</v>
      </c>
      <c r="X64" s="2" t="s">
        <v>674</v>
      </c>
      <c r="Y64" s="2" t="s">
        <v>674</v>
      </c>
      <c r="Z64" s="2" t="s">
        <v>674</v>
      </c>
      <c r="AA64" s="2" t="s">
        <v>133</v>
      </c>
      <c r="AB64" s="2" t="s">
        <v>810</v>
      </c>
      <c r="AC64" s="2" t="s">
        <v>97</v>
      </c>
      <c r="AD64" s="2" t="s">
        <v>135</v>
      </c>
      <c r="AE64" s="2" t="s">
        <v>674</v>
      </c>
      <c r="AF64" s="2" t="s">
        <v>674</v>
      </c>
      <c r="AG64" s="2" t="s">
        <v>674</v>
      </c>
      <c r="AH64" s="2" t="s">
        <v>99</v>
      </c>
      <c r="AJ64" s="2" t="s">
        <v>674</v>
      </c>
      <c r="AK64" s="2" t="s">
        <v>674</v>
      </c>
      <c r="AL64" s="2" t="s">
        <v>811</v>
      </c>
      <c r="AM64" s="2" t="s">
        <v>674</v>
      </c>
      <c r="AN64" s="2" t="s">
        <v>674</v>
      </c>
      <c r="AO64" s="2" t="s">
        <v>712</v>
      </c>
      <c r="AP64" s="2" t="s">
        <v>674</v>
      </c>
      <c r="AQ64" s="2" t="s">
        <v>674</v>
      </c>
      <c r="AR64" s="2" t="s">
        <v>674</v>
      </c>
      <c r="AS64" s="2" t="s">
        <v>674</v>
      </c>
      <c r="AT64" s="2" t="s">
        <v>674</v>
      </c>
      <c r="AU64" s="2" t="s">
        <v>674</v>
      </c>
      <c r="AV64" s="2" t="s">
        <v>674</v>
      </c>
      <c r="AW64" s="2" t="s">
        <v>674</v>
      </c>
      <c r="AX64" s="2" t="s">
        <v>674</v>
      </c>
      <c r="AY64" s="2" t="s">
        <v>674</v>
      </c>
      <c r="AZ64" s="2" t="s">
        <v>674</v>
      </c>
      <c r="BA64" s="2" t="s">
        <v>674</v>
      </c>
      <c r="BB64" s="2" t="s">
        <v>674</v>
      </c>
      <c r="BC64" s="2" t="s">
        <v>674</v>
      </c>
      <c r="BD64" s="2" t="s">
        <v>674</v>
      </c>
      <c r="BE64" s="2" t="s">
        <v>674</v>
      </c>
      <c r="BF64" s="2" t="s">
        <v>674</v>
      </c>
      <c r="BG64" s="2" t="s">
        <v>674</v>
      </c>
      <c r="BH64" s="2" t="s">
        <v>674</v>
      </c>
      <c r="BI64" s="2" t="s">
        <v>674</v>
      </c>
      <c r="BJ64" s="2" t="s">
        <v>674</v>
      </c>
      <c r="BK64" s="2" t="s">
        <v>674</v>
      </c>
      <c r="BL64" s="2" t="s">
        <v>674</v>
      </c>
      <c r="BM64" s="2" t="s">
        <v>674</v>
      </c>
      <c r="BN64" s="2" t="s">
        <v>674</v>
      </c>
      <c r="BO64" s="2" t="s">
        <v>674</v>
      </c>
      <c r="BP64" s="2" t="s">
        <v>674</v>
      </c>
      <c r="BQ64" s="2" t="s">
        <v>674</v>
      </c>
      <c r="BR64" s="2" t="s">
        <v>674</v>
      </c>
      <c r="BS64" s="2" t="s">
        <v>674</v>
      </c>
      <c r="BT64" s="2" t="s">
        <v>804</v>
      </c>
      <c r="BU64" s="2" t="s">
        <v>674</v>
      </c>
      <c r="BV64" s="2" t="s">
        <v>674</v>
      </c>
      <c r="BW64" s="2" t="s">
        <v>674</v>
      </c>
      <c r="BX64" s="2" t="s">
        <v>674</v>
      </c>
      <c r="BY64" s="2" t="s">
        <v>674</v>
      </c>
      <c r="BZ64" s="2" t="s">
        <v>674</v>
      </c>
      <c r="CA64" s="2" t="s">
        <v>674</v>
      </c>
      <c r="CB64" s="2" t="s">
        <v>674</v>
      </c>
      <c r="CC64" s="2" t="s">
        <v>674</v>
      </c>
      <c r="CD64" s="2" t="s">
        <v>674</v>
      </c>
      <c r="CE64" s="2" t="s">
        <v>674</v>
      </c>
      <c r="CF64" s="2" t="s">
        <v>674</v>
      </c>
      <c r="CG64" s="2" t="s">
        <v>674</v>
      </c>
      <c r="CH64" s="2" t="s">
        <v>674</v>
      </c>
      <c r="CI64" s="2" t="s">
        <v>674</v>
      </c>
      <c r="CJ64" s="2" t="str">
        <f>IF(ISERROR(_xlfn.XLOOKUP(Tabla_papers[[#This Row],[Key]],Primer_filtro[Key],Primer_filtro[Key])),"FALTA","YA ESTÁ")</f>
        <v>YA ESTÁ</v>
      </c>
    </row>
    <row r="65" spans="1:88" ht="409.5" hidden="1" x14ac:dyDescent="0.25">
      <c r="A65" s="2" t="s">
        <v>838</v>
      </c>
      <c r="B65" s="2" t="s">
        <v>88</v>
      </c>
      <c r="C65" s="2">
        <v>2013</v>
      </c>
      <c r="D65" s="2" t="s">
        <v>839</v>
      </c>
      <c r="E65" s="2" t="s">
        <v>840</v>
      </c>
      <c r="F65" s="2" t="s">
        <v>115</v>
      </c>
      <c r="G65" s="2" t="s">
        <v>674</v>
      </c>
      <c r="H65" s="2" t="s">
        <v>116</v>
      </c>
      <c r="I65" s="2" t="s">
        <v>841</v>
      </c>
      <c r="J65" s="2" t="s">
        <v>842</v>
      </c>
      <c r="K65" s="2" t="s">
        <v>843</v>
      </c>
      <c r="L65" s="2" t="s">
        <v>844</v>
      </c>
      <c r="M65" s="4">
        <v>46274.900034722225</v>
      </c>
      <c r="N65" s="4">
        <v>46274.900046296294</v>
      </c>
      <c r="O65" s="4">
        <v>46274.900034722225</v>
      </c>
      <c r="P65" s="2" t="s">
        <v>845</v>
      </c>
      <c r="Q65" s="2" t="s">
        <v>674</v>
      </c>
      <c r="R65" s="2">
        <v>8</v>
      </c>
      <c r="S65" s="2">
        <v>60</v>
      </c>
      <c r="T65" s="2" t="s">
        <v>674</v>
      </c>
      <c r="U65" s="2" t="s">
        <v>121</v>
      </c>
      <c r="V65" s="2" t="s">
        <v>674</v>
      </c>
      <c r="W65" s="2" t="s">
        <v>674</v>
      </c>
      <c r="X65" s="2" t="s">
        <v>674</v>
      </c>
      <c r="Y65" s="2" t="s">
        <v>674</v>
      </c>
      <c r="Z65" s="2" t="s">
        <v>674</v>
      </c>
      <c r="AA65" s="2" t="s">
        <v>674</v>
      </c>
      <c r="AB65" s="2" t="s">
        <v>674</v>
      </c>
      <c r="AC65" s="2" t="s">
        <v>97</v>
      </c>
      <c r="AD65" s="2" t="s">
        <v>122</v>
      </c>
      <c r="AE65" s="2" t="s">
        <v>674</v>
      </c>
      <c r="AF65" s="2" t="s">
        <v>674</v>
      </c>
      <c r="AG65" s="2" t="s">
        <v>674</v>
      </c>
      <c r="AH65" s="2" t="s">
        <v>99</v>
      </c>
      <c r="AJ65" s="2" t="s">
        <v>674</v>
      </c>
      <c r="AK65" s="2" t="s">
        <v>674</v>
      </c>
      <c r="AL65" s="2" t="s">
        <v>846</v>
      </c>
      <c r="AM65" s="2" t="s">
        <v>674</v>
      </c>
      <c r="AN65" s="2" t="s">
        <v>674</v>
      </c>
      <c r="AO65" s="2" t="s">
        <v>712</v>
      </c>
      <c r="AP65" s="2" t="s">
        <v>674</v>
      </c>
      <c r="AQ65" s="2" t="s">
        <v>674</v>
      </c>
      <c r="AR65" s="2" t="s">
        <v>674</v>
      </c>
      <c r="AS65" s="2" t="s">
        <v>674</v>
      </c>
      <c r="AT65" s="2" t="s">
        <v>674</v>
      </c>
      <c r="AU65" s="2" t="s">
        <v>674</v>
      </c>
      <c r="AV65" s="2" t="s">
        <v>674</v>
      </c>
      <c r="AW65" s="2" t="s">
        <v>674</v>
      </c>
      <c r="AX65" s="2" t="s">
        <v>674</v>
      </c>
      <c r="AY65" s="2" t="s">
        <v>674</v>
      </c>
      <c r="AZ65" s="2" t="s">
        <v>674</v>
      </c>
      <c r="BA65" s="2" t="s">
        <v>674</v>
      </c>
      <c r="BB65" s="2" t="s">
        <v>674</v>
      </c>
      <c r="BC65" s="2" t="s">
        <v>674</v>
      </c>
      <c r="BD65" s="2" t="s">
        <v>674</v>
      </c>
      <c r="BE65" s="2" t="s">
        <v>674</v>
      </c>
      <c r="BF65" s="2" t="s">
        <v>674</v>
      </c>
      <c r="BG65" s="2" t="s">
        <v>674</v>
      </c>
      <c r="BH65" s="2" t="s">
        <v>674</v>
      </c>
      <c r="BI65" s="2" t="s">
        <v>674</v>
      </c>
      <c r="BJ65" s="2" t="s">
        <v>674</v>
      </c>
      <c r="BK65" s="2" t="s">
        <v>674</v>
      </c>
      <c r="BL65" s="2" t="s">
        <v>674</v>
      </c>
      <c r="BM65" s="2" t="s">
        <v>674</v>
      </c>
      <c r="BN65" s="2" t="s">
        <v>674</v>
      </c>
      <c r="BO65" s="2" t="s">
        <v>674</v>
      </c>
      <c r="BP65" s="2" t="s">
        <v>674</v>
      </c>
      <c r="BQ65" s="2" t="s">
        <v>674</v>
      </c>
      <c r="BR65" s="2" t="s">
        <v>674</v>
      </c>
      <c r="BS65" s="2" t="s">
        <v>674</v>
      </c>
      <c r="BT65" s="2" t="s">
        <v>674</v>
      </c>
      <c r="BU65" s="2" t="s">
        <v>674</v>
      </c>
      <c r="BV65" s="2" t="s">
        <v>674</v>
      </c>
      <c r="BW65" s="2" t="s">
        <v>674</v>
      </c>
      <c r="BX65" s="2" t="s">
        <v>674</v>
      </c>
      <c r="BY65" s="2" t="s">
        <v>674</v>
      </c>
      <c r="BZ65" s="2" t="s">
        <v>674</v>
      </c>
      <c r="CA65" s="2" t="s">
        <v>674</v>
      </c>
      <c r="CB65" s="2" t="s">
        <v>674</v>
      </c>
      <c r="CC65" s="2" t="s">
        <v>674</v>
      </c>
      <c r="CD65" s="2" t="s">
        <v>674</v>
      </c>
      <c r="CE65" s="2" t="s">
        <v>674</v>
      </c>
      <c r="CF65" s="2" t="s">
        <v>674</v>
      </c>
      <c r="CG65" s="2" t="s">
        <v>674</v>
      </c>
      <c r="CH65" s="2" t="s">
        <v>674</v>
      </c>
      <c r="CI65" s="2" t="s">
        <v>674</v>
      </c>
      <c r="CJ65" s="2" t="str">
        <f>IF(ISERROR(_xlfn.XLOOKUP(Tabla_papers[[#This Row],[Key]],Primer_filtro[Key],Primer_filtro[Key])),"FALTA","YA ESTÁ")</f>
        <v>YA ESTÁ</v>
      </c>
    </row>
    <row r="66" spans="1:88" hidden="1" x14ac:dyDescent="0.25">
      <c r="A66" t="s">
        <v>978</v>
      </c>
      <c r="B66" t="s">
        <v>88</v>
      </c>
      <c r="C66">
        <v>2019</v>
      </c>
      <c r="D66" t="s">
        <v>979</v>
      </c>
      <c r="E66" t="s">
        <v>980</v>
      </c>
      <c r="F66" t="s">
        <v>479</v>
      </c>
      <c r="G66" t="s">
        <v>674</v>
      </c>
      <c r="H66" t="s">
        <v>480</v>
      </c>
      <c r="I66" t="s">
        <v>981</v>
      </c>
      <c r="J66" t="s">
        <v>982</v>
      </c>
      <c r="K66" t="s">
        <v>983</v>
      </c>
      <c r="M66" s="4"/>
      <c r="N66" s="4"/>
      <c r="O66" s="4"/>
      <c r="CJ66" s="2" t="str">
        <f>IF(ISERROR(_xlfn.XLOOKUP(Tabla_papers[[#This Row],[Key]],Primer_filtro[Key],Primer_filtro[Key])),"FALTA","YA ESTÁ")</f>
        <v>YA ESTÁ</v>
      </c>
    </row>
    <row r="67" spans="1:88" hidden="1" x14ac:dyDescent="0.25">
      <c r="A67" t="s">
        <v>987</v>
      </c>
      <c r="B67" t="s">
        <v>88</v>
      </c>
      <c r="C67">
        <v>2025</v>
      </c>
      <c r="D67" t="s">
        <v>988</v>
      </c>
      <c r="E67" t="s">
        <v>989</v>
      </c>
      <c r="F67" t="s">
        <v>499</v>
      </c>
      <c r="G67" t="s">
        <v>674</v>
      </c>
      <c r="H67" t="s">
        <v>500</v>
      </c>
      <c r="I67" t="s">
        <v>990</v>
      </c>
      <c r="J67" t="s">
        <v>991</v>
      </c>
      <c r="K67" t="s">
        <v>992</v>
      </c>
      <c r="M67" s="4"/>
      <c r="N67" s="4"/>
      <c r="O67" s="4"/>
      <c r="CJ67" s="2" t="str">
        <f>IF(ISERROR(_xlfn.XLOOKUP(Tabla_papers[[#This Row],[Key]],Primer_filtro[Key],Primer_filtro[Key])),"FALTA","YA ESTÁ")</f>
        <v>YA ESTÁ</v>
      </c>
    </row>
    <row r="68" spans="1:88" hidden="1" x14ac:dyDescent="0.25">
      <c r="A68" t="s">
        <v>996</v>
      </c>
      <c r="B68" t="s">
        <v>126</v>
      </c>
      <c r="C68">
        <v>2024</v>
      </c>
      <c r="D68" t="s">
        <v>997</v>
      </c>
      <c r="E68" t="s">
        <v>998</v>
      </c>
      <c r="F68" t="s">
        <v>999</v>
      </c>
      <c r="G68" t="s">
        <v>1000</v>
      </c>
      <c r="H68" t="s">
        <v>674</v>
      </c>
      <c r="I68" t="s">
        <v>1001</v>
      </c>
      <c r="J68" t="s">
        <v>1002</v>
      </c>
      <c r="K68" t="s">
        <v>1003</v>
      </c>
      <c r="M68" s="4"/>
      <c r="N68" s="4"/>
      <c r="O68" s="4"/>
      <c r="CJ68" s="2" t="str">
        <f>IF(ISERROR(_xlfn.XLOOKUP(Tabla_papers[[#This Row],[Key]],Primer_filtro[Key],Primer_filtro[Key])),"FALTA","YA ESTÁ")</f>
        <v>YA ESTÁ</v>
      </c>
    </row>
    <row r="69" spans="1:88" hidden="1" x14ac:dyDescent="0.25">
      <c r="A69" t="s">
        <v>1008</v>
      </c>
      <c r="B69" t="s">
        <v>88</v>
      </c>
      <c r="C69">
        <v>2025</v>
      </c>
      <c r="D69" t="s">
        <v>1009</v>
      </c>
      <c r="E69" t="s">
        <v>1010</v>
      </c>
      <c r="F69" t="s">
        <v>297</v>
      </c>
      <c r="G69" t="s">
        <v>674</v>
      </c>
      <c r="H69" t="s">
        <v>298</v>
      </c>
      <c r="I69" t="s">
        <v>1011</v>
      </c>
      <c r="J69" t="s">
        <v>1012</v>
      </c>
      <c r="K69" t="s">
        <v>1013</v>
      </c>
      <c r="M69" s="4"/>
      <c r="N69" s="4"/>
      <c r="O69" s="4"/>
      <c r="CJ69" s="2" t="str">
        <f>IF(ISERROR(_xlfn.XLOOKUP(Tabla_papers[[#This Row],[Key]],Primer_filtro[Key],Primer_filtro[Key])),"FALTA","YA ESTÁ")</f>
        <v>YA ESTÁ</v>
      </c>
    </row>
    <row r="70" spans="1:88" hidden="1" x14ac:dyDescent="0.25">
      <c r="A70" t="s">
        <v>1017</v>
      </c>
      <c r="B70" t="s">
        <v>88</v>
      </c>
      <c r="C70">
        <v>2025</v>
      </c>
      <c r="D70" t="s">
        <v>1018</v>
      </c>
      <c r="E70" t="s">
        <v>1019</v>
      </c>
      <c r="F70" t="s">
        <v>1020</v>
      </c>
      <c r="G70" t="s">
        <v>674</v>
      </c>
      <c r="H70" t="s">
        <v>1021</v>
      </c>
      <c r="I70" t="s">
        <v>1022</v>
      </c>
      <c r="J70" t="s">
        <v>1023</v>
      </c>
      <c r="K70" t="s">
        <v>1024</v>
      </c>
      <c r="M70" s="4"/>
      <c r="N70" s="4"/>
      <c r="O70" s="4"/>
      <c r="CJ70" s="2" t="str">
        <f>IF(ISERROR(_xlfn.XLOOKUP(Tabla_papers[[#This Row],[Key]],Primer_filtro[Key],Primer_filtro[Key])),"FALTA","YA ESTÁ")</f>
        <v>YA ESTÁ</v>
      </c>
    </row>
    <row r="71" spans="1:88" hidden="1" x14ac:dyDescent="0.25">
      <c r="A71" t="s">
        <v>1028</v>
      </c>
      <c r="B71" t="s">
        <v>126</v>
      </c>
      <c r="C71">
        <v>2025</v>
      </c>
      <c r="D71" t="s">
        <v>1029</v>
      </c>
      <c r="E71" t="s">
        <v>1030</v>
      </c>
      <c r="F71" t="s">
        <v>1031</v>
      </c>
      <c r="G71" t="s">
        <v>1032</v>
      </c>
      <c r="H71" t="s">
        <v>674</v>
      </c>
      <c r="I71" t="s">
        <v>1033</v>
      </c>
      <c r="J71" t="s">
        <v>1034</v>
      </c>
      <c r="K71" t="s">
        <v>1035</v>
      </c>
      <c r="M71" s="4"/>
      <c r="N71" s="4"/>
      <c r="O71" s="4"/>
      <c r="CJ71" s="2" t="str">
        <f>IF(ISERROR(_xlfn.XLOOKUP(Tabla_papers[[#This Row],[Key]],Primer_filtro[Key],Primer_filtro[Key])),"FALTA","YA ESTÁ")</f>
        <v>YA ESTÁ</v>
      </c>
    </row>
    <row r="72" spans="1:88" hidden="1" x14ac:dyDescent="0.25">
      <c r="A72" t="s">
        <v>1040</v>
      </c>
      <c r="B72" t="s">
        <v>88</v>
      </c>
      <c r="C72">
        <v>2022</v>
      </c>
      <c r="D72" t="s">
        <v>1041</v>
      </c>
      <c r="E72" t="s">
        <v>1042</v>
      </c>
      <c r="F72" t="s">
        <v>1043</v>
      </c>
      <c r="G72" t="s">
        <v>674</v>
      </c>
      <c r="H72" t="s">
        <v>1044</v>
      </c>
      <c r="I72" t="s">
        <v>1045</v>
      </c>
      <c r="J72" t="s">
        <v>1046</v>
      </c>
      <c r="K72" t="s">
        <v>1047</v>
      </c>
      <c r="M72" s="4"/>
      <c r="N72" s="4"/>
      <c r="O72" s="4"/>
      <c r="CJ72" s="2" t="str">
        <f>IF(ISERROR(_xlfn.XLOOKUP(Tabla_papers[[#This Row],[Key]],Primer_filtro[Key],Primer_filtro[Key])),"FALTA","YA ESTÁ")</f>
        <v>YA ESTÁ</v>
      </c>
    </row>
    <row r="73" spans="1:88" customFormat="1" hidden="1" x14ac:dyDescent="0.25">
      <c r="A73" t="s">
        <v>1094</v>
      </c>
      <c r="B73" t="s">
        <v>88</v>
      </c>
      <c r="C73">
        <v>2022</v>
      </c>
      <c r="D73" t="s">
        <v>1095</v>
      </c>
      <c r="E73" t="s">
        <v>1096</v>
      </c>
      <c r="F73" t="s">
        <v>499</v>
      </c>
      <c r="G73" t="s">
        <v>674</v>
      </c>
      <c r="H73" t="s">
        <v>500</v>
      </c>
      <c r="I73" t="s">
        <v>1097</v>
      </c>
      <c r="J73" t="s">
        <v>1098</v>
      </c>
      <c r="K73" t="s">
        <v>1099</v>
      </c>
      <c r="L73" t="s">
        <v>1100</v>
      </c>
      <c r="M73" s="1">
        <v>46285.713148148148</v>
      </c>
      <c r="N73" s="1">
        <v>46285.713171296295</v>
      </c>
      <c r="O73" s="1">
        <v>46285.713148148148</v>
      </c>
      <c r="P73" t="s">
        <v>1101</v>
      </c>
      <c r="Q73" t="s">
        <v>674</v>
      </c>
      <c r="R73">
        <v>11</v>
      </c>
      <c r="S73">
        <v>37</v>
      </c>
      <c r="T73" t="s">
        <v>674</v>
      </c>
      <c r="U73" t="s">
        <v>505</v>
      </c>
      <c r="V73" t="s">
        <v>674</v>
      </c>
      <c r="W73" t="s">
        <v>674</v>
      </c>
      <c r="X73" t="s">
        <v>674</v>
      </c>
      <c r="Y73" t="s">
        <v>674</v>
      </c>
      <c r="Z73" t="s">
        <v>674</v>
      </c>
      <c r="AA73" t="s">
        <v>674</v>
      </c>
      <c r="AB73" t="s">
        <v>674</v>
      </c>
      <c r="AC73" t="s">
        <v>97</v>
      </c>
      <c r="AD73" t="s">
        <v>122</v>
      </c>
      <c r="AE73" t="s">
        <v>674</v>
      </c>
      <c r="AF73" t="s">
        <v>674</v>
      </c>
      <c r="AG73" t="s">
        <v>674</v>
      </c>
      <c r="AH73" t="s">
        <v>99</v>
      </c>
      <c r="AJ73" t="s">
        <v>674</v>
      </c>
      <c r="AK73" t="s">
        <v>674</v>
      </c>
      <c r="AL73" t="s">
        <v>1102</v>
      </c>
      <c r="AM73" t="s">
        <v>674</v>
      </c>
      <c r="AN73" t="s">
        <v>674</v>
      </c>
      <c r="AO73" t="s">
        <v>712</v>
      </c>
      <c r="AP73" t="s">
        <v>674</v>
      </c>
      <c r="AQ73" t="s">
        <v>674</v>
      </c>
      <c r="AR73" t="s">
        <v>674</v>
      </c>
      <c r="AS73" t="s">
        <v>674</v>
      </c>
      <c r="AT73" t="s">
        <v>674</v>
      </c>
      <c r="AU73" t="s">
        <v>674</v>
      </c>
      <c r="AV73" t="s">
        <v>674</v>
      </c>
      <c r="AW73" t="s">
        <v>674</v>
      </c>
      <c r="AX73" t="s">
        <v>674</v>
      </c>
      <c r="AY73" t="s">
        <v>674</v>
      </c>
      <c r="AZ73" t="s">
        <v>674</v>
      </c>
      <c r="BA73" t="s">
        <v>674</v>
      </c>
      <c r="BB73" t="s">
        <v>674</v>
      </c>
      <c r="BC73" t="s">
        <v>674</v>
      </c>
      <c r="BD73" t="s">
        <v>674</v>
      </c>
      <c r="BE73" t="s">
        <v>674</v>
      </c>
      <c r="BF73" t="s">
        <v>674</v>
      </c>
      <c r="BG73" t="s">
        <v>674</v>
      </c>
      <c r="BH73" t="s">
        <v>674</v>
      </c>
      <c r="BI73" t="s">
        <v>674</v>
      </c>
      <c r="BJ73" t="s">
        <v>674</v>
      </c>
      <c r="BK73" t="s">
        <v>674</v>
      </c>
      <c r="BL73" t="s">
        <v>674</v>
      </c>
      <c r="BM73" t="s">
        <v>674</v>
      </c>
      <c r="BN73" t="s">
        <v>674</v>
      </c>
      <c r="BO73" t="s">
        <v>674</v>
      </c>
      <c r="BP73" t="s">
        <v>674</v>
      </c>
      <c r="BQ73" t="s">
        <v>674</v>
      </c>
      <c r="BR73" t="s">
        <v>674</v>
      </c>
      <c r="BS73" t="s">
        <v>674</v>
      </c>
      <c r="BT73" t="s">
        <v>674</v>
      </c>
      <c r="BU73" t="s">
        <v>674</v>
      </c>
      <c r="BV73" t="s">
        <v>674</v>
      </c>
      <c r="BW73" t="s">
        <v>674</v>
      </c>
      <c r="BX73" t="s">
        <v>674</v>
      </c>
      <c r="BY73" t="s">
        <v>674</v>
      </c>
      <c r="BZ73" t="s">
        <v>674</v>
      </c>
      <c r="CA73" t="s">
        <v>674</v>
      </c>
      <c r="CB73" t="s">
        <v>674</v>
      </c>
      <c r="CC73" t="s">
        <v>674</v>
      </c>
      <c r="CD73" t="s">
        <v>674</v>
      </c>
      <c r="CE73" t="s">
        <v>674</v>
      </c>
      <c r="CF73" t="s">
        <v>674</v>
      </c>
      <c r="CG73" t="s">
        <v>674</v>
      </c>
      <c r="CH73" t="s">
        <v>674</v>
      </c>
      <c r="CI73" t="s">
        <v>674</v>
      </c>
      <c r="CJ73" s="2" t="str">
        <f>IF(ISERROR(_xlfn.XLOOKUP(Tabla_papers[[#This Row],[Key]],Primer_filtro[Key],Primer_filtro[Key])),"FALTA","YA ESTÁ")</f>
        <v>YA ESTÁ</v>
      </c>
    </row>
    <row r="74" spans="1:88" customFormat="1" hidden="1" x14ac:dyDescent="0.25">
      <c r="A74" t="s">
        <v>1092</v>
      </c>
      <c r="B74" t="s">
        <v>88</v>
      </c>
      <c r="C74">
        <v>2019</v>
      </c>
      <c r="D74" t="s">
        <v>979</v>
      </c>
      <c r="E74" t="s">
        <v>980</v>
      </c>
      <c r="F74" t="s">
        <v>479</v>
      </c>
      <c r="G74" t="s">
        <v>674</v>
      </c>
      <c r="H74" t="s">
        <v>480</v>
      </c>
      <c r="I74" t="s">
        <v>981</v>
      </c>
      <c r="J74" t="s">
        <v>982</v>
      </c>
      <c r="K74" t="s">
        <v>983</v>
      </c>
      <c r="L74" t="s">
        <v>984</v>
      </c>
      <c r="M74" s="1">
        <v>46284.999594907407</v>
      </c>
      <c r="N74" s="1">
        <v>46284.999618055554</v>
      </c>
      <c r="O74" s="1">
        <v>46284.999594907407</v>
      </c>
      <c r="P74" t="s">
        <v>985</v>
      </c>
      <c r="Q74" t="s">
        <v>674</v>
      </c>
      <c r="R74">
        <v>1</v>
      </c>
      <c r="S74">
        <v>10</v>
      </c>
      <c r="T74" t="s">
        <v>674</v>
      </c>
      <c r="U74" t="s">
        <v>479</v>
      </c>
      <c r="V74" t="s">
        <v>674</v>
      </c>
      <c r="W74" t="s">
        <v>674</v>
      </c>
      <c r="X74" t="s">
        <v>674</v>
      </c>
      <c r="Y74" t="s">
        <v>674</v>
      </c>
      <c r="Z74" t="s">
        <v>674</v>
      </c>
      <c r="AA74" t="s">
        <v>674</v>
      </c>
      <c r="AB74" t="s">
        <v>674</v>
      </c>
      <c r="AC74" t="s">
        <v>97</v>
      </c>
      <c r="AD74" t="s">
        <v>674</v>
      </c>
      <c r="AE74" t="s">
        <v>674</v>
      </c>
      <c r="AF74" t="s">
        <v>674</v>
      </c>
      <c r="AG74" t="s">
        <v>674</v>
      </c>
      <c r="AH74" t="s">
        <v>99</v>
      </c>
      <c r="AJ74" t="s">
        <v>674</v>
      </c>
      <c r="AK74" t="s">
        <v>674</v>
      </c>
      <c r="AL74" t="s">
        <v>1093</v>
      </c>
      <c r="AM74" t="s">
        <v>674</v>
      </c>
      <c r="AN74" t="s">
        <v>674</v>
      </c>
      <c r="AO74" t="s">
        <v>712</v>
      </c>
      <c r="AP74" t="s">
        <v>674</v>
      </c>
      <c r="AQ74" t="s">
        <v>674</v>
      </c>
      <c r="AR74" t="s">
        <v>674</v>
      </c>
      <c r="AS74" t="s">
        <v>674</v>
      </c>
      <c r="AT74" t="s">
        <v>674</v>
      </c>
      <c r="AU74" t="s">
        <v>674</v>
      </c>
      <c r="AV74" t="s">
        <v>674</v>
      </c>
      <c r="AW74" t="s">
        <v>674</v>
      </c>
      <c r="AX74" t="s">
        <v>674</v>
      </c>
      <c r="AY74" t="s">
        <v>674</v>
      </c>
      <c r="AZ74" t="s">
        <v>674</v>
      </c>
      <c r="BA74" t="s">
        <v>674</v>
      </c>
      <c r="BB74" t="s">
        <v>674</v>
      </c>
      <c r="BC74" t="s">
        <v>674</v>
      </c>
      <c r="BD74" t="s">
        <v>674</v>
      </c>
      <c r="BE74" t="s">
        <v>674</v>
      </c>
      <c r="BF74" t="s">
        <v>674</v>
      </c>
      <c r="BG74" t="s">
        <v>674</v>
      </c>
      <c r="BH74" t="s">
        <v>674</v>
      </c>
      <c r="BI74" t="s">
        <v>674</v>
      </c>
      <c r="BJ74" t="s">
        <v>674</v>
      </c>
      <c r="BK74" t="s">
        <v>674</v>
      </c>
      <c r="BL74" t="s">
        <v>674</v>
      </c>
      <c r="BM74" t="s">
        <v>674</v>
      </c>
      <c r="BN74" t="s">
        <v>674</v>
      </c>
      <c r="BO74" t="s">
        <v>674</v>
      </c>
      <c r="BP74" t="s">
        <v>674</v>
      </c>
      <c r="BQ74" t="s">
        <v>674</v>
      </c>
      <c r="BR74" t="s">
        <v>674</v>
      </c>
      <c r="BS74" t="s">
        <v>674</v>
      </c>
      <c r="BT74" t="s">
        <v>674</v>
      </c>
      <c r="BU74" t="s">
        <v>674</v>
      </c>
      <c r="BV74" t="s">
        <v>674</v>
      </c>
      <c r="BW74" t="s">
        <v>674</v>
      </c>
      <c r="BX74" t="s">
        <v>674</v>
      </c>
      <c r="BY74" t="s">
        <v>674</v>
      </c>
      <c r="BZ74" t="s">
        <v>674</v>
      </c>
      <c r="CA74" t="s">
        <v>674</v>
      </c>
      <c r="CB74" t="s">
        <v>674</v>
      </c>
      <c r="CC74" t="s">
        <v>674</v>
      </c>
      <c r="CD74" t="s">
        <v>674</v>
      </c>
      <c r="CE74" t="s">
        <v>674</v>
      </c>
      <c r="CF74" t="s">
        <v>674</v>
      </c>
      <c r="CG74" t="s">
        <v>674</v>
      </c>
      <c r="CH74" t="s">
        <v>674</v>
      </c>
      <c r="CI74" t="s">
        <v>674</v>
      </c>
      <c r="CJ74" s="2" t="str">
        <f>IF(ISERROR(_xlfn.XLOOKUP(Tabla_papers[[#This Row],[Key]],Primer_filtro[Key],Primer_filtro[Key])),"FALTA","YA ESTÁ")</f>
        <v>YA ESTÁ</v>
      </c>
    </row>
    <row r="75" spans="1:88" customFormat="1" hidden="1" x14ac:dyDescent="0.25">
      <c r="A75" t="s">
        <v>1083</v>
      </c>
      <c r="B75" t="s">
        <v>88</v>
      </c>
      <c r="C75">
        <v>2017</v>
      </c>
      <c r="D75" t="s">
        <v>1084</v>
      </c>
      <c r="E75" t="s">
        <v>1085</v>
      </c>
      <c r="F75" t="s">
        <v>479</v>
      </c>
      <c r="G75" t="s">
        <v>674</v>
      </c>
      <c r="H75" t="s">
        <v>480</v>
      </c>
      <c r="I75" t="s">
        <v>1086</v>
      </c>
      <c r="J75" t="s">
        <v>1087</v>
      </c>
      <c r="K75" t="s">
        <v>1088</v>
      </c>
      <c r="L75" t="s">
        <v>1089</v>
      </c>
      <c r="M75" s="1">
        <v>46284.999502314815</v>
      </c>
      <c r="N75" s="1">
        <v>46284.999525462961</v>
      </c>
      <c r="O75" s="1">
        <v>46284.999502314815</v>
      </c>
      <c r="P75" t="s">
        <v>1090</v>
      </c>
      <c r="Q75" t="s">
        <v>674</v>
      </c>
      <c r="R75">
        <v>9</v>
      </c>
      <c r="S75">
        <v>7</v>
      </c>
      <c r="T75" t="s">
        <v>674</v>
      </c>
      <c r="U75" t="s">
        <v>479</v>
      </c>
      <c r="V75" t="s">
        <v>674</v>
      </c>
      <c r="W75" t="s">
        <v>674</v>
      </c>
      <c r="X75" t="s">
        <v>674</v>
      </c>
      <c r="Y75" t="s">
        <v>674</v>
      </c>
      <c r="Z75" t="s">
        <v>674</v>
      </c>
      <c r="AA75" t="s">
        <v>674</v>
      </c>
      <c r="AB75" t="s">
        <v>674</v>
      </c>
      <c r="AC75" t="s">
        <v>97</v>
      </c>
      <c r="AD75" t="s">
        <v>674</v>
      </c>
      <c r="AE75" t="s">
        <v>674</v>
      </c>
      <c r="AF75" t="s">
        <v>674</v>
      </c>
      <c r="AG75" t="s">
        <v>674</v>
      </c>
      <c r="AH75" t="s">
        <v>99</v>
      </c>
      <c r="AJ75" t="s">
        <v>674</v>
      </c>
      <c r="AK75" t="s">
        <v>674</v>
      </c>
      <c r="AL75" t="s">
        <v>1091</v>
      </c>
      <c r="AM75" t="s">
        <v>674</v>
      </c>
      <c r="AN75" t="s">
        <v>674</v>
      </c>
      <c r="AO75" t="s">
        <v>712</v>
      </c>
      <c r="AP75" t="s">
        <v>674</v>
      </c>
      <c r="AQ75" t="s">
        <v>674</v>
      </c>
      <c r="AR75" t="s">
        <v>674</v>
      </c>
      <c r="AS75" t="s">
        <v>674</v>
      </c>
      <c r="AT75" t="s">
        <v>674</v>
      </c>
      <c r="AU75" t="s">
        <v>674</v>
      </c>
      <c r="AV75" t="s">
        <v>674</v>
      </c>
      <c r="AW75" t="s">
        <v>674</v>
      </c>
      <c r="AX75" t="s">
        <v>674</v>
      </c>
      <c r="AY75" t="s">
        <v>674</v>
      </c>
      <c r="AZ75" t="s">
        <v>674</v>
      </c>
      <c r="BA75" t="s">
        <v>674</v>
      </c>
      <c r="BB75" t="s">
        <v>674</v>
      </c>
      <c r="BC75" t="s">
        <v>674</v>
      </c>
      <c r="BD75" t="s">
        <v>674</v>
      </c>
      <c r="BE75" t="s">
        <v>674</v>
      </c>
      <c r="BF75" t="s">
        <v>674</v>
      </c>
      <c r="BG75" t="s">
        <v>674</v>
      </c>
      <c r="BH75" t="s">
        <v>674</v>
      </c>
      <c r="BI75" t="s">
        <v>674</v>
      </c>
      <c r="BJ75" t="s">
        <v>674</v>
      </c>
      <c r="BK75" t="s">
        <v>674</v>
      </c>
      <c r="BL75" t="s">
        <v>674</v>
      </c>
      <c r="BM75" t="s">
        <v>674</v>
      </c>
      <c r="BN75" t="s">
        <v>674</v>
      </c>
      <c r="BO75" t="s">
        <v>674</v>
      </c>
      <c r="BP75" t="s">
        <v>674</v>
      </c>
      <c r="BQ75" t="s">
        <v>674</v>
      </c>
      <c r="BR75" t="s">
        <v>674</v>
      </c>
      <c r="BS75" t="s">
        <v>674</v>
      </c>
      <c r="BT75" t="s">
        <v>674</v>
      </c>
      <c r="BU75" t="s">
        <v>674</v>
      </c>
      <c r="BV75" t="s">
        <v>674</v>
      </c>
      <c r="BW75" t="s">
        <v>674</v>
      </c>
      <c r="BX75" t="s">
        <v>674</v>
      </c>
      <c r="BY75" t="s">
        <v>674</v>
      </c>
      <c r="BZ75" t="s">
        <v>674</v>
      </c>
      <c r="CA75" t="s">
        <v>674</v>
      </c>
      <c r="CB75" t="s">
        <v>674</v>
      </c>
      <c r="CC75" t="s">
        <v>674</v>
      </c>
      <c r="CD75" t="s">
        <v>674</v>
      </c>
      <c r="CE75" t="s">
        <v>674</v>
      </c>
      <c r="CF75" t="s">
        <v>674</v>
      </c>
      <c r="CG75" t="s">
        <v>674</v>
      </c>
      <c r="CH75" t="s">
        <v>674</v>
      </c>
      <c r="CI75" t="s">
        <v>674</v>
      </c>
      <c r="CJ75" s="2" t="str">
        <f>IF(ISERROR(_xlfn.XLOOKUP(Tabla_papers[[#This Row],[Key]],Primer_filtro[Key],Primer_filtro[Key])),"FALTA","YA ESTÁ")</f>
        <v>YA ESTÁ</v>
      </c>
    </row>
    <row r="76" spans="1:88" hidden="1" x14ac:dyDescent="0.25">
      <c r="M76" s="4"/>
      <c r="N76" s="4"/>
      <c r="O76" s="4"/>
      <c r="CJ76" s="2" t="str">
        <f>IF(ISERROR(_xlfn.XLOOKUP(Tabla_papers[[#This Row],[Key]],Primer_filtro[Key],Primer_filtro[Key])),"FALTA","YA ESTÁ")</f>
        <v>YA ESTÁ</v>
      </c>
    </row>
    <row r="77" spans="1:88" hidden="1" x14ac:dyDescent="0.25">
      <c r="M77" s="4"/>
      <c r="N77" s="4"/>
      <c r="O77" s="4"/>
      <c r="CJ77" s="2" t="str">
        <f>IF(ISERROR(_xlfn.XLOOKUP(Tabla_papers[[#This Row],[Key]],Primer_filtro[Key],Primer_filtro[Key])),"FALTA","YA ESTÁ")</f>
        <v>YA ESTÁ</v>
      </c>
    </row>
    <row r="78" spans="1:88" hidden="1" x14ac:dyDescent="0.25">
      <c r="M78" s="4"/>
      <c r="N78" s="4"/>
      <c r="O78" s="4"/>
      <c r="CJ78" s="2" t="str">
        <f>IF(ISERROR(_xlfn.XLOOKUP(Tabla_papers[[#This Row],[Key]],Primer_filtro[Key],Primer_filtro[Key])),"FALTA","YA ESTÁ")</f>
        <v>YA ESTÁ</v>
      </c>
    </row>
    <row r="79" spans="1:88" hidden="1" x14ac:dyDescent="0.25">
      <c r="M79" s="4"/>
      <c r="N79" s="4"/>
      <c r="O79" s="4"/>
      <c r="CJ79" s="2" t="str">
        <f>IF(ISERROR(_xlfn.XLOOKUP(Tabla_papers[[#This Row],[Key]],Primer_filtro[Key],Primer_filtro[Key])),"FALTA","YA ESTÁ")</f>
        <v>YA ESTÁ</v>
      </c>
    </row>
    <row r="80" spans="1:88" hidden="1" x14ac:dyDescent="0.25">
      <c r="M80" s="4"/>
      <c r="N80" s="4"/>
      <c r="O80" s="4"/>
      <c r="CJ80" s="2" t="str">
        <f>IF(ISERROR(_xlfn.XLOOKUP(Tabla_papers[[#This Row],[Key]],Primer_filtro[Key],Primer_filtro[Key])),"FALTA","YA ESTÁ")</f>
        <v>YA ESTÁ</v>
      </c>
    </row>
    <row r="81" spans="13:88" hidden="1" x14ac:dyDescent="0.25">
      <c r="M81" s="4"/>
      <c r="N81" s="4"/>
      <c r="O81" s="4"/>
      <c r="CJ81" s="2" t="str">
        <f>IF(ISERROR(_xlfn.XLOOKUP(Tabla_papers[[#This Row],[Key]],Primer_filtro[Key],Primer_filtro[Key])),"FALTA","YA ESTÁ")</f>
        <v>YA ESTÁ</v>
      </c>
    </row>
    <row r="82" spans="13:88" hidden="1" x14ac:dyDescent="0.25">
      <c r="M82" s="4"/>
      <c r="N82" s="4"/>
      <c r="O82" s="4"/>
      <c r="CJ82" s="2" t="str">
        <f>IF(ISERROR(_xlfn.XLOOKUP(Tabla_papers[[#This Row],[Key]],Primer_filtro[Key],Primer_filtro[Key])),"FALTA","YA ESTÁ")</f>
        <v>YA ESTÁ</v>
      </c>
    </row>
    <row r="83" spans="13:88" hidden="1" x14ac:dyDescent="0.25">
      <c r="M83" s="4"/>
      <c r="N83" s="4"/>
      <c r="O83" s="4"/>
      <c r="CJ83" s="2" t="str">
        <f>IF(ISERROR(_xlfn.XLOOKUP(Tabla_papers[[#This Row],[Key]],Primer_filtro[Key],Primer_filtro[Key])),"FALTA","YA ESTÁ")</f>
        <v>YA ESTÁ</v>
      </c>
    </row>
    <row r="84" spans="13:88" hidden="1" x14ac:dyDescent="0.25">
      <c r="M84" s="4"/>
      <c r="N84" s="4"/>
      <c r="O84" s="4"/>
      <c r="CJ84" s="2" t="str">
        <f>IF(ISERROR(_xlfn.XLOOKUP(Tabla_papers[[#This Row],[Key]],Primer_filtro[Key],Primer_filtro[Key])),"FALTA","YA ESTÁ")</f>
        <v>YA ESTÁ</v>
      </c>
    </row>
    <row r="85" spans="13:88" hidden="1" x14ac:dyDescent="0.25">
      <c r="M85" s="4"/>
      <c r="N85" s="4"/>
      <c r="O85" s="4"/>
      <c r="CJ85" s="2" t="str">
        <f>IF(ISERROR(_xlfn.XLOOKUP(Tabla_papers[[#This Row],[Key]],Primer_filtro[Key],Primer_filtro[Key])),"FALTA","YA ESTÁ")</f>
        <v>YA ESTÁ</v>
      </c>
    </row>
    <row r="86" spans="13:88" hidden="1" x14ac:dyDescent="0.25">
      <c r="M86" s="4"/>
      <c r="N86" s="4"/>
      <c r="O86" s="4"/>
      <c r="CJ86" s="2" t="str">
        <f>IF(ISERROR(_xlfn.XLOOKUP(Tabla_papers[[#This Row],[Key]],Primer_filtro[Key],Primer_filtro[Key])),"FALTA","YA ESTÁ")</f>
        <v>YA ESTÁ</v>
      </c>
    </row>
    <row r="87" spans="13:88" hidden="1" x14ac:dyDescent="0.25">
      <c r="M87" s="4"/>
      <c r="N87" s="4"/>
      <c r="O87" s="4"/>
      <c r="CJ87" s="2" t="str">
        <f>IF(ISERROR(_xlfn.XLOOKUP(Tabla_papers[[#This Row],[Key]],Primer_filtro[Key],Primer_filtro[Key])),"FALTA","YA ESTÁ")</f>
        <v>YA ESTÁ</v>
      </c>
    </row>
    <row r="88" spans="13:88" hidden="1" x14ac:dyDescent="0.25">
      <c r="M88" s="4"/>
      <c r="N88" s="4"/>
      <c r="O88" s="4"/>
      <c r="CJ88" s="2" t="str">
        <f>IF(ISERROR(_xlfn.XLOOKUP(Tabla_papers[[#This Row],[Key]],Primer_filtro[Key],Primer_filtro[Key])),"FALTA","YA ESTÁ")</f>
        <v>YA ESTÁ</v>
      </c>
    </row>
    <row r="89" spans="13:88" hidden="1" x14ac:dyDescent="0.25">
      <c r="M89" s="4"/>
      <c r="N89" s="4"/>
      <c r="O89" s="4"/>
      <c r="CJ89" s="2" t="str">
        <f>IF(ISERROR(_xlfn.XLOOKUP(Tabla_papers[[#This Row],[Key]],Primer_filtro[Key],Primer_filtro[Key])),"FALTA","YA ESTÁ")</f>
        <v>YA ESTÁ</v>
      </c>
    </row>
    <row r="90" spans="13:88" hidden="1" x14ac:dyDescent="0.25">
      <c r="M90" s="4"/>
      <c r="N90" s="4"/>
      <c r="O90" s="4"/>
      <c r="CJ90" s="2" t="str">
        <f>IF(ISERROR(_xlfn.XLOOKUP(Tabla_papers[[#This Row],[Key]],Primer_filtro[Key],Primer_filtro[Key])),"FALTA","YA ESTÁ")</f>
        <v>YA ESTÁ</v>
      </c>
    </row>
    <row r="91" spans="13:88" hidden="1" x14ac:dyDescent="0.25">
      <c r="M91" s="4"/>
      <c r="N91" s="4"/>
      <c r="O91" s="4"/>
      <c r="CJ91" s="2" t="str">
        <f>IF(ISERROR(_xlfn.XLOOKUP(Tabla_papers[[#This Row],[Key]],Primer_filtro[Key],Primer_filtro[Key])),"FALTA","YA ESTÁ")</f>
        <v>YA ESTÁ</v>
      </c>
    </row>
    <row r="92" spans="13:88" hidden="1" x14ac:dyDescent="0.25">
      <c r="M92" s="4"/>
      <c r="N92" s="4"/>
      <c r="O92" s="4"/>
      <c r="CJ92" s="2" t="str">
        <f>IF(ISERROR(_xlfn.XLOOKUP(Tabla_papers[[#This Row],[Key]],Primer_filtro[Key],Primer_filtro[Key])),"FALTA","YA ESTÁ")</f>
        <v>YA ESTÁ</v>
      </c>
    </row>
    <row r="93" spans="13:88" hidden="1" x14ac:dyDescent="0.25">
      <c r="M93" s="4"/>
      <c r="N93" s="4"/>
      <c r="O93" s="4"/>
      <c r="CJ93" s="2" t="str">
        <f>IF(ISERROR(_xlfn.XLOOKUP(Tabla_papers[[#This Row],[Key]],Primer_filtro[Key],Primer_filtro[Key])),"FALTA","YA ESTÁ")</f>
        <v>YA ESTÁ</v>
      </c>
    </row>
    <row r="94" spans="13:88" hidden="1" x14ac:dyDescent="0.25">
      <c r="M94" s="4"/>
      <c r="N94" s="4"/>
      <c r="O94" s="4"/>
      <c r="CJ94" s="2" t="str">
        <f>IF(ISERROR(_xlfn.XLOOKUP(Tabla_papers[[#This Row],[Key]],Primer_filtro[Key],Primer_filtro[Key])),"FALTA","YA ESTÁ")</f>
        <v>YA ESTÁ</v>
      </c>
    </row>
    <row r="95" spans="13:88" hidden="1" x14ac:dyDescent="0.25">
      <c r="M95" s="4"/>
      <c r="N95" s="4"/>
      <c r="O95" s="4"/>
      <c r="CJ95" s="2" t="str">
        <f>IF(ISERROR(_xlfn.XLOOKUP(Tabla_papers[[#This Row],[Key]],Primer_filtro[Key],Primer_filtro[Key])),"FALTA","YA ESTÁ")</f>
        <v>YA ESTÁ</v>
      </c>
    </row>
    <row r="96" spans="13:88" hidden="1" x14ac:dyDescent="0.25">
      <c r="M96" s="4"/>
      <c r="N96" s="4"/>
      <c r="O96" s="4"/>
      <c r="CJ96" s="2" t="str">
        <f>IF(ISERROR(_xlfn.XLOOKUP(Tabla_papers[[#This Row],[Key]],Primer_filtro[Key],Primer_filtro[Key])),"FALTA","YA ESTÁ")</f>
        <v>YA ESTÁ</v>
      </c>
    </row>
    <row r="97" spans="1:88" hidden="1" x14ac:dyDescent="0.25">
      <c r="M97" s="4"/>
      <c r="N97" s="4"/>
      <c r="O97" s="4"/>
      <c r="CJ97" s="2" t="str">
        <f>IF(ISERROR(_xlfn.XLOOKUP(Tabla_papers[[#This Row],[Key]],Primer_filtro[Key],Primer_filtro[Key])),"FALTA","YA ESTÁ")</f>
        <v>YA ESTÁ</v>
      </c>
    </row>
    <row r="98" spans="1:88" hidden="1" x14ac:dyDescent="0.25">
      <c r="M98" s="4"/>
      <c r="N98" s="4"/>
      <c r="O98" s="4"/>
      <c r="CJ98" s="2" t="str">
        <f>IF(ISERROR(_xlfn.XLOOKUP(Tabla_papers[[#This Row],[Key]],Primer_filtro[Key],Primer_filtro[Key])),"FALTA","YA ESTÁ")</f>
        <v>YA ESTÁ</v>
      </c>
    </row>
    <row r="99" spans="1:88" hidden="1" x14ac:dyDescent="0.25">
      <c r="M99" s="4"/>
      <c r="N99" s="4"/>
      <c r="O99" s="4"/>
      <c r="CJ99" s="2" t="str">
        <f>IF(ISERROR(_xlfn.XLOOKUP(Tabla_papers[[#This Row],[Key]],Primer_filtro[Key],Primer_filtro[Key])),"FALTA","YA ESTÁ")</f>
        <v>YA ESTÁ</v>
      </c>
    </row>
    <row r="100" spans="1:88" hidden="1" x14ac:dyDescent="0.25">
      <c r="M100" s="4"/>
      <c r="N100" s="4"/>
      <c r="O100" s="4"/>
      <c r="CJ100" s="2" t="str">
        <f>IF(ISERROR(_xlfn.XLOOKUP(Tabla_papers[[#This Row],[Key]],Primer_filtro[Key],Primer_filtro[Key])),"FALTA","YA ESTÁ")</f>
        <v>YA ESTÁ</v>
      </c>
    </row>
    <row r="101" spans="1:88" hidden="1" x14ac:dyDescent="0.25">
      <c r="M101" s="4"/>
      <c r="N101" s="4"/>
      <c r="O101" s="4"/>
      <c r="CJ101" s="2" t="str">
        <f>IF(ISERROR(_xlfn.XLOOKUP(Tabla_papers[[#This Row],[Key]],Primer_filtro[Key],Primer_filtro[Key])),"FALTA","YA ESTÁ")</f>
        <v>YA ESTÁ</v>
      </c>
    </row>
    <row r="102" spans="1:88" hidden="1" x14ac:dyDescent="0.25">
      <c r="M102" s="4"/>
      <c r="N102" s="4"/>
      <c r="O102" s="4"/>
      <c r="CJ102" s="2" t="str">
        <f>IF(ISERROR(_xlfn.XLOOKUP(Tabla_papers[[#This Row],[Key]],Primer_filtro[Key],Primer_filtro[Key])),"FALTA","YA ESTÁ")</f>
        <v>YA ESTÁ</v>
      </c>
    </row>
    <row r="103" spans="1:88" hidden="1" x14ac:dyDescent="0.25">
      <c r="M103" s="4"/>
      <c r="N103" s="4"/>
      <c r="O103" s="4"/>
      <c r="CJ103" s="2" t="str">
        <f>IF(ISERROR(_xlfn.XLOOKUP(Tabla_papers[[#This Row],[Key]],Primer_filtro[Key],Primer_filtro[Key])),"FALTA","YA ESTÁ")</f>
        <v>YA ESTÁ</v>
      </c>
    </row>
    <row r="104" spans="1:88" hidden="1" x14ac:dyDescent="0.25">
      <c r="M104" s="4"/>
      <c r="N104" s="4"/>
      <c r="O104" s="4"/>
      <c r="CJ104" s="2" t="str">
        <f>IF(ISERROR(_xlfn.XLOOKUP(Tabla_papers[[#This Row],[Key]],Primer_filtro[Key],Primer_filtro[Key])),"FALTA","YA ESTÁ")</f>
        <v>YA ESTÁ</v>
      </c>
    </row>
    <row r="105" spans="1:88" hidden="1" x14ac:dyDescent="0.25">
      <c r="M105" s="4"/>
      <c r="N105" s="4"/>
      <c r="O105" s="4"/>
      <c r="CJ105" s="2" t="str">
        <f>IF(ISERROR(_xlfn.XLOOKUP(Tabla_papers[[#This Row],[Key]],Primer_filtro[Key],Primer_filtro[Key])),"FALTA","YA ESTÁ")</f>
        <v>YA ESTÁ</v>
      </c>
    </row>
    <row r="106" spans="1:88" hidden="1" x14ac:dyDescent="0.25">
      <c r="M106" s="4"/>
      <c r="N106" s="4"/>
      <c r="O106" s="4"/>
      <c r="CJ106" s="2" t="str">
        <f>IF(ISERROR(_xlfn.XLOOKUP(Tabla_papers[[#This Row],[Key]],Primer_filtro[Key],Primer_filtro[Key])),"FALTA","YA ESTÁ")</f>
        <v>YA ESTÁ</v>
      </c>
    </row>
    <row r="107" spans="1:88" hidden="1" x14ac:dyDescent="0.25">
      <c r="M107" s="4"/>
      <c r="N107" s="4"/>
      <c r="O107" s="4"/>
      <c r="CJ107" s="2" t="str">
        <f>IF(ISERROR(_xlfn.XLOOKUP(Tabla_papers[[#This Row],[Key]],Primer_filtro[Key],Primer_filtro[Key])),"FALTA","YA ESTÁ")</f>
        <v>YA ESTÁ</v>
      </c>
    </row>
    <row r="108" spans="1:88" hidden="1" x14ac:dyDescent="0.25">
      <c r="M108" s="4"/>
      <c r="N108" s="4"/>
      <c r="O108" s="4"/>
      <c r="CJ108" s="2" t="str">
        <f>IF(ISERROR(_xlfn.XLOOKUP(Tabla_papers[[#This Row],[Key]],Primer_filtro[Key],Primer_filtro[Key])),"FALTA","YA ESTÁ")</f>
        <v>YA ESTÁ</v>
      </c>
    </row>
    <row r="109" spans="1:88" hidden="1" x14ac:dyDescent="0.25">
      <c r="M109" s="4"/>
      <c r="N109" s="4"/>
      <c r="O109" s="4"/>
      <c r="CJ109" s="2" t="str">
        <f>IF(ISERROR(_xlfn.XLOOKUP(Tabla_papers[[#This Row],[Key]],Primer_filtro[Key],Primer_filtro[Key])),"FALTA","YA ESTÁ")</f>
        <v>YA ESTÁ</v>
      </c>
    </row>
    <row r="110" spans="1:88" hidden="1" x14ac:dyDescent="0.25">
      <c r="M110" s="4"/>
      <c r="N110" s="4"/>
      <c r="O110" s="4"/>
      <c r="CJ110" s="2" t="str">
        <f>IF(ISERROR(_xlfn.XLOOKUP(Tabla_papers[[#This Row],[Key]],Primer_filtro[Key],Primer_filtro[Key])),"FALTA","YA ESTÁ")</f>
        <v>YA ESTÁ</v>
      </c>
    </row>
    <row r="111" spans="1:88" hidden="1" x14ac:dyDescent="0.25">
      <c r="M111" s="4"/>
      <c r="N111" s="4"/>
      <c r="O111" s="4"/>
      <c r="CJ111" s="2" t="str">
        <f>IF(ISERROR(_xlfn.XLOOKUP(Tabla_papers[[#This Row],[Key]],Primer_filtro[Key],Primer_filtro[Key])),"FALTA","YA ESTÁ")</f>
        <v>YA ESTÁ</v>
      </c>
    </row>
    <row r="112" spans="1:88" customFormat="1" ht="409.5" x14ac:dyDescent="0.25">
      <c r="A112" s="2" t="s">
        <v>1188</v>
      </c>
      <c r="B112" s="2" t="s">
        <v>88</v>
      </c>
      <c r="C112" s="2">
        <v>2024</v>
      </c>
      <c r="D112" s="2" t="s">
        <v>748</v>
      </c>
      <c r="E112" s="2" t="s">
        <v>1189</v>
      </c>
      <c r="F112" s="2" t="s">
        <v>1190</v>
      </c>
      <c r="G112" s="2" t="s">
        <v>674</v>
      </c>
      <c r="H112" s="2" t="s">
        <v>1191</v>
      </c>
      <c r="I112" s="2" t="s">
        <v>1192</v>
      </c>
      <c r="J112" s="2" t="s">
        <v>1193</v>
      </c>
      <c r="K112" s="2" t="s">
        <v>1194</v>
      </c>
      <c r="L112" s="2" t="s">
        <v>1195</v>
      </c>
      <c r="M112" s="4">
        <v>46286.060914351852</v>
      </c>
      <c r="N112" s="4">
        <v>46286.060925925929</v>
      </c>
      <c r="O112" s="4">
        <v>46286.060914351852</v>
      </c>
      <c r="P112" s="2" t="s">
        <v>1196</v>
      </c>
      <c r="Q112" s="2" t="s">
        <v>674</v>
      </c>
      <c r="R112" s="2">
        <v>3</v>
      </c>
      <c r="S112" s="2">
        <v>65</v>
      </c>
      <c r="T112" s="2" t="s">
        <v>674</v>
      </c>
      <c r="U112" s="2" t="s">
        <v>1190</v>
      </c>
      <c r="V112" s="2" t="s">
        <v>674</v>
      </c>
      <c r="W112" s="2" t="s">
        <v>674</v>
      </c>
      <c r="X112" s="2" t="s">
        <v>674</v>
      </c>
      <c r="Y112" s="2" t="s">
        <v>674</v>
      </c>
      <c r="Z112" s="2" t="s">
        <v>674</v>
      </c>
      <c r="AA112" s="2" t="s">
        <v>674</v>
      </c>
      <c r="AB112" s="2" t="s">
        <v>674</v>
      </c>
      <c r="AC112" s="2" t="s">
        <v>97</v>
      </c>
      <c r="AD112" s="2" t="s">
        <v>674</v>
      </c>
      <c r="AE112" s="2" t="s">
        <v>674</v>
      </c>
      <c r="AF112" s="2" t="s">
        <v>674</v>
      </c>
      <c r="AG112" s="2" t="s">
        <v>674</v>
      </c>
      <c r="AH112" s="2" t="s">
        <v>99</v>
      </c>
      <c r="AI112" s="2"/>
      <c r="AJ112" s="2" t="s">
        <v>674</v>
      </c>
      <c r="AK112" s="2" t="s">
        <v>674</v>
      </c>
      <c r="AL112" s="2" t="s">
        <v>1197</v>
      </c>
      <c r="AM112" s="2" t="s">
        <v>674</v>
      </c>
      <c r="AN112" s="2" t="s">
        <v>674</v>
      </c>
      <c r="AO112" s="2" t="s">
        <v>712</v>
      </c>
      <c r="AP112" s="2" t="s">
        <v>674</v>
      </c>
      <c r="AQ112" s="2" t="s">
        <v>674</v>
      </c>
      <c r="AR112" s="2" t="s">
        <v>674</v>
      </c>
      <c r="AS112" s="2" t="s">
        <v>674</v>
      </c>
      <c r="AT112" s="2" t="s">
        <v>674</v>
      </c>
      <c r="AU112" s="2" t="s">
        <v>674</v>
      </c>
      <c r="AV112" s="2" t="s">
        <v>674</v>
      </c>
      <c r="AW112" s="2" t="s">
        <v>674</v>
      </c>
      <c r="AX112" s="2" t="s">
        <v>674</v>
      </c>
      <c r="AY112" s="2" t="s">
        <v>674</v>
      </c>
      <c r="AZ112" s="2" t="s">
        <v>674</v>
      </c>
      <c r="BA112" s="2" t="s">
        <v>674</v>
      </c>
      <c r="BB112" s="2" t="s">
        <v>674</v>
      </c>
      <c r="BC112" s="2" t="s">
        <v>674</v>
      </c>
      <c r="BD112" s="2" t="s">
        <v>674</v>
      </c>
      <c r="BE112" s="2" t="s">
        <v>674</v>
      </c>
      <c r="BF112" s="2" t="s">
        <v>674</v>
      </c>
      <c r="BG112" s="2" t="s">
        <v>674</v>
      </c>
      <c r="BH112" s="2" t="s">
        <v>674</v>
      </c>
      <c r="BI112" s="2" t="s">
        <v>674</v>
      </c>
      <c r="BJ112" s="2" t="s">
        <v>674</v>
      </c>
      <c r="BK112" s="2" t="s">
        <v>674</v>
      </c>
      <c r="BL112" s="2" t="s">
        <v>674</v>
      </c>
      <c r="BM112" s="2" t="s">
        <v>674</v>
      </c>
      <c r="BN112" s="2" t="s">
        <v>674</v>
      </c>
      <c r="BO112" s="2" t="s">
        <v>674</v>
      </c>
      <c r="BP112" s="2" t="s">
        <v>674</v>
      </c>
      <c r="BQ112" s="2" t="s">
        <v>674</v>
      </c>
      <c r="BR112" s="2" t="s">
        <v>674</v>
      </c>
      <c r="BS112" s="2" t="s">
        <v>674</v>
      </c>
      <c r="BT112" s="2" t="s">
        <v>674</v>
      </c>
      <c r="BU112" s="2" t="s">
        <v>674</v>
      </c>
      <c r="BV112" s="2" t="s">
        <v>674</v>
      </c>
      <c r="BW112" s="2" t="s">
        <v>674</v>
      </c>
      <c r="BX112" s="2" t="s">
        <v>674</v>
      </c>
      <c r="BY112" s="2" t="s">
        <v>674</v>
      </c>
      <c r="BZ112" s="2" t="s">
        <v>674</v>
      </c>
      <c r="CA112" s="2" t="s">
        <v>674</v>
      </c>
      <c r="CB112" s="2" t="s">
        <v>674</v>
      </c>
      <c r="CC112" s="2" t="s">
        <v>674</v>
      </c>
      <c r="CD112" s="2" t="s">
        <v>674</v>
      </c>
      <c r="CE112" s="2" t="s">
        <v>674</v>
      </c>
      <c r="CF112" s="2" t="s">
        <v>674</v>
      </c>
      <c r="CG112" s="2" t="s">
        <v>674</v>
      </c>
      <c r="CH112" s="2" t="s">
        <v>674</v>
      </c>
      <c r="CI112" s="2" t="s">
        <v>674</v>
      </c>
      <c r="CJ112" s="2" t="str">
        <f>IF(ISERROR(_xlfn.XLOOKUP(Tabla_papers[[#This Row],[Key]],Primer_filtro[Key],Primer_filtro[Key])),"FALTA","YA ESTÁ")</f>
        <v>YA ESTÁ</v>
      </c>
    </row>
    <row r="113" spans="1:88" customFormat="1" ht="409.5" x14ac:dyDescent="0.25">
      <c r="A113" s="2" t="s">
        <v>1183</v>
      </c>
      <c r="B113" s="2" t="s">
        <v>88</v>
      </c>
      <c r="C113" s="2"/>
      <c r="D113" s="2" t="s">
        <v>1184</v>
      </c>
      <c r="E113" s="2" t="s">
        <v>1185</v>
      </c>
      <c r="F113" s="2" t="s">
        <v>674</v>
      </c>
      <c r="G113" s="2" t="s">
        <v>674</v>
      </c>
      <c r="H113" s="2" t="s">
        <v>674</v>
      </c>
      <c r="I113" s="2" t="s">
        <v>674</v>
      </c>
      <c r="J113" s="2" t="s">
        <v>674</v>
      </c>
      <c r="K113" s="2" t="s">
        <v>1186</v>
      </c>
      <c r="L113" s="2" t="s">
        <v>674</v>
      </c>
      <c r="M113" s="4">
        <v>46286.060856481483</v>
      </c>
      <c r="N113" s="4">
        <v>46286.060868055552</v>
      </c>
      <c r="O113" s="4"/>
      <c r="P113" s="2" t="s">
        <v>674</v>
      </c>
      <c r="Q113" s="2" t="s">
        <v>674</v>
      </c>
      <c r="R113" s="2"/>
      <c r="S113" s="2"/>
      <c r="T113" s="2" t="s">
        <v>674</v>
      </c>
      <c r="U113" s="2" t="s">
        <v>674</v>
      </c>
      <c r="V113" s="2" t="s">
        <v>674</v>
      </c>
      <c r="W113" s="2" t="s">
        <v>674</v>
      </c>
      <c r="X113" s="2" t="s">
        <v>674</v>
      </c>
      <c r="Y113" s="2" t="s">
        <v>674</v>
      </c>
      <c r="Z113" s="2" t="s">
        <v>674</v>
      </c>
      <c r="AA113" s="2" t="s">
        <v>674</v>
      </c>
      <c r="AB113" s="2" t="s">
        <v>674</v>
      </c>
      <c r="AC113" s="2" t="s">
        <v>97</v>
      </c>
      <c r="AD113" s="2" t="s">
        <v>674</v>
      </c>
      <c r="AE113" s="2" t="s">
        <v>674</v>
      </c>
      <c r="AF113" s="2" t="s">
        <v>674</v>
      </c>
      <c r="AG113" s="2" t="s">
        <v>674</v>
      </c>
      <c r="AH113" s="2" t="s">
        <v>163</v>
      </c>
      <c r="AI113" s="2"/>
      <c r="AJ113" s="2" t="s">
        <v>674</v>
      </c>
      <c r="AK113" s="2" t="s">
        <v>674</v>
      </c>
      <c r="AL113" s="2" t="s">
        <v>1187</v>
      </c>
      <c r="AM113" s="2" t="s">
        <v>674</v>
      </c>
      <c r="AN113" s="2" t="s">
        <v>674</v>
      </c>
      <c r="AO113" s="2" t="s">
        <v>712</v>
      </c>
      <c r="AP113" s="2" t="s">
        <v>674</v>
      </c>
      <c r="AQ113" s="2" t="s">
        <v>674</v>
      </c>
      <c r="AR113" s="2" t="s">
        <v>674</v>
      </c>
      <c r="AS113" s="2" t="s">
        <v>674</v>
      </c>
      <c r="AT113" s="2" t="s">
        <v>674</v>
      </c>
      <c r="AU113" s="2" t="s">
        <v>674</v>
      </c>
      <c r="AV113" s="2" t="s">
        <v>674</v>
      </c>
      <c r="AW113" s="2" t="s">
        <v>674</v>
      </c>
      <c r="AX113" s="2" t="s">
        <v>674</v>
      </c>
      <c r="AY113" s="2" t="s">
        <v>674</v>
      </c>
      <c r="AZ113" s="2" t="s">
        <v>674</v>
      </c>
      <c r="BA113" s="2" t="s">
        <v>674</v>
      </c>
      <c r="BB113" s="2" t="s">
        <v>674</v>
      </c>
      <c r="BC113" s="2" t="s">
        <v>674</v>
      </c>
      <c r="BD113" s="2" t="s">
        <v>674</v>
      </c>
      <c r="BE113" s="2" t="s">
        <v>674</v>
      </c>
      <c r="BF113" s="2" t="s">
        <v>674</v>
      </c>
      <c r="BG113" s="2" t="s">
        <v>674</v>
      </c>
      <c r="BH113" s="2" t="s">
        <v>674</v>
      </c>
      <c r="BI113" s="2" t="s">
        <v>674</v>
      </c>
      <c r="BJ113" s="2" t="s">
        <v>674</v>
      </c>
      <c r="BK113" s="2" t="s">
        <v>674</v>
      </c>
      <c r="BL113" s="2" t="s">
        <v>674</v>
      </c>
      <c r="BM113" s="2" t="s">
        <v>674</v>
      </c>
      <c r="BN113" s="2" t="s">
        <v>674</v>
      </c>
      <c r="BO113" s="2" t="s">
        <v>674</v>
      </c>
      <c r="BP113" s="2" t="s">
        <v>674</v>
      </c>
      <c r="BQ113" s="2" t="s">
        <v>674</v>
      </c>
      <c r="BR113" s="2" t="s">
        <v>674</v>
      </c>
      <c r="BS113" s="2" t="s">
        <v>674</v>
      </c>
      <c r="BT113" s="2" t="s">
        <v>674</v>
      </c>
      <c r="BU113" s="2" t="s">
        <v>674</v>
      </c>
      <c r="BV113" s="2" t="s">
        <v>674</v>
      </c>
      <c r="BW113" s="2" t="s">
        <v>674</v>
      </c>
      <c r="BX113" s="2" t="s">
        <v>674</v>
      </c>
      <c r="BY113" s="2" t="s">
        <v>674</v>
      </c>
      <c r="BZ113" s="2" t="s">
        <v>674</v>
      </c>
      <c r="CA113" s="2" t="s">
        <v>674</v>
      </c>
      <c r="CB113" s="2" t="s">
        <v>674</v>
      </c>
      <c r="CC113" s="2" t="s">
        <v>674</v>
      </c>
      <c r="CD113" s="2" t="s">
        <v>674</v>
      </c>
      <c r="CE113" s="2" t="s">
        <v>674</v>
      </c>
      <c r="CF113" s="2" t="s">
        <v>674</v>
      </c>
      <c r="CG113" s="2" t="s">
        <v>674</v>
      </c>
      <c r="CH113" s="2" t="s">
        <v>674</v>
      </c>
      <c r="CI113" s="2" t="s">
        <v>674</v>
      </c>
      <c r="CJ113" s="2" t="str">
        <f>IF(ISERROR(_xlfn.XLOOKUP(Tabla_papers[[#This Row],[Key]],Primer_filtro[Key],Primer_filtro[Key])),"FALTA","YA ESTÁ")</f>
        <v>YA ESTÁ</v>
      </c>
    </row>
    <row r="114" spans="1:88" customFormat="1" ht="409.5" x14ac:dyDescent="0.25">
      <c r="A114" s="2" t="s">
        <v>1181</v>
      </c>
      <c r="B114" s="2" t="s">
        <v>88</v>
      </c>
      <c r="C114" s="2">
        <v>2022</v>
      </c>
      <c r="D114" s="2" t="s">
        <v>1095</v>
      </c>
      <c r="E114" s="2" t="s">
        <v>1096</v>
      </c>
      <c r="F114" s="2" t="s">
        <v>499</v>
      </c>
      <c r="G114" s="2" t="s">
        <v>674</v>
      </c>
      <c r="H114" s="2" t="s">
        <v>500</v>
      </c>
      <c r="I114" s="2" t="s">
        <v>1097</v>
      </c>
      <c r="J114" s="2" t="s">
        <v>1098</v>
      </c>
      <c r="K114" s="2" t="s">
        <v>1099</v>
      </c>
      <c r="L114" s="2" t="s">
        <v>1100</v>
      </c>
      <c r="M114" s="4">
        <v>46286.060810185183</v>
      </c>
      <c r="N114" s="4">
        <v>46286.06082175926</v>
      </c>
      <c r="O114" s="4">
        <v>46286.060810185183</v>
      </c>
      <c r="P114" s="2" t="s">
        <v>1101</v>
      </c>
      <c r="Q114" s="2" t="s">
        <v>674</v>
      </c>
      <c r="R114" s="2">
        <v>11</v>
      </c>
      <c r="S114" s="2">
        <v>37</v>
      </c>
      <c r="T114" s="2" t="s">
        <v>674</v>
      </c>
      <c r="U114" s="2" t="s">
        <v>505</v>
      </c>
      <c r="V114" s="2" t="s">
        <v>674</v>
      </c>
      <c r="W114" s="2" t="s">
        <v>674</v>
      </c>
      <c r="X114" s="2" t="s">
        <v>674</v>
      </c>
      <c r="Y114" s="2" t="s">
        <v>674</v>
      </c>
      <c r="Z114" s="2" t="s">
        <v>674</v>
      </c>
      <c r="AA114" s="2" t="s">
        <v>674</v>
      </c>
      <c r="AB114" s="2" t="s">
        <v>674</v>
      </c>
      <c r="AC114" s="2" t="s">
        <v>97</v>
      </c>
      <c r="AD114" s="2" t="s">
        <v>122</v>
      </c>
      <c r="AE114" s="2" t="s">
        <v>674</v>
      </c>
      <c r="AF114" s="2" t="s">
        <v>674</v>
      </c>
      <c r="AG114" s="2" t="s">
        <v>674</v>
      </c>
      <c r="AH114" s="2" t="s">
        <v>99</v>
      </c>
      <c r="AI114" s="2"/>
      <c r="AJ114" s="2" t="s">
        <v>674</v>
      </c>
      <c r="AK114" s="2" t="s">
        <v>674</v>
      </c>
      <c r="AL114" s="2" t="s">
        <v>1182</v>
      </c>
      <c r="AM114" s="2" t="s">
        <v>674</v>
      </c>
      <c r="AN114" s="2" t="s">
        <v>674</v>
      </c>
      <c r="AO114" s="2" t="s">
        <v>712</v>
      </c>
      <c r="AP114" s="2" t="s">
        <v>674</v>
      </c>
      <c r="AQ114" s="2" t="s">
        <v>674</v>
      </c>
      <c r="AR114" s="2" t="s">
        <v>674</v>
      </c>
      <c r="AS114" s="2" t="s">
        <v>674</v>
      </c>
      <c r="AT114" s="2" t="s">
        <v>674</v>
      </c>
      <c r="AU114" s="2" t="s">
        <v>674</v>
      </c>
      <c r="AV114" s="2" t="s">
        <v>674</v>
      </c>
      <c r="AW114" s="2" t="s">
        <v>674</v>
      </c>
      <c r="AX114" s="2" t="s">
        <v>674</v>
      </c>
      <c r="AY114" s="2" t="s">
        <v>674</v>
      </c>
      <c r="AZ114" s="2" t="s">
        <v>674</v>
      </c>
      <c r="BA114" s="2" t="s">
        <v>674</v>
      </c>
      <c r="BB114" s="2" t="s">
        <v>674</v>
      </c>
      <c r="BC114" s="2" t="s">
        <v>674</v>
      </c>
      <c r="BD114" s="2" t="s">
        <v>674</v>
      </c>
      <c r="BE114" s="2" t="s">
        <v>674</v>
      </c>
      <c r="BF114" s="2" t="s">
        <v>674</v>
      </c>
      <c r="BG114" s="2" t="s">
        <v>674</v>
      </c>
      <c r="BH114" s="2" t="s">
        <v>674</v>
      </c>
      <c r="BI114" s="2" t="s">
        <v>674</v>
      </c>
      <c r="BJ114" s="2" t="s">
        <v>674</v>
      </c>
      <c r="BK114" s="2" t="s">
        <v>674</v>
      </c>
      <c r="BL114" s="2" t="s">
        <v>674</v>
      </c>
      <c r="BM114" s="2" t="s">
        <v>674</v>
      </c>
      <c r="BN114" s="2" t="s">
        <v>674</v>
      </c>
      <c r="BO114" s="2" t="s">
        <v>674</v>
      </c>
      <c r="BP114" s="2" t="s">
        <v>674</v>
      </c>
      <c r="BQ114" s="2" t="s">
        <v>674</v>
      </c>
      <c r="BR114" s="2" t="s">
        <v>674</v>
      </c>
      <c r="BS114" s="2" t="s">
        <v>674</v>
      </c>
      <c r="BT114" s="2" t="s">
        <v>674</v>
      </c>
      <c r="BU114" s="2" t="s">
        <v>674</v>
      </c>
      <c r="BV114" s="2" t="s">
        <v>674</v>
      </c>
      <c r="BW114" s="2" t="s">
        <v>674</v>
      </c>
      <c r="BX114" s="2" t="s">
        <v>674</v>
      </c>
      <c r="BY114" s="2" t="s">
        <v>674</v>
      </c>
      <c r="BZ114" s="2" t="s">
        <v>674</v>
      </c>
      <c r="CA114" s="2" t="s">
        <v>674</v>
      </c>
      <c r="CB114" s="2" t="s">
        <v>674</v>
      </c>
      <c r="CC114" s="2" t="s">
        <v>674</v>
      </c>
      <c r="CD114" s="2" t="s">
        <v>674</v>
      </c>
      <c r="CE114" s="2" t="s">
        <v>674</v>
      </c>
      <c r="CF114" s="2" t="s">
        <v>674</v>
      </c>
      <c r="CG114" s="2" t="s">
        <v>674</v>
      </c>
      <c r="CH114" s="2" t="s">
        <v>674</v>
      </c>
      <c r="CI114" s="2" t="s">
        <v>674</v>
      </c>
      <c r="CJ114" s="2" t="str">
        <f>IF(ISERROR(_xlfn.XLOOKUP(Tabla_papers[[#This Row],[Key]],Primer_filtro[Key],Primer_filtro[Key])),"FALTA","YA ESTÁ")</f>
        <v>FALTA</v>
      </c>
    </row>
    <row r="115" spans="1:88" customFormat="1" x14ac:dyDescent="0.25">
      <c r="A115" t="s">
        <v>1188</v>
      </c>
      <c r="B115" t="s">
        <v>88</v>
      </c>
      <c r="C115">
        <v>2024</v>
      </c>
      <c r="D115" t="s">
        <v>748</v>
      </c>
      <c r="E115" t="s">
        <v>1189</v>
      </c>
      <c r="F115" t="s">
        <v>1190</v>
      </c>
      <c r="G115" t="s">
        <v>674</v>
      </c>
      <c r="H115" t="s">
        <v>1191</v>
      </c>
      <c r="I115" t="s">
        <v>1192</v>
      </c>
      <c r="J115" t="s">
        <v>1193</v>
      </c>
      <c r="K115" t="s">
        <v>1194</v>
      </c>
      <c r="L115" t="s">
        <v>1195</v>
      </c>
      <c r="M115" s="1">
        <v>46286.060914351852</v>
      </c>
      <c r="N115" s="1">
        <v>46286.060925925929</v>
      </c>
      <c r="O115" s="1">
        <v>46286.060914351852</v>
      </c>
      <c r="P115" t="s">
        <v>1196</v>
      </c>
      <c r="Q115" t="s">
        <v>674</v>
      </c>
      <c r="R115">
        <v>3</v>
      </c>
      <c r="S115">
        <v>65</v>
      </c>
      <c r="T115" t="s">
        <v>674</v>
      </c>
      <c r="U115" t="s">
        <v>1190</v>
      </c>
      <c r="V115" t="s">
        <v>674</v>
      </c>
      <c r="W115" t="s">
        <v>674</v>
      </c>
      <c r="X115" t="s">
        <v>674</v>
      </c>
      <c r="Y115" t="s">
        <v>674</v>
      </c>
      <c r="Z115" t="s">
        <v>674</v>
      </c>
      <c r="AA115" t="s">
        <v>674</v>
      </c>
      <c r="AB115" t="s">
        <v>674</v>
      </c>
      <c r="AC115" t="s">
        <v>97</v>
      </c>
      <c r="AD115" t="s">
        <v>674</v>
      </c>
      <c r="AE115" t="s">
        <v>674</v>
      </c>
      <c r="AF115" t="s">
        <v>674</v>
      </c>
      <c r="AG115" t="s">
        <v>674</v>
      </c>
      <c r="AH115" t="s">
        <v>99</v>
      </c>
      <c r="AJ115" t="s">
        <v>674</v>
      </c>
      <c r="AK115" t="s">
        <v>674</v>
      </c>
      <c r="AL115" t="s">
        <v>1197</v>
      </c>
      <c r="AM115" t="s">
        <v>674</v>
      </c>
      <c r="AN115" t="s">
        <v>674</v>
      </c>
      <c r="AO115" t="s">
        <v>712</v>
      </c>
      <c r="AP115" t="s">
        <v>674</v>
      </c>
      <c r="AQ115" t="s">
        <v>674</v>
      </c>
      <c r="AR115" t="s">
        <v>674</v>
      </c>
      <c r="AS115" t="s">
        <v>674</v>
      </c>
      <c r="AT115" t="s">
        <v>674</v>
      </c>
      <c r="AU115" t="s">
        <v>674</v>
      </c>
      <c r="AV115" t="s">
        <v>674</v>
      </c>
      <c r="AW115" t="s">
        <v>674</v>
      </c>
      <c r="AX115" t="s">
        <v>674</v>
      </c>
      <c r="AY115" t="s">
        <v>674</v>
      </c>
      <c r="AZ115" t="s">
        <v>674</v>
      </c>
      <c r="BA115" t="s">
        <v>674</v>
      </c>
      <c r="BB115" t="s">
        <v>674</v>
      </c>
      <c r="BC115" t="s">
        <v>674</v>
      </c>
      <c r="BD115" t="s">
        <v>674</v>
      </c>
      <c r="BE115" t="s">
        <v>674</v>
      </c>
      <c r="BF115" t="s">
        <v>674</v>
      </c>
      <c r="BG115" t="s">
        <v>674</v>
      </c>
      <c r="BH115" t="s">
        <v>674</v>
      </c>
      <c r="BI115" t="s">
        <v>674</v>
      </c>
      <c r="BJ115" t="s">
        <v>674</v>
      </c>
      <c r="BK115" t="s">
        <v>674</v>
      </c>
      <c r="BL115" t="s">
        <v>674</v>
      </c>
      <c r="BM115" t="s">
        <v>674</v>
      </c>
      <c r="BN115" t="s">
        <v>674</v>
      </c>
      <c r="BO115" t="s">
        <v>674</v>
      </c>
      <c r="BP115" t="s">
        <v>674</v>
      </c>
      <c r="BQ115" t="s">
        <v>674</v>
      </c>
      <c r="BR115" t="s">
        <v>674</v>
      </c>
      <c r="BS115" t="s">
        <v>674</v>
      </c>
      <c r="BT115" t="s">
        <v>674</v>
      </c>
      <c r="BU115" t="s">
        <v>674</v>
      </c>
      <c r="BV115" t="s">
        <v>674</v>
      </c>
      <c r="BW115" t="s">
        <v>674</v>
      </c>
      <c r="BX115" t="s">
        <v>674</v>
      </c>
      <c r="BY115" t="s">
        <v>674</v>
      </c>
      <c r="BZ115" t="s">
        <v>674</v>
      </c>
      <c r="CA115" t="s">
        <v>674</v>
      </c>
      <c r="CB115" t="s">
        <v>674</v>
      </c>
      <c r="CC115" t="s">
        <v>674</v>
      </c>
      <c r="CD115" t="s">
        <v>674</v>
      </c>
      <c r="CE115" t="s">
        <v>674</v>
      </c>
      <c r="CF115" t="s">
        <v>674</v>
      </c>
      <c r="CG115" t="s">
        <v>674</v>
      </c>
      <c r="CH115" t="s">
        <v>674</v>
      </c>
      <c r="CI115" t="s">
        <v>674</v>
      </c>
      <c r="CJ115" s="2" t="str">
        <f>IF(ISERROR(_xlfn.XLOOKUP(Tabla_papers[[#This Row],[Key]],Primer_filtro[Key],Primer_filtro[Key])),"FALTA","YA ESTÁ")</f>
        <v>YA ESTÁ</v>
      </c>
    </row>
    <row r="116" spans="1:88" customFormat="1" x14ac:dyDescent="0.25">
      <c r="A116" t="s">
        <v>1183</v>
      </c>
      <c r="B116" t="s">
        <v>88</v>
      </c>
      <c r="D116" t="s">
        <v>1184</v>
      </c>
      <c r="E116" t="s">
        <v>1185</v>
      </c>
      <c r="F116" t="s">
        <v>674</v>
      </c>
      <c r="G116" t="s">
        <v>674</v>
      </c>
      <c r="H116" t="s">
        <v>674</v>
      </c>
      <c r="I116" t="s">
        <v>674</v>
      </c>
      <c r="J116" t="s">
        <v>674</v>
      </c>
      <c r="K116" t="s">
        <v>1186</v>
      </c>
      <c r="L116" t="s">
        <v>674</v>
      </c>
      <c r="M116" s="1">
        <v>46286.060856481483</v>
      </c>
      <c r="N116" s="1">
        <v>46286.060868055552</v>
      </c>
      <c r="O116" s="1"/>
      <c r="P116" t="s">
        <v>674</v>
      </c>
      <c r="Q116" t="s">
        <v>674</v>
      </c>
      <c r="T116" t="s">
        <v>674</v>
      </c>
      <c r="U116" t="s">
        <v>674</v>
      </c>
      <c r="V116" t="s">
        <v>674</v>
      </c>
      <c r="W116" t="s">
        <v>674</v>
      </c>
      <c r="X116" t="s">
        <v>674</v>
      </c>
      <c r="Y116" t="s">
        <v>674</v>
      </c>
      <c r="Z116" t="s">
        <v>674</v>
      </c>
      <c r="AA116" t="s">
        <v>674</v>
      </c>
      <c r="AB116" t="s">
        <v>674</v>
      </c>
      <c r="AC116" t="s">
        <v>97</v>
      </c>
      <c r="AD116" t="s">
        <v>674</v>
      </c>
      <c r="AE116" t="s">
        <v>674</v>
      </c>
      <c r="AF116" t="s">
        <v>674</v>
      </c>
      <c r="AG116" t="s">
        <v>674</v>
      </c>
      <c r="AH116" t="s">
        <v>163</v>
      </c>
      <c r="AJ116" t="s">
        <v>674</v>
      </c>
      <c r="AK116" t="s">
        <v>674</v>
      </c>
      <c r="AL116" t="s">
        <v>1187</v>
      </c>
      <c r="AM116" t="s">
        <v>674</v>
      </c>
      <c r="AN116" t="s">
        <v>674</v>
      </c>
      <c r="AO116" t="s">
        <v>712</v>
      </c>
      <c r="AP116" t="s">
        <v>674</v>
      </c>
      <c r="AQ116" t="s">
        <v>674</v>
      </c>
      <c r="AR116" t="s">
        <v>674</v>
      </c>
      <c r="AS116" t="s">
        <v>674</v>
      </c>
      <c r="AT116" t="s">
        <v>674</v>
      </c>
      <c r="AU116" t="s">
        <v>674</v>
      </c>
      <c r="AV116" t="s">
        <v>674</v>
      </c>
      <c r="AW116" t="s">
        <v>674</v>
      </c>
      <c r="AX116" t="s">
        <v>674</v>
      </c>
      <c r="AY116" t="s">
        <v>674</v>
      </c>
      <c r="AZ116" t="s">
        <v>674</v>
      </c>
      <c r="BA116" t="s">
        <v>674</v>
      </c>
      <c r="BB116" t="s">
        <v>674</v>
      </c>
      <c r="BC116" t="s">
        <v>674</v>
      </c>
      <c r="BD116" t="s">
        <v>674</v>
      </c>
      <c r="BE116" t="s">
        <v>674</v>
      </c>
      <c r="BF116" t="s">
        <v>674</v>
      </c>
      <c r="BG116" t="s">
        <v>674</v>
      </c>
      <c r="BH116" t="s">
        <v>674</v>
      </c>
      <c r="BI116" t="s">
        <v>674</v>
      </c>
      <c r="BJ116" t="s">
        <v>674</v>
      </c>
      <c r="BK116" t="s">
        <v>674</v>
      </c>
      <c r="BL116" t="s">
        <v>674</v>
      </c>
      <c r="BM116" t="s">
        <v>674</v>
      </c>
      <c r="BN116" t="s">
        <v>674</v>
      </c>
      <c r="BO116" t="s">
        <v>674</v>
      </c>
      <c r="BP116" t="s">
        <v>674</v>
      </c>
      <c r="BQ116" t="s">
        <v>674</v>
      </c>
      <c r="BR116" t="s">
        <v>674</v>
      </c>
      <c r="BS116" t="s">
        <v>674</v>
      </c>
      <c r="BT116" t="s">
        <v>674</v>
      </c>
      <c r="BU116" t="s">
        <v>674</v>
      </c>
      <c r="BV116" t="s">
        <v>674</v>
      </c>
      <c r="BW116" t="s">
        <v>674</v>
      </c>
      <c r="BX116" t="s">
        <v>674</v>
      </c>
      <c r="BY116" t="s">
        <v>674</v>
      </c>
      <c r="BZ116" t="s">
        <v>674</v>
      </c>
      <c r="CA116" t="s">
        <v>674</v>
      </c>
      <c r="CB116" t="s">
        <v>674</v>
      </c>
      <c r="CC116" t="s">
        <v>674</v>
      </c>
      <c r="CD116" t="s">
        <v>674</v>
      </c>
      <c r="CE116" t="s">
        <v>674</v>
      </c>
      <c r="CF116" t="s">
        <v>674</v>
      </c>
      <c r="CG116" t="s">
        <v>674</v>
      </c>
      <c r="CH116" t="s">
        <v>674</v>
      </c>
      <c r="CI116" t="s">
        <v>674</v>
      </c>
      <c r="CJ116" s="2" t="str">
        <f>IF(ISERROR(_xlfn.XLOOKUP(Tabla_papers[[#This Row],[Key]],Primer_filtro[Key],Primer_filtro[Key])),"FALTA","YA ESTÁ")</f>
        <v>YA ESTÁ</v>
      </c>
    </row>
    <row r="117" spans="1:88" customFormat="1" x14ac:dyDescent="0.25">
      <c r="A117" t="s">
        <v>1181</v>
      </c>
      <c r="B117" t="s">
        <v>88</v>
      </c>
      <c r="C117">
        <v>2022</v>
      </c>
      <c r="D117" t="s">
        <v>1095</v>
      </c>
      <c r="E117" t="s">
        <v>1096</v>
      </c>
      <c r="F117" t="s">
        <v>499</v>
      </c>
      <c r="G117" t="s">
        <v>674</v>
      </c>
      <c r="H117" t="s">
        <v>500</v>
      </c>
      <c r="I117" t="s">
        <v>1097</v>
      </c>
      <c r="J117" t="s">
        <v>1098</v>
      </c>
      <c r="K117" t="s">
        <v>1099</v>
      </c>
      <c r="L117" t="s">
        <v>1100</v>
      </c>
      <c r="M117" s="1">
        <v>46286.060810185183</v>
      </c>
      <c r="N117" s="1">
        <v>46286.06082175926</v>
      </c>
      <c r="O117" s="1">
        <v>46286.060810185183</v>
      </c>
      <c r="P117" t="s">
        <v>1101</v>
      </c>
      <c r="Q117" t="s">
        <v>674</v>
      </c>
      <c r="R117">
        <v>11</v>
      </c>
      <c r="S117">
        <v>37</v>
      </c>
      <c r="T117" t="s">
        <v>674</v>
      </c>
      <c r="U117" t="s">
        <v>505</v>
      </c>
      <c r="V117" t="s">
        <v>674</v>
      </c>
      <c r="W117" t="s">
        <v>674</v>
      </c>
      <c r="X117" t="s">
        <v>674</v>
      </c>
      <c r="Y117" t="s">
        <v>674</v>
      </c>
      <c r="Z117" t="s">
        <v>674</v>
      </c>
      <c r="AA117" t="s">
        <v>674</v>
      </c>
      <c r="AB117" t="s">
        <v>674</v>
      </c>
      <c r="AC117" t="s">
        <v>97</v>
      </c>
      <c r="AD117" t="s">
        <v>122</v>
      </c>
      <c r="AE117" t="s">
        <v>674</v>
      </c>
      <c r="AF117" t="s">
        <v>674</v>
      </c>
      <c r="AG117" t="s">
        <v>674</v>
      </c>
      <c r="AH117" t="s">
        <v>99</v>
      </c>
      <c r="AJ117" t="s">
        <v>674</v>
      </c>
      <c r="AK117" t="s">
        <v>674</v>
      </c>
      <c r="AL117" t="s">
        <v>1182</v>
      </c>
      <c r="AM117" t="s">
        <v>674</v>
      </c>
      <c r="AN117" t="s">
        <v>674</v>
      </c>
      <c r="AO117" t="s">
        <v>712</v>
      </c>
      <c r="AP117" t="s">
        <v>674</v>
      </c>
      <c r="AQ117" t="s">
        <v>674</v>
      </c>
      <c r="AR117" t="s">
        <v>674</v>
      </c>
      <c r="AS117" t="s">
        <v>674</v>
      </c>
      <c r="AT117" t="s">
        <v>674</v>
      </c>
      <c r="AU117" t="s">
        <v>674</v>
      </c>
      <c r="AV117" t="s">
        <v>674</v>
      </c>
      <c r="AW117" t="s">
        <v>674</v>
      </c>
      <c r="AX117" t="s">
        <v>674</v>
      </c>
      <c r="AY117" t="s">
        <v>674</v>
      </c>
      <c r="AZ117" t="s">
        <v>674</v>
      </c>
      <c r="BA117" t="s">
        <v>674</v>
      </c>
      <c r="BB117" t="s">
        <v>674</v>
      </c>
      <c r="BC117" t="s">
        <v>674</v>
      </c>
      <c r="BD117" t="s">
        <v>674</v>
      </c>
      <c r="BE117" t="s">
        <v>674</v>
      </c>
      <c r="BF117" t="s">
        <v>674</v>
      </c>
      <c r="BG117" t="s">
        <v>674</v>
      </c>
      <c r="BH117" t="s">
        <v>674</v>
      </c>
      <c r="BI117" t="s">
        <v>674</v>
      </c>
      <c r="BJ117" t="s">
        <v>674</v>
      </c>
      <c r="BK117" t="s">
        <v>674</v>
      </c>
      <c r="BL117" t="s">
        <v>674</v>
      </c>
      <c r="BM117" t="s">
        <v>674</v>
      </c>
      <c r="BN117" t="s">
        <v>674</v>
      </c>
      <c r="BO117" t="s">
        <v>674</v>
      </c>
      <c r="BP117" t="s">
        <v>674</v>
      </c>
      <c r="BQ117" t="s">
        <v>674</v>
      </c>
      <c r="BR117" t="s">
        <v>674</v>
      </c>
      <c r="BS117" t="s">
        <v>674</v>
      </c>
      <c r="BT117" t="s">
        <v>674</v>
      </c>
      <c r="BU117" t="s">
        <v>674</v>
      </c>
      <c r="BV117" t="s">
        <v>674</v>
      </c>
      <c r="BW117" t="s">
        <v>674</v>
      </c>
      <c r="BX117" t="s">
        <v>674</v>
      </c>
      <c r="BY117" t="s">
        <v>674</v>
      </c>
      <c r="BZ117" t="s">
        <v>674</v>
      </c>
      <c r="CA117" t="s">
        <v>674</v>
      </c>
      <c r="CB117" t="s">
        <v>674</v>
      </c>
      <c r="CC117" t="s">
        <v>674</v>
      </c>
      <c r="CD117" t="s">
        <v>674</v>
      </c>
      <c r="CE117" t="s">
        <v>674</v>
      </c>
      <c r="CF117" t="s">
        <v>674</v>
      </c>
      <c r="CG117" t="s">
        <v>674</v>
      </c>
      <c r="CH117" t="s">
        <v>674</v>
      </c>
      <c r="CI117" t="s">
        <v>674</v>
      </c>
      <c r="CJ117" s="2" t="str">
        <f>IF(ISERROR(_xlfn.XLOOKUP(Tabla_papers[[#This Row],[Key]],Primer_filtro[Key],Primer_filtro[Key])),"FALTA","YA ESTÁ")</f>
        <v>FALTA</v>
      </c>
    </row>
    <row r="118" spans="1:88" customFormat="1" x14ac:dyDescent="0.25">
      <c r="A118" t="s">
        <v>1171</v>
      </c>
      <c r="B118" t="s">
        <v>88</v>
      </c>
      <c r="C118">
        <v>1999</v>
      </c>
      <c r="D118" t="s">
        <v>1172</v>
      </c>
      <c r="E118" t="s">
        <v>1173</v>
      </c>
      <c r="F118" t="s">
        <v>341</v>
      </c>
      <c r="G118" t="s">
        <v>674</v>
      </c>
      <c r="H118" t="s">
        <v>1174</v>
      </c>
      <c r="I118" t="s">
        <v>1175</v>
      </c>
      <c r="J118" t="s">
        <v>1176</v>
      </c>
      <c r="K118" t="s">
        <v>1177</v>
      </c>
      <c r="L118" t="s">
        <v>1178</v>
      </c>
      <c r="M118" s="1">
        <v>46286.060752314814</v>
      </c>
      <c r="N118" s="1">
        <v>46286.060763888891</v>
      </c>
      <c r="O118" s="1">
        <v>46286.060752314814</v>
      </c>
      <c r="P118" t="s">
        <v>1179</v>
      </c>
      <c r="Q118" t="s">
        <v>674</v>
      </c>
      <c r="R118">
        <v>4</v>
      </c>
      <c r="S118">
        <v>7</v>
      </c>
      <c r="T118" t="s">
        <v>674</v>
      </c>
      <c r="U118" t="s">
        <v>347</v>
      </c>
      <c r="V118" t="s">
        <v>674</v>
      </c>
      <c r="W118" t="s">
        <v>674</v>
      </c>
      <c r="X118" t="s">
        <v>674</v>
      </c>
      <c r="Y118" t="s">
        <v>674</v>
      </c>
      <c r="Z118" t="s">
        <v>674</v>
      </c>
      <c r="AA118" t="s">
        <v>674</v>
      </c>
      <c r="AB118" t="s">
        <v>674</v>
      </c>
      <c r="AC118" t="s">
        <v>97</v>
      </c>
      <c r="AD118" t="s">
        <v>122</v>
      </c>
      <c r="AE118" t="s">
        <v>674</v>
      </c>
      <c r="AF118" t="s">
        <v>674</v>
      </c>
      <c r="AG118" t="s">
        <v>674</v>
      </c>
      <c r="AH118" t="s">
        <v>99</v>
      </c>
      <c r="AJ118" t="s">
        <v>674</v>
      </c>
      <c r="AK118" t="s">
        <v>674</v>
      </c>
      <c r="AL118" t="s">
        <v>1180</v>
      </c>
      <c r="AM118" t="s">
        <v>674</v>
      </c>
      <c r="AN118" t="s">
        <v>674</v>
      </c>
      <c r="AO118" t="s">
        <v>712</v>
      </c>
      <c r="AP118" t="s">
        <v>674</v>
      </c>
      <c r="AQ118" t="s">
        <v>674</v>
      </c>
      <c r="AR118" t="s">
        <v>674</v>
      </c>
      <c r="AS118" t="s">
        <v>674</v>
      </c>
      <c r="AT118" t="s">
        <v>674</v>
      </c>
      <c r="AU118" t="s">
        <v>674</v>
      </c>
      <c r="AV118" t="s">
        <v>674</v>
      </c>
      <c r="AW118" t="s">
        <v>674</v>
      </c>
      <c r="AX118" t="s">
        <v>674</v>
      </c>
      <c r="AY118" t="s">
        <v>674</v>
      </c>
      <c r="AZ118" t="s">
        <v>674</v>
      </c>
      <c r="BA118" t="s">
        <v>674</v>
      </c>
      <c r="BB118" t="s">
        <v>674</v>
      </c>
      <c r="BC118" t="s">
        <v>674</v>
      </c>
      <c r="BD118" t="s">
        <v>674</v>
      </c>
      <c r="BE118" t="s">
        <v>674</v>
      </c>
      <c r="BF118" t="s">
        <v>674</v>
      </c>
      <c r="BG118" t="s">
        <v>674</v>
      </c>
      <c r="BH118" t="s">
        <v>674</v>
      </c>
      <c r="BI118" t="s">
        <v>674</v>
      </c>
      <c r="BJ118" t="s">
        <v>674</v>
      </c>
      <c r="BK118" t="s">
        <v>674</v>
      </c>
      <c r="BL118" t="s">
        <v>674</v>
      </c>
      <c r="BM118" t="s">
        <v>674</v>
      </c>
      <c r="BN118" t="s">
        <v>674</v>
      </c>
      <c r="BO118" t="s">
        <v>674</v>
      </c>
      <c r="BP118" t="s">
        <v>674</v>
      </c>
      <c r="BQ118" t="s">
        <v>674</v>
      </c>
      <c r="BR118" t="s">
        <v>674</v>
      </c>
      <c r="BS118" t="s">
        <v>674</v>
      </c>
      <c r="BT118" t="s">
        <v>674</v>
      </c>
      <c r="BU118" t="s">
        <v>674</v>
      </c>
      <c r="BV118" t="s">
        <v>674</v>
      </c>
      <c r="BW118" t="s">
        <v>674</v>
      </c>
      <c r="BX118" t="s">
        <v>674</v>
      </c>
      <c r="BY118" t="s">
        <v>674</v>
      </c>
      <c r="BZ118" t="s">
        <v>674</v>
      </c>
      <c r="CA118" t="s">
        <v>674</v>
      </c>
      <c r="CB118" t="s">
        <v>674</v>
      </c>
      <c r="CC118" t="s">
        <v>674</v>
      </c>
      <c r="CD118" t="s">
        <v>674</v>
      </c>
      <c r="CE118" t="s">
        <v>674</v>
      </c>
      <c r="CF118" t="s">
        <v>674</v>
      </c>
      <c r="CG118" t="s">
        <v>674</v>
      </c>
      <c r="CH118" t="s">
        <v>674</v>
      </c>
      <c r="CI118" t="s">
        <v>674</v>
      </c>
      <c r="CJ118" s="2" t="str">
        <f>IF(ISERROR(_xlfn.XLOOKUP(Tabla_papers[[#This Row],[Key]],Primer_filtro[Key],Primer_filtro[Key])),"FALTA","YA ESTÁ")</f>
        <v>YA ESTÁ</v>
      </c>
    </row>
    <row r="119" spans="1:88" customFormat="1" x14ac:dyDescent="0.25">
      <c r="A119" t="s">
        <v>1162</v>
      </c>
      <c r="B119" t="s">
        <v>88</v>
      </c>
      <c r="C119">
        <v>2000</v>
      </c>
      <c r="D119" t="s">
        <v>1163</v>
      </c>
      <c r="E119" t="s">
        <v>1164</v>
      </c>
      <c r="F119" t="s">
        <v>499</v>
      </c>
      <c r="G119" t="s">
        <v>674</v>
      </c>
      <c r="H119" t="s">
        <v>500</v>
      </c>
      <c r="I119" t="s">
        <v>1165</v>
      </c>
      <c r="J119" t="s">
        <v>1166</v>
      </c>
      <c r="K119" t="s">
        <v>1167</v>
      </c>
      <c r="L119" t="s">
        <v>1168</v>
      </c>
      <c r="M119" s="1">
        <v>46286.060694444444</v>
      </c>
      <c r="N119" s="1">
        <v>46286.060717592591</v>
      </c>
      <c r="O119" s="1">
        <v>46286.060694444444</v>
      </c>
      <c r="P119" t="s">
        <v>1169</v>
      </c>
      <c r="Q119" t="s">
        <v>674</v>
      </c>
      <c r="R119">
        <v>5</v>
      </c>
      <c r="S119">
        <v>15</v>
      </c>
      <c r="T119" t="s">
        <v>674</v>
      </c>
      <c r="U119" t="s">
        <v>505</v>
      </c>
      <c r="V119" t="s">
        <v>674</v>
      </c>
      <c r="W119" t="s">
        <v>674</v>
      </c>
      <c r="X119" t="s">
        <v>674</v>
      </c>
      <c r="Y119" t="s">
        <v>674</v>
      </c>
      <c r="Z119" t="s">
        <v>674</v>
      </c>
      <c r="AA119" t="s">
        <v>674</v>
      </c>
      <c r="AB119" t="s">
        <v>674</v>
      </c>
      <c r="AC119" t="s">
        <v>97</v>
      </c>
      <c r="AD119" t="s">
        <v>122</v>
      </c>
      <c r="AE119" t="s">
        <v>674</v>
      </c>
      <c r="AF119" t="s">
        <v>674</v>
      </c>
      <c r="AG119" t="s">
        <v>674</v>
      </c>
      <c r="AH119" t="s">
        <v>99</v>
      </c>
      <c r="AJ119" t="s">
        <v>674</v>
      </c>
      <c r="AK119" t="s">
        <v>674</v>
      </c>
      <c r="AL119" t="s">
        <v>1170</v>
      </c>
      <c r="AM119" t="s">
        <v>674</v>
      </c>
      <c r="AN119" t="s">
        <v>674</v>
      </c>
      <c r="AO119" t="s">
        <v>712</v>
      </c>
      <c r="AP119" t="s">
        <v>674</v>
      </c>
      <c r="AQ119" t="s">
        <v>674</v>
      </c>
      <c r="AR119" t="s">
        <v>674</v>
      </c>
      <c r="AS119" t="s">
        <v>674</v>
      </c>
      <c r="AT119" t="s">
        <v>674</v>
      </c>
      <c r="AU119" t="s">
        <v>674</v>
      </c>
      <c r="AV119" t="s">
        <v>674</v>
      </c>
      <c r="AW119" t="s">
        <v>674</v>
      </c>
      <c r="AX119" t="s">
        <v>674</v>
      </c>
      <c r="AY119" t="s">
        <v>674</v>
      </c>
      <c r="AZ119" t="s">
        <v>674</v>
      </c>
      <c r="BA119" t="s">
        <v>674</v>
      </c>
      <c r="BB119" t="s">
        <v>674</v>
      </c>
      <c r="BC119" t="s">
        <v>674</v>
      </c>
      <c r="BD119" t="s">
        <v>674</v>
      </c>
      <c r="BE119" t="s">
        <v>674</v>
      </c>
      <c r="BF119" t="s">
        <v>674</v>
      </c>
      <c r="BG119" t="s">
        <v>674</v>
      </c>
      <c r="BH119" t="s">
        <v>674</v>
      </c>
      <c r="BI119" t="s">
        <v>674</v>
      </c>
      <c r="BJ119" t="s">
        <v>674</v>
      </c>
      <c r="BK119" t="s">
        <v>674</v>
      </c>
      <c r="BL119" t="s">
        <v>674</v>
      </c>
      <c r="BM119" t="s">
        <v>674</v>
      </c>
      <c r="BN119" t="s">
        <v>674</v>
      </c>
      <c r="BO119" t="s">
        <v>674</v>
      </c>
      <c r="BP119" t="s">
        <v>674</v>
      </c>
      <c r="BQ119" t="s">
        <v>674</v>
      </c>
      <c r="BR119" t="s">
        <v>674</v>
      </c>
      <c r="BS119" t="s">
        <v>674</v>
      </c>
      <c r="BT119" t="s">
        <v>674</v>
      </c>
      <c r="BU119" t="s">
        <v>674</v>
      </c>
      <c r="BV119" t="s">
        <v>674</v>
      </c>
      <c r="BW119" t="s">
        <v>674</v>
      </c>
      <c r="BX119" t="s">
        <v>674</v>
      </c>
      <c r="BY119" t="s">
        <v>674</v>
      </c>
      <c r="BZ119" t="s">
        <v>674</v>
      </c>
      <c r="CA119" t="s">
        <v>674</v>
      </c>
      <c r="CB119" t="s">
        <v>674</v>
      </c>
      <c r="CC119" t="s">
        <v>674</v>
      </c>
      <c r="CD119" t="s">
        <v>674</v>
      </c>
      <c r="CE119" t="s">
        <v>674</v>
      </c>
      <c r="CF119" t="s">
        <v>674</v>
      </c>
      <c r="CG119" t="s">
        <v>674</v>
      </c>
      <c r="CH119" t="s">
        <v>674</v>
      </c>
      <c r="CI119" t="s">
        <v>674</v>
      </c>
      <c r="CJ119" s="2" t="str">
        <f>IF(ISERROR(_xlfn.XLOOKUP(Tabla_papers[[#This Row],[Key]],Primer_filtro[Key],Primer_filtro[Key])),"FALTA","YA ESTÁ")</f>
        <v>YA ESTÁ</v>
      </c>
    </row>
    <row r="120" spans="1:88" customFormat="1" x14ac:dyDescent="0.25">
      <c r="A120" t="s">
        <v>1150</v>
      </c>
      <c r="B120" t="s">
        <v>88</v>
      </c>
      <c r="C120">
        <v>2023</v>
      </c>
      <c r="D120" t="s">
        <v>1151</v>
      </c>
      <c r="E120" t="s">
        <v>1152</v>
      </c>
      <c r="F120" t="s">
        <v>1153</v>
      </c>
      <c r="G120" t="s">
        <v>674</v>
      </c>
      <c r="H120" t="s">
        <v>1154</v>
      </c>
      <c r="I120" t="s">
        <v>1155</v>
      </c>
      <c r="J120" t="s">
        <v>1156</v>
      </c>
      <c r="K120" t="s">
        <v>1157</v>
      </c>
      <c r="L120" t="s">
        <v>1158</v>
      </c>
      <c r="M120" s="1">
        <v>46286.060659722221</v>
      </c>
      <c r="N120" s="1">
        <v>46286.060659722221</v>
      </c>
      <c r="O120" s="1">
        <v>46286.060659722221</v>
      </c>
      <c r="P120" t="s">
        <v>1159</v>
      </c>
      <c r="Q120" t="s">
        <v>674</v>
      </c>
      <c r="R120">
        <v>2</v>
      </c>
      <c r="S120">
        <v>87</v>
      </c>
      <c r="T120" t="s">
        <v>674</v>
      </c>
      <c r="U120" t="s">
        <v>1160</v>
      </c>
      <c r="V120" t="s">
        <v>674</v>
      </c>
      <c r="W120" t="s">
        <v>674</v>
      </c>
      <c r="X120" t="s">
        <v>674</v>
      </c>
      <c r="Y120" t="s">
        <v>674</v>
      </c>
      <c r="Z120" t="s">
        <v>674</v>
      </c>
      <c r="AA120" t="s">
        <v>674</v>
      </c>
      <c r="AB120" t="s">
        <v>674</v>
      </c>
      <c r="AC120" t="s">
        <v>97</v>
      </c>
      <c r="AD120" t="s">
        <v>674</v>
      </c>
      <c r="AE120" t="s">
        <v>674</v>
      </c>
      <c r="AF120" t="s">
        <v>674</v>
      </c>
      <c r="AG120" t="s">
        <v>674</v>
      </c>
      <c r="AH120" t="s">
        <v>99</v>
      </c>
      <c r="AJ120" t="s">
        <v>674</v>
      </c>
      <c r="AK120" t="s">
        <v>674</v>
      </c>
      <c r="AL120" t="s">
        <v>1161</v>
      </c>
      <c r="AM120" t="s">
        <v>674</v>
      </c>
      <c r="AN120" t="s">
        <v>674</v>
      </c>
      <c r="AO120" t="s">
        <v>712</v>
      </c>
      <c r="AP120" t="s">
        <v>674</v>
      </c>
      <c r="AQ120" t="s">
        <v>674</v>
      </c>
      <c r="AR120" t="s">
        <v>674</v>
      </c>
      <c r="AS120" t="s">
        <v>674</v>
      </c>
      <c r="AT120" t="s">
        <v>674</v>
      </c>
      <c r="AU120" t="s">
        <v>674</v>
      </c>
      <c r="AV120" t="s">
        <v>674</v>
      </c>
      <c r="AW120" t="s">
        <v>674</v>
      </c>
      <c r="AX120" t="s">
        <v>674</v>
      </c>
      <c r="AY120" t="s">
        <v>674</v>
      </c>
      <c r="AZ120" t="s">
        <v>674</v>
      </c>
      <c r="BA120" t="s">
        <v>674</v>
      </c>
      <c r="BB120" t="s">
        <v>674</v>
      </c>
      <c r="BC120" t="s">
        <v>674</v>
      </c>
      <c r="BD120" t="s">
        <v>674</v>
      </c>
      <c r="BE120" t="s">
        <v>674</v>
      </c>
      <c r="BF120" t="s">
        <v>674</v>
      </c>
      <c r="BG120" t="s">
        <v>674</v>
      </c>
      <c r="BH120" t="s">
        <v>674</v>
      </c>
      <c r="BI120" t="s">
        <v>674</v>
      </c>
      <c r="BJ120" t="s">
        <v>674</v>
      </c>
      <c r="BK120" t="s">
        <v>674</v>
      </c>
      <c r="BL120" t="s">
        <v>674</v>
      </c>
      <c r="BM120" t="s">
        <v>674</v>
      </c>
      <c r="BN120" t="s">
        <v>674</v>
      </c>
      <c r="BO120" t="s">
        <v>674</v>
      </c>
      <c r="BP120" t="s">
        <v>674</v>
      </c>
      <c r="BQ120" t="s">
        <v>674</v>
      </c>
      <c r="BR120" t="s">
        <v>674</v>
      </c>
      <c r="BS120" t="s">
        <v>674</v>
      </c>
      <c r="BT120" t="s">
        <v>674</v>
      </c>
      <c r="BU120" t="s">
        <v>674</v>
      </c>
      <c r="BV120" t="s">
        <v>674</v>
      </c>
      <c r="BW120" t="s">
        <v>674</v>
      </c>
      <c r="BX120" t="s">
        <v>674</v>
      </c>
      <c r="BY120" t="s">
        <v>674</v>
      </c>
      <c r="BZ120" t="s">
        <v>674</v>
      </c>
      <c r="CA120" t="s">
        <v>674</v>
      </c>
      <c r="CB120" t="s">
        <v>674</v>
      </c>
      <c r="CC120" t="s">
        <v>674</v>
      </c>
      <c r="CD120" t="s">
        <v>674</v>
      </c>
      <c r="CE120" t="s">
        <v>674</v>
      </c>
      <c r="CF120" t="s">
        <v>674</v>
      </c>
      <c r="CG120" t="s">
        <v>674</v>
      </c>
      <c r="CH120" t="s">
        <v>674</v>
      </c>
      <c r="CI120" t="s">
        <v>674</v>
      </c>
      <c r="CJ120" s="2" t="str">
        <f>IF(ISERROR(_xlfn.XLOOKUP(Tabla_papers[[#This Row],[Key]],Primer_filtro[Key],Primer_filtro[Key])),"FALTA","YA ESTÁ")</f>
        <v>YA ESTÁ</v>
      </c>
    </row>
    <row r="121" spans="1:88" customFormat="1" x14ac:dyDescent="0.25">
      <c r="A121" t="s">
        <v>1139</v>
      </c>
      <c r="B121" t="s">
        <v>88</v>
      </c>
      <c r="C121">
        <v>2013</v>
      </c>
      <c r="D121" t="s">
        <v>1140</v>
      </c>
      <c r="E121" t="s">
        <v>1141</v>
      </c>
      <c r="F121" t="s">
        <v>1142</v>
      </c>
      <c r="G121" t="s">
        <v>674</v>
      </c>
      <c r="H121" t="s">
        <v>1143</v>
      </c>
      <c r="I121" t="s">
        <v>1144</v>
      </c>
      <c r="J121" t="s">
        <v>1145</v>
      </c>
      <c r="K121" t="s">
        <v>1146</v>
      </c>
      <c r="L121" t="s">
        <v>1147</v>
      </c>
      <c r="M121" s="1">
        <v>46286.060624999998</v>
      </c>
      <c r="N121" s="1">
        <v>46286.060624999998</v>
      </c>
      <c r="O121" s="1">
        <v>46286.060613425929</v>
      </c>
      <c r="P121" t="s">
        <v>1148</v>
      </c>
      <c r="Q121" t="s">
        <v>674</v>
      </c>
      <c r="R121">
        <v>11</v>
      </c>
      <c r="S121">
        <v>46</v>
      </c>
      <c r="T121" t="s">
        <v>674</v>
      </c>
      <c r="U121" t="s">
        <v>1142</v>
      </c>
      <c r="V121" t="s">
        <v>674</v>
      </c>
      <c r="W121" t="s">
        <v>674</v>
      </c>
      <c r="X121" t="s">
        <v>674</v>
      </c>
      <c r="Y121" t="s">
        <v>674</v>
      </c>
      <c r="Z121" t="s">
        <v>674</v>
      </c>
      <c r="AA121" t="s">
        <v>674</v>
      </c>
      <c r="AB121" t="s">
        <v>674</v>
      </c>
      <c r="AC121" t="s">
        <v>97</v>
      </c>
      <c r="AD121" t="s">
        <v>674</v>
      </c>
      <c r="AE121" t="s">
        <v>674</v>
      </c>
      <c r="AF121" t="s">
        <v>674</v>
      </c>
      <c r="AG121" t="s">
        <v>674</v>
      </c>
      <c r="AH121" t="s">
        <v>99</v>
      </c>
      <c r="AJ121" t="s">
        <v>674</v>
      </c>
      <c r="AK121" t="s">
        <v>674</v>
      </c>
      <c r="AL121" t="s">
        <v>1149</v>
      </c>
      <c r="AM121" t="s">
        <v>674</v>
      </c>
      <c r="AN121" t="s">
        <v>674</v>
      </c>
      <c r="AO121" t="s">
        <v>712</v>
      </c>
      <c r="AP121" t="s">
        <v>674</v>
      </c>
      <c r="AQ121" t="s">
        <v>674</v>
      </c>
      <c r="AR121" t="s">
        <v>674</v>
      </c>
      <c r="AS121" t="s">
        <v>674</v>
      </c>
      <c r="AT121" t="s">
        <v>674</v>
      </c>
      <c r="AU121" t="s">
        <v>674</v>
      </c>
      <c r="AV121" t="s">
        <v>674</v>
      </c>
      <c r="AW121" t="s">
        <v>674</v>
      </c>
      <c r="AX121" t="s">
        <v>674</v>
      </c>
      <c r="AY121" t="s">
        <v>674</v>
      </c>
      <c r="AZ121" t="s">
        <v>674</v>
      </c>
      <c r="BA121" t="s">
        <v>674</v>
      </c>
      <c r="BB121" t="s">
        <v>674</v>
      </c>
      <c r="BC121" t="s">
        <v>674</v>
      </c>
      <c r="BD121" t="s">
        <v>674</v>
      </c>
      <c r="BE121" t="s">
        <v>674</v>
      </c>
      <c r="BF121" t="s">
        <v>674</v>
      </c>
      <c r="BG121" t="s">
        <v>674</v>
      </c>
      <c r="BH121" t="s">
        <v>674</v>
      </c>
      <c r="BI121" t="s">
        <v>674</v>
      </c>
      <c r="BJ121" t="s">
        <v>674</v>
      </c>
      <c r="BK121" t="s">
        <v>674</v>
      </c>
      <c r="BL121" t="s">
        <v>674</v>
      </c>
      <c r="BM121" t="s">
        <v>674</v>
      </c>
      <c r="BN121" t="s">
        <v>674</v>
      </c>
      <c r="BO121" t="s">
        <v>674</v>
      </c>
      <c r="BP121" t="s">
        <v>674</v>
      </c>
      <c r="BQ121" t="s">
        <v>674</v>
      </c>
      <c r="BR121" t="s">
        <v>674</v>
      </c>
      <c r="BS121" t="s">
        <v>674</v>
      </c>
      <c r="BT121" t="s">
        <v>674</v>
      </c>
      <c r="BU121" t="s">
        <v>674</v>
      </c>
      <c r="BV121" t="s">
        <v>674</v>
      </c>
      <c r="BW121" t="s">
        <v>674</v>
      </c>
      <c r="BX121" t="s">
        <v>674</v>
      </c>
      <c r="BY121" t="s">
        <v>674</v>
      </c>
      <c r="BZ121" t="s">
        <v>674</v>
      </c>
      <c r="CA121" t="s">
        <v>674</v>
      </c>
      <c r="CB121" t="s">
        <v>674</v>
      </c>
      <c r="CC121" t="s">
        <v>674</v>
      </c>
      <c r="CD121" t="s">
        <v>674</v>
      </c>
      <c r="CE121" t="s">
        <v>674</v>
      </c>
      <c r="CF121" t="s">
        <v>674</v>
      </c>
      <c r="CG121" t="s">
        <v>674</v>
      </c>
      <c r="CH121" t="s">
        <v>674</v>
      </c>
      <c r="CI121" t="s">
        <v>674</v>
      </c>
      <c r="CJ121" s="2" t="str">
        <f>IF(ISERROR(_xlfn.XLOOKUP(Tabla_papers[[#This Row],[Key]],Primer_filtro[Key],Primer_filtro[Key])),"FALTA","YA ESTÁ")</f>
        <v>YA ESTÁ</v>
      </c>
    </row>
    <row r="122" spans="1:88" customFormat="1" x14ac:dyDescent="0.25">
      <c r="A122" t="s">
        <v>1130</v>
      </c>
      <c r="B122" t="s">
        <v>88</v>
      </c>
      <c r="C122">
        <v>2003</v>
      </c>
      <c r="D122" t="s">
        <v>1109</v>
      </c>
      <c r="E122" t="s">
        <v>1131</v>
      </c>
      <c r="F122" t="s">
        <v>414</v>
      </c>
      <c r="G122" t="s">
        <v>674</v>
      </c>
      <c r="H122" t="s">
        <v>1132</v>
      </c>
      <c r="I122" t="s">
        <v>1133</v>
      </c>
      <c r="J122" t="s">
        <v>1134</v>
      </c>
      <c r="K122" t="s">
        <v>1135</v>
      </c>
      <c r="L122" t="s">
        <v>1136</v>
      </c>
      <c r="M122" s="1">
        <v>46286.060578703706</v>
      </c>
      <c r="N122" s="1">
        <v>46286.060590277775</v>
      </c>
      <c r="O122" s="1">
        <v>46286.060578703706</v>
      </c>
      <c r="P122" t="s">
        <v>1137</v>
      </c>
      <c r="Q122" t="s">
        <v>674</v>
      </c>
      <c r="R122">
        <v>6</v>
      </c>
      <c r="S122">
        <v>39</v>
      </c>
      <c r="T122" t="s">
        <v>674</v>
      </c>
      <c r="U122" t="s">
        <v>420</v>
      </c>
      <c r="V122" t="s">
        <v>674</v>
      </c>
      <c r="W122" t="s">
        <v>674</v>
      </c>
      <c r="X122" t="s">
        <v>674</v>
      </c>
      <c r="Y122" t="s">
        <v>674</v>
      </c>
      <c r="Z122" t="s">
        <v>674</v>
      </c>
      <c r="AA122" t="s">
        <v>674</v>
      </c>
      <c r="AB122" t="s">
        <v>674</v>
      </c>
      <c r="AC122" t="s">
        <v>97</v>
      </c>
      <c r="AD122" t="s">
        <v>122</v>
      </c>
      <c r="AE122" t="s">
        <v>674</v>
      </c>
      <c r="AF122" t="s">
        <v>674</v>
      </c>
      <c r="AG122" t="s">
        <v>674</v>
      </c>
      <c r="AH122" t="s">
        <v>99</v>
      </c>
      <c r="AJ122" t="s">
        <v>674</v>
      </c>
      <c r="AK122" t="s">
        <v>674</v>
      </c>
      <c r="AL122" t="s">
        <v>1138</v>
      </c>
      <c r="AM122" t="s">
        <v>674</v>
      </c>
      <c r="AN122" t="s">
        <v>674</v>
      </c>
      <c r="AO122" t="s">
        <v>712</v>
      </c>
      <c r="AP122" t="s">
        <v>674</v>
      </c>
      <c r="AQ122" t="s">
        <v>674</v>
      </c>
      <c r="AR122" t="s">
        <v>674</v>
      </c>
      <c r="AS122" t="s">
        <v>674</v>
      </c>
      <c r="AT122" t="s">
        <v>674</v>
      </c>
      <c r="AU122" t="s">
        <v>674</v>
      </c>
      <c r="AV122" t="s">
        <v>674</v>
      </c>
      <c r="AW122" t="s">
        <v>674</v>
      </c>
      <c r="AX122" t="s">
        <v>674</v>
      </c>
      <c r="AY122" t="s">
        <v>674</v>
      </c>
      <c r="AZ122" t="s">
        <v>674</v>
      </c>
      <c r="BA122" t="s">
        <v>674</v>
      </c>
      <c r="BB122" t="s">
        <v>674</v>
      </c>
      <c r="BC122" t="s">
        <v>674</v>
      </c>
      <c r="BD122" t="s">
        <v>674</v>
      </c>
      <c r="BE122" t="s">
        <v>674</v>
      </c>
      <c r="BF122" t="s">
        <v>674</v>
      </c>
      <c r="BG122" t="s">
        <v>674</v>
      </c>
      <c r="BH122" t="s">
        <v>674</v>
      </c>
      <c r="BI122" t="s">
        <v>674</v>
      </c>
      <c r="BJ122" t="s">
        <v>674</v>
      </c>
      <c r="BK122" t="s">
        <v>674</v>
      </c>
      <c r="BL122" t="s">
        <v>674</v>
      </c>
      <c r="BM122" t="s">
        <v>674</v>
      </c>
      <c r="BN122" t="s">
        <v>674</v>
      </c>
      <c r="BO122" t="s">
        <v>674</v>
      </c>
      <c r="BP122" t="s">
        <v>674</v>
      </c>
      <c r="BQ122" t="s">
        <v>674</v>
      </c>
      <c r="BR122" t="s">
        <v>674</v>
      </c>
      <c r="BS122" t="s">
        <v>674</v>
      </c>
      <c r="BT122" t="s">
        <v>674</v>
      </c>
      <c r="BU122" t="s">
        <v>674</v>
      </c>
      <c r="BV122" t="s">
        <v>674</v>
      </c>
      <c r="BW122" t="s">
        <v>674</v>
      </c>
      <c r="BX122" t="s">
        <v>674</v>
      </c>
      <c r="BY122" t="s">
        <v>674</v>
      </c>
      <c r="BZ122" t="s">
        <v>674</v>
      </c>
      <c r="CA122" t="s">
        <v>674</v>
      </c>
      <c r="CB122" t="s">
        <v>674</v>
      </c>
      <c r="CC122" t="s">
        <v>674</v>
      </c>
      <c r="CD122" t="s">
        <v>674</v>
      </c>
      <c r="CE122" t="s">
        <v>674</v>
      </c>
      <c r="CF122" t="s">
        <v>674</v>
      </c>
      <c r="CG122" t="s">
        <v>674</v>
      </c>
      <c r="CH122" t="s">
        <v>674</v>
      </c>
      <c r="CI122" t="s">
        <v>674</v>
      </c>
      <c r="CJ122" s="2" t="str">
        <f>IF(ISERROR(_xlfn.XLOOKUP(Tabla_papers[[#This Row],[Key]],Primer_filtro[Key],Primer_filtro[Key])),"FALTA","YA ESTÁ")</f>
        <v>YA ESTÁ</v>
      </c>
    </row>
    <row r="123" spans="1:88" customFormat="1" x14ac:dyDescent="0.25">
      <c r="A123" t="s">
        <v>1120</v>
      </c>
      <c r="B123" t="s">
        <v>88</v>
      </c>
      <c r="C123">
        <v>2016</v>
      </c>
      <c r="D123" t="s">
        <v>1121</v>
      </c>
      <c r="E123" t="s">
        <v>1122</v>
      </c>
      <c r="F123" t="s">
        <v>115</v>
      </c>
      <c r="G123" t="s">
        <v>674</v>
      </c>
      <c r="H123" t="s">
        <v>116</v>
      </c>
      <c r="I123" t="s">
        <v>1123</v>
      </c>
      <c r="J123" t="s">
        <v>1124</v>
      </c>
      <c r="K123" t="s">
        <v>1125</v>
      </c>
      <c r="L123" t="s">
        <v>1126</v>
      </c>
      <c r="M123" s="1">
        <v>46286.060543981483</v>
      </c>
      <c r="N123" s="1">
        <v>46286.060555555552</v>
      </c>
      <c r="O123" s="1">
        <v>46286.060543981483</v>
      </c>
      <c r="P123" t="s">
        <v>1127</v>
      </c>
      <c r="Q123" t="s">
        <v>674</v>
      </c>
      <c r="R123">
        <v>2</v>
      </c>
      <c r="S123">
        <v>63</v>
      </c>
      <c r="T123" t="s">
        <v>674</v>
      </c>
      <c r="U123" t="s">
        <v>121</v>
      </c>
      <c r="V123" t="s">
        <v>674</v>
      </c>
      <c r="W123" t="s">
        <v>674</v>
      </c>
      <c r="X123" t="s">
        <v>674</v>
      </c>
      <c r="Y123" t="s">
        <v>674</v>
      </c>
      <c r="Z123" t="s">
        <v>674</v>
      </c>
      <c r="AA123" t="s">
        <v>674</v>
      </c>
      <c r="AB123" t="s">
        <v>674</v>
      </c>
      <c r="AC123" t="s">
        <v>97</v>
      </c>
      <c r="AD123" t="s">
        <v>1128</v>
      </c>
      <c r="AE123" t="s">
        <v>674</v>
      </c>
      <c r="AF123" t="s">
        <v>674</v>
      </c>
      <c r="AG123" t="s">
        <v>674</v>
      </c>
      <c r="AH123" t="s">
        <v>99</v>
      </c>
      <c r="AJ123" t="s">
        <v>674</v>
      </c>
      <c r="AK123" t="s">
        <v>674</v>
      </c>
      <c r="AL123" t="s">
        <v>1129</v>
      </c>
      <c r="AM123" t="s">
        <v>674</v>
      </c>
      <c r="AN123" t="s">
        <v>674</v>
      </c>
      <c r="AO123" t="s">
        <v>712</v>
      </c>
      <c r="AP123" t="s">
        <v>674</v>
      </c>
      <c r="AQ123" t="s">
        <v>674</v>
      </c>
      <c r="AR123" t="s">
        <v>674</v>
      </c>
      <c r="AS123" t="s">
        <v>674</v>
      </c>
      <c r="AT123" t="s">
        <v>674</v>
      </c>
      <c r="AU123" t="s">
        <v>674</v>
      </c>
      <c r="AV123" t="s">
        <v>674</v>
      </c>
      <c r="AW123" t="s">
        <v>674</v>
      </c>
      <c r="AX123" t="s">
        <v>674</v>
      </c>
      <c r="AY123" t="s">
        <v>674</v>
      </c>
      <c r="AZ123" t="s">
        <v>674</v>
      </c>
      <c r="BA123" t="s">
        <v>674</v>
      </c>
      <c r="BB123" t="s">
        <v>674</v>
      </c>
      <c r="BC123" t="s">
        <v>674</v>
      </c>
      <c r="BD123" t="s">
        <v>674</v>
      </c>
      <c r="BE123" t="s">
        <v>674</v>
      </c>
      <c r="BF123" t="s">
        <v>674</v>
      </c>
      <c r="BG123" t="s">
        <v>674</v>
      </c>
      <c r="BH123" t="s">
        <v>674</v>
      </c>
      <c r="BI123" t="s">
        <v>674</v>
      </c>
      <c r="BJ123" t="s">
        <v>674</v>
      </c>
      <c r="BK123" t="s">
        <v>674</v>
      </c>
      <c r="BL123" t="s">
        <v>674</v>
      </c>
      <c r="BM123" t="s">
        <v>674</v>
      </c>
      <c r="BN123" t="s">
        <v>674</v>
      </c>
      <c r="BO123" t="s">
        <v>674</v>
      </c>
      <c r="BP123" t="s">
        <v>674</v>
      </c>
      <c r="BQ123" t="s">
        <v>674</v>
      </c>
      <c r="BR123" t="s">
        <v>674</v>
      </c>
      <c r="BS123" t="s">
        <v>674</v>
      </c>
      <c r="BT123" t="s">
        <v>674</v>
      </c>
      <c r="BU123" t="s">
        <v>674</v>
      </c>
      <c r="BV123" t="s">
        <v>674</v>
      </c>
      <c r="BW123" t="s">
        <v>674</v>
      </c>
      <c r="BX123" t="s">
        <v>674</v>
      </c>
      <c r="BY123" t="s">
        <v>674</v>
      </c>
      <c r="BZ123" t="s">
        <v>674</v>
      </c>
      <c r="CA123" t="s">
        <v>674</v>
      </c>
      <c r="CB123" t="s">
        <v>674</v>
      </c>
      <c r="CC123" t="s">
        <v>674</v>
      </c>
      <c r="CD123" t="s">
        <v>674</v>
      </c>
      <c r="CE123" t="s">
        <v>674</v>
      </c>
      <c r="CF123" t="s">
        <v>674</v>
      </c>
      <c r="CG123" t="s">
        <v>674</v>
      </c>
      <c r="CH123" t="s">
        <v>674</v>
      </c>
      <c r="CI123" t="s">
        <v>674</v>
      </c>
      <c r="CJ123" s="2" t="str">
        <f>IF(ISERROR(_xlfn.XLOOKUP(Tabla_papers[[#This Row],[Key]],Primer_filtro[Key],Primer_filtro[Key])),"FALTA","YA ESTÁ")</f>
        <v>YA ESTÁ</v>
      </c>
    </row>
    <row r="124" spans="1:88" customFormat="1" x14ac:dyDescent="0.25">
      <c r="A124" t="s">
        <v>1108</v>
      </c>
      <c r="B124" t="s">
        <v>126</v>
      </c>
      <c r="C124">
        <v>2002</v>
      </c>
      <c r="D124" t="s">
        <v>1109</v>
      </c>
      <c r="E124" t="s">
        <v>1110</v>
      </c>
      <c r="F124" t="s">
        <v>1111</v>
      </c>
      <c r="G124" t="s">
        <v>1112</v>
      </c>
      <c r="H124" t="s">
        <v>674</v>
      </c>
      <c r="I124" t="s">
        <v>1113</v>
      </c>
      <c r="J124" t="s">
        <v>1114</v>
      </c>
      <c r="K124" t="s">
        <v>1115</v>
      </c>
      <c r="L124" t="s">
        <v>1116</v>
      </c>
      <c r="M124" s="1">
        <v>46286.060497685183</v>
      </c>
      <c r="N124" s="1">
        <v>46286.06050925926</v>
      </c>
      <c r="O124" s="1">
        <v>46286.060497685183</v>
      </c>
      <c r="P124" t="s">
        <v>1117</v>
      </c>
      <c r="Q124" t="s">
        <v>674</v>
      </c>
      <c r="S124">
        <v>1</v>
      </c>
      <c r="T124" t="s">
        <v>674</v>
      </c>
      <c r="U124" t="s">
        <v>674</v>
      </c>
      <c r="V124" t="s">
        <v>674</v>
      </c>
      <c r="W124" t="s">
        <v>674</v>
      </c>
      <c r="X124" t="s">
        <v>674</v>
      </c>
      <c r="Y124" t="s">
        <v>674</v>
      </c>
      <c r="Z124" t="s">
        <v>674</v>
      </c>
      <c r="AA124" t="s">
        <v>133</v>
      </c>
      <c r="AB124" t="s">
        <v>233</v>
      </c>
      <c r="AC124" t="s">
        <v>97</v>
      </c>
      <c r="AD124" t="s">
        <v>674</v>
      </c>
      <c r="AE124" t="s">
        <v>674</v>
      </c>
      <c r="AF124" t="s">
        <v>674</v>
      </c>
      <c r="AG124" t="s">
        <v>674</v>
      </c>
      <c r="AH124" t="s">
        <v>99</v>
      </c>
      <c r="AJ124" t="s">
        <v>674</v>
      </c>
      <c r="AK124" t="s">
        <v>674</v>
      </c>
      <c r="AL124" t="s">
        <v>1118</v>
      </c>
      <c r="AM124" t="s">
        <v>674</v>
      </c>
      <c r="AN124" t="s">
        <v>674</v>
      </c>
      <c r="AO124" t="s">
        <v>712</v>
      </c>
      <c r="AP124" t="s">
        <v>674</v>
      </c>
      <c r="AQ124" t="s">
        <v>674</v>
      </c>
      <c r="AR124" t="s">
        <v>674</v>
      </c>
      <c r="AS124" t="s">
        <v>674</v>
      </c>
      <c r="AT124" t="s">
        <v>674</v>
      </c>
      <c r="AU124" t="s">
        <v>674</v>
      </c>
      <c r="AV124" t="s">
        <v>674</v>
      </c>
      <c r="AW124" t="s">
        <v>674</v>
      </c>
      <c r="AX124" t="s">
        <v>674</v>
      </c>
      <c r="AY124" t="s">
        <v>674</v>
      </c>
      <c r="AZ124" t="s">
        <v>674</v>
      </c>
      <c r="BA124" t="s">
        <v>674</v>
      </c>
      <c r="BB124" t="s">
        <v>674</v>
      </c>
      <c r="BC124" t="s">
        <v>674</v>
      </c>
      <c r="BD124" t="s">
        <v>674</v>
      </c>
      <c r="BE124" t="s">
        <v>674</v>
      </c>
      <c r="BF124" t="s">
        <v>674</v>
      </c>
      <c r="BG124" t="s">
        <v>674</v>
      </c>
      <c r="BH124" t="s">
        <v>674</v>
      </c>
      <c r="BI124" t="s">
        <v>674</v>
      </c>
      <c r="BJ124" t="s">
        <v>674</v>
      </c>
      <c r="BK124" t="s">
        <v>674</v>
      </c>
      <c r="BL124" t="s">
        <v>674</v>
      </c>
      <c r="BM124" t="s">
        <v>674</v>
      </c>
      <c r="BN124" t="s">
        <v>674</v>
      </c>
      <c r="BO124" t="s">
        <v>674</v>
      </c>
      <c r="BP124" t="s">
        <v>674</v>
      </c>
      <c r="BQ124" t="s">
        <v>674</v>
      </c>
      <c r="BR124" t="s">
        <v>674</v>
      </c>
      <c r="BS124" t="s">
        <v>674</v>
      </c>
      <c r="BT124" t="s">
        <v>1119</v>
      </c>
      <c r="BU124" t="s">
        <v>674</v>
      </c>
      <c r="BV124" t="s">
        <v>674</v>
      </c>
      <c r="BW124" t="s">
        <v>674</v>
      </c>
      <c r="BX124" t="s">
        <v>674</v>
      </c>
      <c r="BY124" t="s">
        <v>674</v>
      </c>
      <c r="BZ124" t="s">
        <v>674</v>
      </c>
      <c r="CA124" t="s">
        <v>674</v>
      </c>
      <c r="CB124" t="s">
        <v>674</v>
      </c>
      <c r="CC124" t="s">
        <v>674</v>
      </c>
      <c r="CD124" t="s">
        <v>674</v>
      </c>
      <c r="CE124" t="s">
        <v>674</v>
      </c>
      <c r="CF124" t="s">
        <v>674</v>
      </c>
      <c r="CG124" t="s">
        <v>674</v>
      </c>
      <c r="CH124" t="s">
        <v>674</v>
      </c>
      <c r="CI124" t="s">
        <v>674</v>
      </c>
      <c r="CJ124" s="2" t="str">
        <f>IF(ISERROR(_xlfn.XLOOKUP(Tabla_papers[[#This Row],[Key]],Primer_filtro[Key],Primer_filtro[Key])),"FALTA","YA ESTÁ")</f>
        <v>YA ESTÁ</v>
      </c>
    </row>
    <row r="125" spans="1:88" customFormat="1" hidden="1" x14ac:dyDescent="0.25">
      <c r="A125" t="s">
        <v>1094</v>
      </c>
      <c r="B125" t="s">
        <v>88</v>
      </c>
      <c r="C125">
        <v>2022</v>
      </c>
      <c r="D125" t="s">
        <v>1095</v>
      </c>
      <c r="E125" t="s">
        <v>1096</v>
      </c>
      <c r="F125" t="s">
        <v>499</v>
      </c>
      <c r="G125" t="s">
        <v>674</v>
      </c>
      <c r="H125" t="s">
        <v>500</v>
      </c>
      <c r="I125" t="s">
        <v>1097</v>
      </c>
      <c r="J125" t="s">
        <v>1098</v>
      </c>
      <c r="K125" t="s">
        <v>1099</v>
      </c>
      <c r="L125" t="s">
        <v>1100</v>
      </c>
      <c r="M125" s="1">
        <v>46285.713148148148</v>
      </c>
      <c r="N125" s="1">
        <v>46285.761840277781</v>
      </c>
      <c r="O125" s="1">
        <v>46285.713148148148</v>
      </c>
      <c r="P125" t="s">
        <v>1101</v>
      </c>
      <c r="Q125" t="s">
        <v>674</v>
      </c>
      <c r="R125">
        <v>11</v>
      </c>
      <c r="S125">
        <v>37</v>
      </c>
      <c r="T125" t="s">
        <v>674</v>
      </c>
      <c r="U125" t="s">
        <v>505</v>
      </c>
      <c r="V125" t="s">
        <v>674</v>
      </c>
      <c r="W125" t="s">
        <v>674</v>
      </c>
      <c r="X125" t="s">
        <v>674</v>
      </c>
      <c r="Y125" t="s">
        <v>674</v>
      </c>
      <c r="Z125" t="s">
        <v>674</v>
      </c>
      <c r="AA125" t="s">
        <v>674</v>
      </c>
      <c r="AB125" t="s">
        <v>674</v>
      </c>
      <c r="AC125" t="s">
        <v>97</v>
      </c>
      <c r="AD125" t="s">
        <v>122</v>
      </c>
      <c r="AE125" t="s">
        <v>674</v>
      </c>
      <c r="AF125" t="s">
        <v>674</v>
      </c>
      <c r="AG125" t="s">
        <v>674</v>
      </c>
      <c r="AH125" t="s">
        <v>99</v>
      </c>
      <c r="AJ125" t="s">
        <v>674</v>
      </c>
      <c r="AK125" t="s">
        <v>674</v>
      </c>
      <c r="AL125" t="s">
        <v>1102</v>
      </c>
      <c r="AM125" t="s">
        <v>674</v>
      </c>
      <c r="AN125" t="s">
        <v>674</v>
      </c>
      <c r="AO125" t="s">
        <v>674</v>
      </c>
      <c r="AP125" t="s">
        <v>674</v>
      </c>
      <c r="AQ125" t="s">
        <v>674</v>
      </c>
      <c r="AR125" t="s">
        <v>674</v>
      </c>
      <c r="AS125" t="s">
        <v>674</v>
      </c>
      <c r="AT125" t="s">
        <v>674</v>
      </c>
      <c r="AU125" t="s">
        <v>674</v>
      </c>
      <c r="AV125" t="s">
        <v>674</v>
      </c>
      <c r="AW125" t="s">
        <v>674</v>
      </c>
      <c r="AX125" t="s">
        <v>674</v>
      </c>
      <c r="AY125" t="s">
        <v>674</v>
      </c>
      <c r="AZ125" t="s">
        <v>674</v>
      </c>
      <c r="BA125" t="s">
        <v>674</v>
      </c>
      <c r="BB125" t="s">
        <v>674</v>
      </c>
      <c r="BC125" t="s">
        <v>674</v>
      </c>
      <c r="BD125" t="s">
        <v>674</v>
      </c>
      <c r="BE125" t="s">
        <v>674</v>
      </c>
      <c r="BF125" t="s">
        <v>674</v>
      </c>
      <c r="BG125" t="s">
        <v>674</v>
      </c>
      <c r="BH125" t="s">
        <v>674</v>
      </c>
      <c r="BI125" t="s">
        <v>674</v>
      </c>
      <c r="BJ125" t="s">
        <v>674</v>
      </c>
      <c r="BK125" t="s">
        <v>674</v>
      </c>
      <c r="BL125" t="s">
        <v>674</v>
      </c>
      <c r="BM125" t="s">
        <v>674</v>
      </c>
      <c r="BN125" t="s">
        <v>674</v>
      </c>
      <c r="BO125" t="s">
        <v>674</v>
      </c>
      <c r="BP125" t="s">
        <v>674</v>
      </c>
      <c r="BQ125" t="s">
        <v>674</v>
      </c>
      <c r="BR125" t="s">
        <v>674</v>
      </c>
      <c r="BS125" t="s">
        <v>674</v>
      </c>
      <c r="BT125" t="s">
        <v>674</v>
      </c>
      <c r="BU125" t="s">
        <v>674</v>
      </c>
      <c r="BV125" t="s">
        <v>674</v>
      </c>
      <c r="BW125" t="s">
        <v>674</v>
      </c>
      <c r="BX125" t="s">
        <v>674</v>
      </c>
      <c r="BY125" t="s">
        <v>674</v>
      </c>
      <c r="BZ125" t="s">
        <v>674</v>
      </c>
      <c r="CA125" t="s">
        <v>674</v>
      </c>
      <c r="CB125" t="s">
        <v>674</v>
      </c>
      <c r="CC125" t="s">
        <v>674</v>
      </c>
      <c r="CD125" t="s">
        <v>674</v>
      </c>
      <c r="CE125" t="s">
        <v>674</v>
      </c>
      <c r="CF125" t="s">
        <v>674</v>
      </c>
      <c r="CG125" t="s">
        <v>674</v>
      </c>
      <c r="CH125" t="s">
        <v>674</v>
      </c>
      <c r="CI125" t="s">
        <v>674</v>
      </c>
      <c r="CJ125" s="2" t="str">
        <f>IF(ISERROR(_xlfn.XLOOKUP(Tabla_papers[[#This Row],[Key]],Primer_filtro[Key],Primer_filtro[Key])),"FALTA","YA ESTÁ")</f>
        <v>YA ESTÁ</v>
      </c>
    </row>
    <row r="126" spans="1:88" customFormat="1" hidden="1" x14ac:dyDescent="0.25">
      <c r="A126" t="s">
        <v>1092</v>
      </c>
      <c r="B126" t="s">
        <v>88</v>
      </c>
      <c r="C126">
        <v>2019</v>
      </c>
      <c r="D126" t="s">
        <v>979</v>
      </c>
      <c r="E126" t="s">
        <v>980</v>
      </c>
      <c r="F126" t="s">
        <v>479</v>
      </c>
      <c r="G126" t="s">
        <v>674</v>
      </c>
      <c r="H126" t="s">
        <v>480</v>
      </c>
      <c r="I126" t="s">
        <v>981</v>
      </c>
      <c r="J126" t="s">
        <v>982</v>
      </c>
      <c r="K126" t="s">
        <v>983</v>
      </c>
      <c r="L126" t="s">
        <v>984</v>
      </c>
      <c r="M126" s="1">
        <v>46284.999594907407</v>
      </c>
      <c r="N126" s="1">
        <v>46285.724675925929</v>
      </c>
      <c r="O126" s="1">
        <v>46284.999594907407</v>
      </c>
      <c r="P126" t="s">
        <v>985</v>
      </c>
      <c r="Q126" t="s">
        <v>674</v>
      </c>
      <c r="R126">
        <v>1</v>
      </c>
      <c r="S126">
        <v>10</v>
      </c>
      <c r="T126" t="s">
        <v>674</v>
      </c>
      <c r="U126" t="s">
        <v>479</v>
      </c>
      <c r="V126" t="s">
        <v>674</v>
      </c>
      <c r="W126" t="s">
        <v>674</v>
      </c>
      <c r="X126" t="s">
        <v>674</v>
      </c>
      <c r="Y126" t="s">
        <v>674</v>
      </c>
      <c r="Z126" t="s">
        <v>674</v>
      </c>
      <c r="AA126" t="s">
        <v>674</v>
      </c>
      <c r="AB126" t="s">
        <v>674</v>
      </c>
      <c r="AC126" t="s">
        <v>97</v>
      </c>
      <c r="AD126" t="s">
        <v>674</v>
      </c>
      <c r="AE126" t="s">
        <v>674</v>
      </c>
      <c r="AF126" t="s">
        <v>674</v>
      </c>
      <c r="AG126" t="s">
        <v>674</v>
      </c>
      <c r="AH126" t="s">
        <v>99</v>
      </c>
      <c r="AJ126" t="s">
        <v>674</v>
      </c>
      <c r="AK126" t="s">
        <v>674</v>
      </c>
      <c r="AL126" t="s">
        <v>1093</v>
      </c>
      <c r="AM126" t="s">
        <v>674</v>
      </c>
      <c r="AN126" t="s">
        <v>674</v>
      </c>
      <c r="AO126" t="s">
        <v>674</v>
      </c>
      <c r="AP126" t="s">
        <v>674</v>
      </c>
      <c r="AQ126" t="s">
        <v>674</v>
      </c>
      <c r="AR126" t="s">
        <v>674</v>
      </c>
      <c r="AS126" t="s">
        <v>674</v>
      </c>
      <c r="AT126" t="s">
        <v>674</v>
      </c>
      <c r="AU126" t="s">
        <v>674</v>
      </c>
      <c r="AV126" t="s">
        <v>674</v>
      </c>
      <c r="AW126" t="s">
        <v>674</v>
      </c>
      <c r="AX126" t="s">
        <v>674</v>
      </c>
      <c r="AY126" t="s">
        <v>674</v>
      </c>
      <c r="AZ126" t="s">
        <v>674</v>
      </c>
      <c r="BA126" t="s">
        <v>674</v>
      </c>
      <c r="BB126" t="s">
        <v>674</v>
      </c>
      <c r="BC126" t="s">
        <v>674</v>
      </c>
      <c r="BD126" t="s">
        <v>674</v>
      </c>
      <c r="BE126" t="s">
        <v>674</v>
      </c>
      <c r="BF126" t="s">
        <v>674</v>
      </c>
      <c r="BG126" t="s">
        <v>674</v>
      </c>
      <c r="BH126" t="s">
        <v>674</v>
      </c>
      <c r="BI126" t="s">
        <v>674</v>
      </c>
      <c r="BJ126" t="s">
        <v>674</v>
      </c>
      <c r="BK126" t="s">
        <v>674</v>
      </c>
      <c r="BL126" t="s">
        <v>674</v>
      </c>
      <c r="BM126" t="s">
        <v>674</v>
      </c>
      <c r="BN126" t="s">
        <v>674</v>
      </c>
      <c r="BO126" t="s">
        <v>674</v>
      </c>
      <c r="BP126" t="s">
        <v>674</v>
      </c>
      <c r="BQ126" t="s">
        <v>674</v>
      </c>
      <c r="BR126" t="s">
        <v>674</v>
      </c>
      <c r="BS126" t="s">
        <v>674</v>
      </c>
      <c r="BT126" t="s">
        <v>674</v>
      </c>
      <c r="BU126" t="s">
        <v>674</v>
      </c>
      <c r="BV126" t="s">
        <v>674</v>
      </c>
      <c r="BW126" t="s">
        <v>674</v>
      </c>
      <c r="BX126" t="s">
        <v>674</v>
      </c>
      <c r="BY126" t="s">
        <v>674</v>
      </c>
      <c r="BZ126" t="s">
        <v>674</v>
      </c>
      <c r="CA126" t="s">
        <v>674</v>
      </c>
      <c r="CB126" t="s">
        <v>674</v>
      </c>
      <c r="CC126" t="s">
        <v>674</v>
      </c>
      <c r="CD126" t="s">
        <v>674</v>
      </c>
      <c r="CE126" t="s">
        <v>674</v>
      </c>
      <c r="CF126" t="s">
        <v>674</v>
      </c>
      <c r="CG126" t="s">
        <v>674</v>
      </c>
      <c r="CH126" t="s">
        <v>674</v>
      </c>
      <c r="CI126" t="s">
        <v>674</v>
      </c>
      <c r="CJ126" s="2" t="str">
        <f>IF(ISERROR(_xlfn.XLOOKUP(Tabla_papers[[#This Row],[Key]],Primer_filtro[Key],Primer_filtro[Key])),"FALTA","YA ESTÁ")</f>
        <v>YA ESTÁ</v>
      </c>
    </row>
    <row r="127" spans="1:88" customFormat="1" hidden="1" x14ac:dyDescent="0.25">
      <c r="A127" t="s">
        <v>1083</v>
      </c>
      <c r="B127" t="s">
        <v>88</v>
      </c>
      <c r="C127">
        <v>2017</v>
      </c>
      <c r="D127" t="s">
        <v>1084</v>
      </c>
      <c r="E127" t="s">
        <v>1085</v>
      </c>
      <c r="F127" t="s">
        <v>479</v>
      </c>
      <c r="G127" t="s">
        <v>674</v>
      </c>
      <c r="H127" t="s">
        <v>480</v>
      </c>
      <c r="I127" t="s">
        <v>1086</v>
      </c>
      <c r="J127" t="s">
        <v>1087</v>
      </c>
      <c r="K127" t="s">
        <v>1088</v>
      </c>
      <c r="L127" t="s">
        <v>1089</v>
      </c>
      <c r="M127" s="1">
        <v>46284.999502314815</v>
      </c>
      <c r="N127" s="1">
        <v>46285.761840277781</v>
      </c>
      <c r="O127" s="1">
        <v>46284.999502314815</v>
      </c>
      <c r="P127" t="s">
        <v>1090</v>
      </c>
      <c r="Q127" t="s">
        <v>674</v>
      </c>
      <c r="R127">
        <v>9</v>
      </c>
      <c r="S127">
        <v>7</v>
      </c>
      <c r="T127" t="s">
        <v>674</v>
      </c>
      <c r="U127" t="s">
        <v>479</v>
      </c>
      <c r="V127" t="s">
        <v>674</v>
      </c>
      <c r="W127" t="s">
        <v>674</v>
      </c>
      <c r="X127" t="s">
        <v>674</v>
      </c>
      <c r="Y127" t="s">
        <v>674</v>
      </c>
      <c r="Z127" t="s">
        <v>674</v>
      </c>
      <c r="AA127" t="s">
        <v>674</v>
      </c>
      <c r="AB127" t="s">
        <v>674</v>
      </c>
      <c r="AC127" t="s">
        <v>97</v>
      </c>
      <c r="AD127" t="s">
        <v>674</v>
      </c>
      <c r="AE127" t="s">
        <v>674</v>
      </c>
      <c r="AF127" t="s">
        <v>674</v>
      </c>
      <c r="AG127" t="s">
        <v>674</v>
      </c>
      <c r="AH127" t="s">
        <v>99</v>
      </c>
      <c r="AJ127" t="s">
        <v>674</v>
      </c>
      <c r="AK127" t="s">
        <v>674</v>
      </c>
      <c r="AL127" t="s">
        <v>1091</v>
      </c>
      <c r="AM127" t="s">
        <v>674</v>
      </c>
      <c r="AN127" t="s">
        <v>674</v>
      </c>
      <c r="AO127" t="s">
        <v>674</v>
      </c>
      <c r="AP127" t="s">
        <v>674</v>
      </c>
      <c r="AQ127" t="s">
        <v>674</v>
      </c>
      <c r="AR127" t="s">
        <v>674</v>
      </c>
      <c r="AS127" t="s">
        <v>674</v>
      </c>
      <c r="AT127" t="s">
        <v>674</v>
      </c>
      <c r="AU127" t="s">
        <v>674</v>
      </c>
      <c r="AV127" t="s">
        <v>674</v>
      </c>
      <c r="AW127" t="s">
        <v>674</v>
      </c>
      <c r="AX127" t="s">
        <v>674</v>
      </c>
      <c r="AY127" t="s">
        <v>674</v>
      </c>
      <c r="AZ127" t="s">
        <v>674</v>
      </c>
      <c r="BA127" t="s">
        <v>674</v>
      </c>
      <c r="BB127" t="s">
        <v>674</v>
      </c>
      <c r="BC127" t="s">
        <v>674</v>
      </c>
      <c r="BD127" t="s">
        <v>674</v>
      </c>
      <c r="BE127" t="s">
        <v>674</v>
      </c>
      <c r="BF127" t="s">
        <v>674</v>
      </c>
      <c r="BG127" t="s">
        <v>674</v>
      </c>
      <c r="BH127" t="s">
        <v>674</v>
      </c>
      <c r="BI127" t="s">
        <v>674</v>
      </c>
      <c r="BJ127" t="s">
        <v>674</v>
      </c>
      <c r="BK127" t="s">
        <v>674</v>
      </c>
      <c r="BL127" t="s">
        <v>674</v>
      </c>
      <c r="BM127" t="s">
        <v>674</v>
      </c>
      <c r="BN127" t="s">
        <v>674</v>
      </c>
      <c r="BO127" t="s">
        <v>674</v>
      </c>
      <c r="BP127" t="s">
        <v>674</v>
      </c>
      <c r="BQ127" t="s">
        <v>674</v>
      </c>
      <c r="BR127" t="s">
        <v>674</v>
      </c>
      <c r="BS127" t="s">
        <v>674</v>
      </c>
      <c r="BT127" t="s">
        <v>674</v>
      </c>
      <c r="BU127" t="s">
        <v>674</v>
      </c>
      <c r="BV127" t="s">
        <v>674</v>
      </c>
      <c r="BW127" t="s">
        <v>674</v>
      </c>
      <c r="BX127" t="s">
        <v>674</v>
      </c>
      <c r="BY127" t="s">
        <v>674</v>
      </c>
      <c r="BZ127" t="s">
        <v>674</v>
      </c>
      <c r="CA127" t="s">
        <v>674</v>
      </c>
      <c r="CB127" t="s">
        <v>674</v>
      </c>
      <c r="CC127" t="s">
        <v>674</v>
      </c>
      <c r="CD127" t="s">
        <v>674</v>
      </c>
      <c r="CE127" t="s">
        <v>674</v>
      </c>
      <c r="CF127" t="s">
        <v>674</v>
      </c>
      <c r="CG127" t="s">
        <v>674</v>
      </c>
      <c r="CH127" t="s">
        <v>674</v>
      </c>
      <c r="CI127" t="s">
        <v>674</v>
      </c>
      <c r="CJ127" s="2" t="str">
        <f>IF(ISERROR(_xlfn.XLOOKUP(Tabla_papers[[#This Row],[Key]],Primer_filtro[Key],Primer_filtro[Key])),"FALTA","YA ESTÁ")</f>
        <v>YA ESTÁ</v>
      </c>
    </row>
    <row r="128" spans="1:88" hidden="1" x14ac:dyDescent="0.25">
      <c r="M128" s="4"/>
      <c r="N128" s="4"/>
      <c r="O128" s="4"/>
      <c r="CJ128" s="2" t="str">
        <f>IF(ISERROR(_xlfn.XLOOKUP(Tabla_papers[[#This Row],[Key]],Primer_filtro[Key],Primer_filtro[Key])),"FALTA","YA ESTÁ")</f>
        <v>YA ESTÁ</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52E3F-0BBE-4020-B6AE-A946DF900924}">
  <dimension ref="A1:Y86"/>
  <sheetViews>
    <sheetView tabSelected="1" zoomScale="85" zoomScaleNormal="85" workbookViewId="0">
      <pane xSplit="2" ySplit="1" topLeftCell="C34" activePane="bottomRight" state="frozen"/>
      <selection pane="topRight" activeCell="C1" sqref="C1"/>
      <selection pane="bottomLeft" activeCell="A2" sqref="A2"/>
      <selection pane="bottomRight" activeCell="A34" sqref="A34"/>
    </sheetView>
  </sheetViews>
  <sheetFormatPr baseColWidth="10" defaultRowHeight="15" x14ac:dyDescent="0.25"/>
  <cols>
    <col min="1" max="1" width="12.28515625" style="8" customWidth="1"/>
    <col min="2" max="2" width="39.42578125" style="8" customWidth="1"/>
    <col min="3" max="3" width="14.5703125" style="8" customWidth="1"/>
    <col min="4" max="5" width="12.28515625" style="8" customWidth="1"/>
    <col min="6" max="6" width="16.5703125" style="8" customWidth="1"/>
    <col min="7" max="7" width="17.28515625" style="8" customWidth="1"/>
    <col min="8" max="8" width="18.140625" style="8" customWidth="1"/>
    <col min="9" max="12" width="11.42578125" style="8"/>
    <col min="13" max="13" width="18.42578125" style="8" customWidth="1"/>
    <col min="14" max="14" width="18.28515625" style="8" customWidth="1"/>
    <col min="15" max="15" width="20" style="8" customWidth="1"/>
    <col min="16" max="16" width="14.42578125" style="8" customWidth="1"/>
    <col min="17" max="17" width="18.85546875" style="8" customWidth="1"/>
    <col min="18" max="19" width="15.28515625" style="8" customWidth="1"/>
    <col min="20" max="24" width="11.42578125" style="8"/>
    <col min="25" max="25" width="23.140625" style="8" customWidth="1"/>
    <col min="26" max="16384" width="11.42578125" style="8"/>
  </cols>
  <sheetData>
    <row r="1" spans="1:25" ht="60" x14ac:dyDescent="0.25">
      <c r="A1" s="8" t="s">
        <v>0</v>
      </c>
      <c r="B1" s="8" t="s">
        <v>508</v>
      </c>
      <c r="C1" s="8" t="s">
        <v>509</v>
      </c>
      <c r="D1" s="8" t="s">
        <v>510</v>
      </c>
      <c r="E1" s="8" t="s">
        <v>511</v>
      </c>
      <c r="F1" s="8" t="s">
        <v>512</v>
      </c>
      <c r="G1" s="8" t="s">
        <v>666</v>
      </c>
      <c r="H1" s="8" t="s">
        <v>513</v>
      </c>
      <c r="I1" s="8" t="s">
        <v>514</v>
      </c>
      <c r="J1" s="8" t="s">
        <v>515</v>
      </c>
      <c r="K1" s="8" t="s">
        <v>541</v>
      </c>
      <c r="L1" s="8" t="s">
        <v>516</v>
      </c>
      <c r="M1" s="8" t="s">
        <v>517</v>
      </c>
      <c r="N1" s="8" t="s">
        <v>518</v>
      </c>
      <c r="O1" s="8" t="s">
        <v>519</v>
      </c>
      <c r="P1" s="8" t="s">
        <v>520</v>
      </c>
      <c r="Q1" s="8" t="s">
        <v>532</v>
      </c>
      <c r="R1" s="8" t="s">
        <v>533</v>
      </c>
      <c r="S1" s="8" t="s">
        <v>521</v>
      </c>
      <c r="T1" s="8" t="s">
        <v>522</v>
      </c>
      <c r="U1" s="8" t="s">
        <v>523</v>
      </c>
      <c r="V1" s="8" t="s">
        <v>673</v>
      </c>
      <c r="W1" s="8" t="s">
        <v>670</v>
      </c>
      <c r="X1" s="8" t="s">
        <v>910</v>
      </c>
      <c r="Y1" s="8" t="s">
        <v>672</v>
      </c>
    </row>
    <row r="2" spans="1:25" ht="39.950000000000003" customHeight="1" x14ac:dyDescent="0.25">
      <c r="A2" s="8" t="s">
        <v>350</v>
      </c>
      <c r="B2" s="8" t="str">
        <f>_xlfn.XLOOKUP(Primer_filtro[[#This Row],[Key]],Tabla_papers[Key],Tabla_papers[Title],"")</f>
        <v>Reducing the Cogging Torque Effects in Hybrid Stepper Machines by Means of Resonant Controllers</v>
      </c>
      <c r="C2" s="8" t="str">
        <f>_xlfn.XLOOKUP(Primer_filtro[[#This Row],[Key]],Tabla_papers[Key],Tabla_papers[Item Type],"")</f>
        <v>journalArticle</v>
      </c>
      <c r="D2" s="8" t="s">
        <v>536</v>
      </c>
      <c r="E2" s="8" t="s">
        <v>652</v>
      </c>
      <c r="F2" s="8" t="s">
        <v>530</v>
      </c>
      <c r="G2" s="8" t="s">
        <v>526</v>
      </c>
      <c r="J2" s="8">
        <v>6</v>
      </c>
      <c r="L2" s="8" t="s">
        <v>623</v>
      </c>
      <c r="M2" s="8" t="s">
        <v>653</v>
      </c>
      <c r="N2" s="8" t="s">
        <v>1055</v>
      </c>
      <c r="O2" s="8" t="s">
        <v>654</v>
      </c>
      <c r="P2" s="8" t="s">
        <v>623</v>
      </c>
      <c r="Q2" s="8" t="s">
        <v>655</v>
      </c>
      <c r="R2" s="8" t="s">
        <v>617</v>
      </c>
      <c r="S2" s="8" t="s">
        <v>656</v>
      </c>
      <c r="T2" s="8" t="s">
        <v>657</v>
      </c>
      <c r="U2" s="8">
        <v>5</v>
      </c>
      <c r="V2" s="8" t="s">
        <v>526</v>
      </c>
      <c r="W2" s="8" t="s">
        <v>526</v>
      </c>
      <c r="X2" s="8" t="s">
        <v>526</v>
      </c>
      <c r="Y2" s="8" t="s">
        <v>912</v>
      </c>
    </row>
    <row r="3" spans="1:25" ht="39.950000000000003" customHeight="1" x14ac:dyDescent="0.25">
      <c r="A3" s="8" t="s">
        <v>1094</v>
      </c>
      <c r="B3" s="8" t="str">
        <f>_xlfn.XLOOKUP(Primer_filtro[[#This Row],[Key]],Tabla_papers[Key],Tabla_papers[Title],"")</f>
        <v>Selective Periodic Disturbance Elimination Using Extended Harmonic State Observer for Smooth Speed Control in PMSM Drives</v>
      </c>
      <c r="C3" s="8" t="str">
        <f>_xlfn.XLOOKUP(Primer_filtro[[#This Row],[Key]],Tabla_papers[Key],Tabla_papers[Item Type],"")</f>
        <v>journalArticle</v>
      </c>
      <c r="D3" s="8" t="s">
        <v>524</v>
      </c>
      <c r="F3" s="8" t="s">
        <v>530</v>
      </c>
      <c r="H3" s="8" t="s">
        <v>1103</v>
      </c>
      <c r="I3" s="8" t="s">
        <v>1107</v>
      </c>
      <c r="M3" s="8" t="s">
        <v>1105</v>
      </c>
      <c r="N3" s="8" t="s">
        <v>1106</v>
      </c>
      <c r="P3" s="8" t="s">
        <v>526</v>
      </c>
      <c r="U3" s="8">
        <v>5</v>
      </c>
      <c r="V3" s="8" t="s">
        <v>526</v>
      </c>
      <c r="W3" s="8" t="s">
        <v>526</v>
      </c>
      <c r="X3" s="8" t="s">
        <v>526</v>
      </c>
      <c r="Y3" s="8" t="s">
        <v>1104</v>
      </c>
    </row>
    <row r="4" spans="1:25" ht="39.950000000000003" customHeight="1" x14ac:dyDescent="0.25">
      <c r="A4" s="8" t="s">
        <v>899</v>
      </c>
      <c r="B4" s="8" t="str">
        <f>_xlfn.XLOOKUP(Primer_filtro[[#This Row],[Key]],Tabla_papers[Key],Tabla_papers[Title],"")</f>
        <v>Control para máquinas de CA de imanes permanentes con FEM arbitraria, sin sensores mecánicos</v>
      </c>
      <c r="C4" s="8" t="str">
        <f>_xlfn.XLOOKUP(Primer_filtro[[#This Row],[Key]],Tabla_papers[Key],Tabla_papers[Item Type],"")</f>
        <v>thesis</v>
      </c>
      <c r="D4" s="8" t="s">
        <v>524</v>
      </c>
      <c r="E4" s="8" t="s">
        <v>961</v>
      </c>
      <c r="F4" s="8" t="s">
        <v>526</v>
      </c>
      <c r="G4" s="8" t="s">
        <v>526</v>
      </c>
      <c r="H4" s="8" t="s">
        <v>962</v>
      </c>
      <c r="I4" s="8" t="s">
        <v>963</v>
      </c>
      <c r="J4" s="8">
        <v>10</v>
      </c>
      <c r="R4" s="8" t="s">
        <v>526</v>
      </c>
      <c r="S4" s="8" t="s">
        <v>964</v>
      </c>
      <c r="U4" s="8">
        <v>5</v>
      </c>
      <c r="V4" s="8" t="s">
        <v>942</v>
      </c>
      <c r="W4" s="8" t="s">
        <v>526</v>
      </c>
      <c r="X4" s="8" t="s">
        <v>526</v>
      </c>
      <c r="Y4" s="8" t="s">
        <v>965</v>
      </c>
    </row>
    <row r="5" spans="1:25" ht="39.950000000000003" customHeight="1" x14ac:dyDescent="0.25">
      <c r="A5" s="8" t="s">
        <v>102</v>
      </c>
      <c r="B5" s="8" t="str">
        <f>_xlfn.XLOOKUP(Primer_filtro[[#This Row],[Key]],Tabla_papers[Key],Tabla_papers[Title],"")</f>
        <v>Modelling and Control of Stepper Motors for HighAccuracy Positioning Systems Used in RadioactiveEnvironments</v>
      </c>
      <c r="C5" s="8" t="s">
        <v>558</v>
      </c>
      <c r="D5" s="8" t="s">
        <v>536</v>
      </c>
      <c r="E5" s="8" t="s">
        <v>537</v>
      </c>
      <c r="F5" s="8" t="s">
        <v>526</v>
      </c>
      <c r="H5" s="8" t="s">
        <v>538</v>
      </c>
      <c r="I5" s="8" t="s">
        <v>539</v>
      </c>
      <c r="J5" s="8" t="s">
        <v>540</v>
      </c>
      <c r="K5" s="8" t="s">
        <v>540</v>
      </c>
      <c r="L5" s="8" t="s">
        <v>526</v>
      </c>
      <c r="M5" s="8" t="s">
        <v>542</v>
      </c>
      <c r="N5" s="8" t="s">
        <v>543</v>
      </c>
      <c r="O5" s="8" t="s">
        <v>544</v>
      </c>
      <c r="P5" s="8" t="s">
        <v>526</v>
      </c>
      <c r="Q5" s="8" t="s">
        <v>547</v>
      </c>
      <c r="R5" s="8" t="s">
        <v>526</v>
      </c>
      <c r="S5" s="8" t="s">
        <v>546</v>
      </c>
      <c r="T5" s="8" t="s">
        <v>548</v>
      </c>
      <c r="U5" s="8">
        <v>5</v>
      </c>
      <c r="V5" s="8" t="s">
        <v>530</v>
      </c>
      <c r="W5" s="8" t="s">
        <v>526</v>
      </c>
      <c r="X5" s="8" t="s">
        <v>526</v>
      </c>
      <c r="Y5" s="8" t="s">
        <v>911</v>
      </c>
    </row>
    <row r="6" spans="1:25" ht="39.950000000000003" customHeight="1" x14ac:dyDescent="0.25">
      <c r="A6" s="8" t="s">
        <v>1040</v>
      </c>
      <c r="B6" s="8" t="str">
        <f>_xlfn.XLOOKUP(Primer_filtro[[#This Row],[Key]],Tabla_papers[Key],Tabla_papers[Title],"")</f>
        <v>Proportional-integral-resonant control for the periodic disturbance minimization of the PMSM</v>
      </c>
      <c r="C6" s="8" t="str">
        <f>_xlfn.XLOOKUP(Primer_filtro[[#This Row],[Key]],Tabla_papers[Key],Tabla_papers[Item Type],"")</f>
        <v>journalArticle</v>
      </c>
      <c r="D6" s="8" t="s">
        <v>524</v>
      </c>
      <c r="E6" s="8" t="s">
        <v>1076</v>
      </c>
      <c r="F6" s="8" t="s">
        <v>530</v>
      </c>
      <c r="G6" s="8" t="s">
        <v>530</v>
      </c>
      <c r="J6" s="8">
        <v>750</v>
      </c>
      <c r="K6" s="8">
        <f>Primer_filtro[[#This Row],[Velocidad de operación en RPM]]/2500</f>
        <v>0.3</v>
      </c>
      <c r="L6" s="8" t="s">
        <v>526</v>
      </c>
      <c r="M6" s="8" t="s">
        <v>653</v>
      </c>
      <c r="N6" s="8" t="s">
        <v>1055</v>
      </c>
      <c r="O6" s="8" t="s">
        <v>1072</v>
      </c>
      <c r="P6" s="8" t="s">
        <v>526</v>
      </c>
      <c r="Q6" s="8" t="s">
        <v>1077</v>
      </c>
      <c r="R6" s="8" t="s">
        <v>617</v>
      </c>
      <c r="S6" s="8" t="s">
        <v>1078</v>
      </c>
      <c r="T6" s="8" t="s">
        <v>1079</v>
      </c>
      <c r="U6" s="8">
        <v>5</v>
      </c>
      <c r="V6" s="8" t="s">
        <v>526</v>
      </c>
      <c r="W6" s="8" t="s">
        <v>526</v>
      </c>
      <c r="X6" s="8" t="s">
        <v>530</v>
      </c>
      <c r="Y6" s="8" t="s">
        <v>1080</v>
      </c>
    </row>
    <row r="7" spans="1:25" ht="39.950000000000003" customHeight="1" x14ac:dyDescent="0.25">
      <c r="A7" s="8" t="s">
        <v>1183</v>
      </c>
      <c r="B7" s="8" t="str">
        <f>_xlfn.XLOOKUP(Primer_filtro[[#This Row],[Key]],Tabla_papers[Key],Tabla_papers[Title],"")</f>
        <v>Extended Kalman Filter Based Speed Sensorless PMSM Control with Load Reconstruction</v>
      </c>
      <c r="C7" s="8" t="str">
        <f>_xlfn.XLOOKUP(Primer_filtro[[#This Row],[Key]],Tabla_papers[Key],Tabla_papers[Item Type],"")</f>
        <v>journalArticle</v>
      </c>
      <c r="U7" s="8">
        <v>5</v>
      </c>
      <c r="V7" s="8" t="s">
        <v>526</v>
      </c>
      <c r="W7" s="8" t="s">
        <v>526</v>
      </c>
      <c r="X7" s="8" t="s">
        <v>530</v>
      </c>
      <c r="Y7" s="8" t="s">
        <v>1203</v>
      </c>
    </row>
    <row r="8" spans="1:25" ht="39.950000000000003" customHeight="1" x14ac:dyDescent="0.25">
      <c r="A8" s="8" t="s">
        <v>1188</v>
      </c>
      <c r="B8" s="8" t="str">
        <f>_xlfn.XLOOKUP(Primer_filtro[[#This Row],[Key]],Tabla_papers[Key],Tabla_papers[Title],"")</f>
        <v>Position sensorless extended and unscented Kalman filters with permanent magnet flux linkage and load torque estimation for surface-mounted PMSM</v>
      </c>
      <c r="C8" s="8" t="str">
        <f>_xlfn.XLOOKUP(Primer_filtro[[#This Row],[Key]],Tabla_papers[Key],Tabla_papers[Item Type],"")</f>
        <v>journalArticle</v>
      </c>
      <c r="U8" s="8">
        <v>5</v>
      </c>
      <c r="V8" s="8" t="s">
        <v>526</v>
      </c>
      <c r="W8" s="8" t="s">
        <v>526</v>
      </c>
      <c r="X8" s="8" t="s">
        <v>942</v>
      </c>
      <c r="Y8" s="8" t="s">
        <v>1205</v>
      </c>
    </row>
    <row r="9" spans="1:25" ht="39.950000000000003" customHeight="1" x14ac:dyDescent="0.25">
      <c r="A9" s="8" t="s">
        <v>1150</v>
      </c>
      <c r="B9" s="8" t="str">
        <f>_xlfn.XLOOKUP(Primer_filtro[[#This Row],[Key]],Tabla_papers[Key],Tabla_papers[Title],"")</f>
        <v>Rotor Position Estimation for Permanent Magnet Synchronous Machines using Electromotive Force and Anisotropy Using Extended-Kalman-Filter</v>
      </c>
      <c r="C9" s="8" t="str">
        <f>_xlfn.XLOOKUP(Primer_filtro[[#This Row],[Key]],Tabla_papers[Key],Tabla_papers[Item Type],"")</f>
        <v>journalArticle</v>
      </c>
      <c r="U9" s="8">
        <v>5</v>
      </c>
      <c r="V9" s="8" t="s">
        <v>526</v>
      </c>
      <c r="W9" s="8" t="s">
        <v>526</v>
      </c>
      <c r="X9" s="8" t="s">
        <v>530</v>
      </c>
      <c r="Y9" s="8" t="s">
        <v>1206</v>
      </c>
    </row>
    <row r="10" spans="1:25" ht="39.950000000000003" customHeight="1" x14ac:dyDescent="0.25">
      <c r="A10" s="8" t="s">
        <v>747</v>
      </c>
      <c r="B10" s="8" t="str">
        <f>_xlfn.XLOOKUP(Primer_filtro[[#This Row],[Key]],Tabla_papers[Key],Tabla_papers[Title],"")</f>
        <v>Load Torque and Permanent Magnet Flux Linkage Estimation of Surface-Mounted PMSM by Using Unscented Kalman Filter</v>
      </c>
      <c r="C10" s="8" t="str">
        <f>_xlfn.XLOOKUP(Primer_filtro[[#This Row],[Key]],Tabla_papers[Key],Tabla_papers[Item Type],"")</f>
        <v>conferencePaper</v>
      </c>
      <c r="D10" s="8" t="s">
        <v>524</v>
      </c>
      <c r="E10" s="8" t="s">
        <v>944</v>
      </c>
      <c r="F10" s="8" t="s">
        <v>526</v>
      </c>
      <c r="G10" s="8" t="s">
        <v>530</v>
      </c>
      <c r="H10" s="8" t="s">
        <v>945</v>
      </c>
      <c r="I10" s="8" t="s">
        <v>946</v>
      </c>
      <c r="J10" s="8">
        <v>1000</v>
      </c>
      <c r="L10" s="8" t="s">
        <v>530</v>
      </c>
      <c r="R10" s="8" t="s">
        <v>526</v>
      </c>
      <c r="T10" s="8" t="s">
        <v>947</v>
      </c>
      <c r="U10" s="8">
        <v>4</v>
      </c>
      <c r="V10" s="8" t="s">
        <v>526</v>
      </c>
      <c r="W10" s="8" t="s">
        <v>526</v>
      </c>
      <c r="X10" s="8" t="s">
        <v>942</v>
      </c>
      <c r="Y10" s="8" t="s">
        <v>943</v>
      </c>
    </row>
    <row r="11" spans="1:25" ht="39.950000000000003" customHeight="1" x14ac:dyDescent="0.25">
      <c r="A11" s="8" t="s">
        <v>737</v>
      </c>
      <c r="B11" s="8" t="str">
        <f>_xlfn.XLOOKUP(Primer_filtro[[#This Row],[Key]],Tabla_papers[Key],Tabla_papers[Title],"")</f>
        <v>Simultaneous State and Disturbances Estimation for Sensorless PMSM Control: Design and Experiments</v>
      </c>
      <c r="C11" s="8" t="str">
        <f>_xlfn.XLOOKUP(Primer_filtro[[#This Row],[Key]],Tabla_papers[Key],Tabla_papers[Item Type],"")</f>
        <v>journalArticle</v>
      </c>
      <c r="D11" s="8" t="s">
        <v>524</v>
      </c>
      <c r="E11" s="8" t="s">
        <v>948</v>
      </c>
      <c r="F11" s="8" t="s">
        <v>526</v>
      </c>
      <c r="G11" s="8" t="s">
        <v>530</v>
      </c>
      <c r="H11" s="8" t="s">
        <v>949</v>
      </c>
      <c r="I11" s="8" t="s">
        <v>950</v>
      </c>
      <c r="J11" s="8">
        <v>700</v>
      </c>
      <c r="K11" s="8">
        <f>400/1500</f>
        <v>0.26666666666666666</v>
      </c>
      <c r="L11" s="8" t="s">
        <v>530</v>
      </c>
      <c r="R11" s="8" t="s">
        <v>526</v>
      </c>
      <c r="U11" s="8">
        <v>4</v>
      </c>
      <c r="V11" s="8" t="s">
        <v>526</v>
      </c>
      <c r="W11" s="8" t="s">
        <v>526</v>
      </c>
      <c r="X11" s="8" t="s">
        <v>526</v>
      </c>
      <c r="Y11" s="8" t="s">
        <v>951</v>
      </c>
    </row>
    <row r="12" spans="1:25" ht="39.950000000000003" customHeight="1" x14ac:dyDescent="0.25">
      <c r="A12" s="8" t="s">
        <v>996</v>
      </c>
      <c r="B12" s="8" t="str">
        <f>_xlfn.XLOOKUP(Primer_filtro[[#This Row],[Key]],Tabla_papers[Key],Tabla_papers[Title],"")</f>
        <v>Suppression of Velocity Pulsations with Resonant Controllers in Sensorless Vector Control of Permanent Magnet Synchronous Motors</v>
      </c>
      <c r="C12" s="8" t="str">
        <f>_xlfn.XLOOKUP(Primer_filtro[[#This Row],[Key]],Tabla_papers[Key],Tabla_papers[Item Type],"")</f>
        <v>conferencePaper</v>
      </c>
      <c r="D12" s="8" t="s">
        <v>524</v>
      </c>
      <c r="E12" s="8" t="s">
        <v>1054</v>
      </c>
      <c r="F12" s="8" t="s">
        <v>526</v>
      </c>
      <c r="G12" s="8" t="s">
        <v>530</v>
      </c>
      <c r="H12" s="8" t="s">
        <v>1064</v>
      </c>
      <c r="J12" s="8">
        <v>850</v>
      </c>
      <c r="K12" s="8">
        <f>Primer_filtro[[#This Row],[Velocidad de operación en RPM]]/1750</f>
        <v>0.48571428571428571</v>
      </c>
      <c r="L12" s="8" t="s">
        <v>526</v>
      </c>
      <c r="M12" s="8" t="s">
        <v>554</v>
      </c>
      <c r="N12" s="8" t="s">
        <v>1055</v>
      </c>
      <c r="O12" s="8" t="s">
        <v>1056</v>
      </c>
      <c r="P12" s="8" t="s">
        <v>526</v>
      </c>
      <c r="Q12" s="8" t="s">
        <v>1057</v>
      </c>
      <c r="R12" s="8" t="s">
        <v>530</v>
      </c>
      <c r="S12" s="8" t="s">
        <v>1058</v>
      </c>
      <c r="T12" s="8" t="s">
        <v>1059</v>
      </c>
      <c r="U12" s="8">
        <v>4</v>
      </c>
      <c r="V12" s="8" t="s">
        <v>526</v>
      </c>
      <c r="W12" s="8" t="s">
        <v>526</v>
      </c>
      <c r="X12" s="8" t="s">
        <v>530</v>
      </c>
      <c r="Y12" s="8" t="s">
        <v>1055</v>
      </c>
    </row>
    <row r="13" spans="1:25" ht="39.950000000000003" customHeight="1" x14ac:dyDescent="0.25">
      <c r="A13" s="8" t="s">
        <v>880</v>
      </c>
      <c r="B13" s="8" t="str">
        <f>_xlfn.XLOOKUP(Primer_filtro[[#This Row],[Key]],Tabla_papers[Key],Tabla_papers[Title],"")</f>
        <v>Parameter Robustness Improvement of Hybrid Flux Observer for Low-Speed Sensorless Drive of PMSM</v>
      </c>
      <c r="C13" s="8" t="str">
        <f>_xlfn.XLOOKUP(Primer_filtro[[#This Row],[Key]],Tabla_papers[Key],Tabla_papers[Item Type],"")</f>
        <v>journalArticle</v>
      </c>
      <c r="D13" s="8" t="s">
        <v>524</v>
      </c>
      <c r="E13" s="8" t="s">
        <v>954</v>
      </c>
      <c r="F13" s="8" t="s">
        <v>526</v>
      </c>
      <c r="G13" s="8" t="s">
        <v>526</v>
      </c>
      <c r="H13" s="8" t="s">
        <v>643</v>
      </c>
      <c r="I13" s="8" t="s">
        <v>583</v>
      </c>
      <c r="L13" s="8" t="s">
        <v>530</v>
      </c>
      <c r="R13" s="8" t="s">
        <v>526</v>
      </c>
      <c r="S13" s="8" t="s">
        <v>955</v>
      </c>
      <c r="T13" s="8" t="s">
        <v>580</v>
      </c>
      <c r="U13" s="8">
        <v>4</v>
      </c>
      <c r="V13" s="8" t="s">
        <v>526</v>
      </c>
      <c r="W13" s="8" t="s">
        <v>526</v>
      </c>
      <c r="X13" s="8" t="s">
        <v>530</v>
      </c>
      <c r="Y13" s="8" t="s">
        <v>956</v>
      </c>
    </row>
    <row r="14" spans="1:25" ht="39.950000000000003" customHeight="1" x14ac:dyDescent="0.25">
      <c r="A14" s="8" t="s">
        <v>1028</v>
      </c>
      <c r="B14" s="8" t="str">
        <f>_xlfn.XLOOKUP(Primer_filtro[[#This Row],[Key]],Tabla_papers[Key],Tabla_papers[Title],"")</f>
        <v>Torque Ripple Minimization of PMSM Using Resonant Controller in Robot Applications</v>
      </c>
      <c r="C14" s="8" t="str">
        <f>_xlfn.XLOOKUP(Primer_filtro[[#This Row],[Key]],Tabla_papers[Key],Tabla_papers[Item Type],"")</f>
        <v>conferencePaper</v>
      </c>
      <c r="D14" s="8" t="s">
        <v>524</v>
      </c>
      <c r="E14" s="8" t="s">
        <v>1063</v>
      </c>
      <c r="F14" s="8" t="s">
        <v>530</v>
      </c>
      <c r="G14" s="8" t="s">
        <v>526</v>
      </c>
      <c r="J14" s="8">
        <v>10</v>
      </c>
      <c r="L14" s="8" t="s">
        <v>526</v>
      </c>
      <c r="M14" s="8" t="s">
        <v>653</v>
      </c>
      <c r="N14" s="8" t="s">
        <v>1055</v>
      </c>
      <c r="O14" s="8" t="s">
        <v>1072</v>
      </c>
      <c r="P14" s="8" t="s">
        <v>526</v>
      </c>
      <c r="Q14" s="8" t="s">
        <v>1073</v>
      </c>
      <c r="R14" s="8" t="s">
        <v>617</v>
      </c>
      <c r="S14" s="8" t="s">
        <v>656</v>
      </c>
      <c r="T14" s="8" t="s">
        <v>1074</v>
      </c>
      <c r="U14" s="8">
        <v>4</v>
      </c>
      <c r="V14" s="8" t="s">
        <v>526</v>
      </c>
      <c r="W14" s="8" t="s">
        <v>526</v>
      </c>
      <c r="X14" s="8" t="s">
        <v>530</v>
      </c>
      <c r="Y14" s="8" t="s">
        <v>1075</v>
      </c>
    </row>
    <row r="15" spans="1:25" ht="39.950000000000003" customHeight="1" x14ac:dyDescent="0.25">
      <c r="A15" s="8" t="s">
        <v>793</v>
      </c>
      <c r="B15" s="8" t="str">
        <f>_xlfn.XLOOKUP(Primer_filtro[[#This Row],[Key]],Tabla_papers[Key],Tabla_papers[Title],"")</f>
        <v>Position Sensorless Permanent Magnet Synchronous Machine Drives—A Review</v>
      </c>
      <c r="C15" s="8" t="str">
        <f>_xlfn.XLOOKUP(Primer_filtro[[#This Row],[Key]],Tabla_papers[Key],Tabla_papers[Item Type],"")</f>
        <v>journalArticle</v>
      </c>
      <c r="U15" s="8">
        <v>4</v>
      </c>
      <c r="V15" s="8" t="s">
        <v>530</v>
      </c>
      <c r="W15" s="8" t="s">
        <v>526</v>
      </c>
      <c r="X15" s="8" t="s">
        <v>530</v>
      </c>
      <c r="Y15" s="8" t="s">
        <v>966</v>
      </c>
    </row>
    <row r="16" spans="1:25" ht="39.950000000000003" customHeight="1" x14ac:dyDescent="0.25">
      <c r="A16" s="8" t="s">
        <v>889</v>
      </c>
      <c r="B16" s="8" t="str">
        <f>_xlfn.XLOOKUP(Primer_filtro[[#This Row],[Key]],Tabla_papers[Key],Tabla_papers[Title],"")</f>
        <v>Battery management systems</v>
      </c>
      <c r="C16" s="8" t="str">
        <f>_xlfn.XLOOKUP(Primer_filtro[[#This Row],[Key]],Tabla_papers[Key],Tabla_papers[Item Type],"")</f>
        <v>book</v>
      </c>
      <c r="U16" s="8">
        <v>4</v>
      </c>
      <c r="V16" s="8" t="s">
        <v>526</v>
      </c>
      <c r="W16" s="8" t="s">
        <v>530</v>
      </c>
      <c r="X16" s="8" t="s">
        <v>530</v>
      </c>
      <c r="Y16" s="8" t="s">
        <v>967</v>
      </c>
    </row>
    <row r="17" spans="1:25" ht="39.950000000000003" customHeight="1" x14ac:dyDescent="0.25">
      <c r="A17" s="8" t="s">
        <v>1017</v>
      </c>
      <c r="B17" s="8" t="str">
        <f>_xlfn.XLOOKUP(Primer_filtro[[#This Row],[Key]],Tabla_papers[Key],Tabla_papers[Title],"")</f>
        <v>Sensorless Control of Ultra-High-Speed PMSM via Improved PR and Adaptive Position Observer</v>
      </c>
      <c r="C17" s="8" t="str">
        <f>_xlfn.XLOOKUP(Primer_filtro[[#This Row],[Key]],Tabla_papers[Key],Tabla_papers[Item Type],"")</f>
        <v>journalArticle</v>
      </c>
      <c r="D17" s="8" t="s">
        <v>524</v>
      </c>
      <c r="E17" s="8" t="s">
        <v>1063</v>
      </c>
      <c r="F17" s="8" t="s">
        <v>526</v>
      </c>
      <c r="G17" s="8" t="s">
        <v>530</v>
      </c>
      <c r="H17" s="8" t="s">
        <v>1064</v>
      </c>
      <c r="I17" s="8" t="s">
        <v>1065</v>
      </c>
      <c r="J17" s="8">
        <f>Primer_filtro[[#This Row],[Velocidad de operación en p.u.]]*90000</f>
        <v>81000</v>
      </c>
      <c r="K17" s="8">
        <v>0.9</v>
      </c>
      <c r="L17" s="8" t="s">
        <v>530</v>
      </c>
      <c r="M17" s="8" t="s">
        <v>1066</v>
      </c>
      <c r="N17" s="8" t="s">
        <v>1067</v>
      </c>
      <c r="O17" s="8" t="s">
        <v>1068</v>
      </c>
      <c r="P17" s="8" t="s">
        <v>526</v>
      </c>
      <c r="Q17" s="8" t="s">
        <v>1069</v>
      </c>
      <c r="R17" s="8" t="s">
        <v>617</v>
      </c>
      <c r="T17" s="8" t="s">
        <v>1070</v>
      </c>
      <c r="U17" s="8">
        <v>4</v>
      </c>
      <c r="V17" s="8" t="s">
        <v>526</v>
      </c>
      <c r="W17" s="8" t="s">
        <v>526</v>
      </c>
      <c r="X17" s="8" t="s">
        <v>526</v>
      </c>
      <c r="Y17" s="8" t="s">
        <v>1071</v>
      </c>
    </row>
    <row r="18" spans="1:25" ht="39.950000000000003" customHeight="1" x14ac:dyDescent="0.25">
      <c r="A18" s="8" t="s">
        <v>1008</v>
      </c>
      <c r="B18" s="10" t="str">
        <f>_xlfn.XLOOKUP(Primer_filtro[[#This Row],[Key]],Tabla_papers[Key],Tabla_papers[Title],"")</f>
        <v>Speed and current harmonics reduction using an adaptive proportional integral resonant controller for PMSM based electric vehicle drives</v>
      </c>
      <c r="C18" s="8" t="str">
        <f>_xlfn.XLOOKUP(Primer_filtro[[#This Row],[Key]],Tabla_papers[Key],Tabla_papers[Item Type],"")</f>
        <v>journalArticle</v>
      </c>
      <c r="D18" s="8" t="s">
        <v>524</v>
      </c>
      <c r="E18" s="8" t="s">
        <v>1055</v>
      </c>
      <c r="F18" s="8" t="s">
        <v>530</v>
      </c>
      <c r="G18" s="8" t="s">
        <v>526</v>
      </c>
      <c r="J18" s="8">
        <v>300</v>
      </c>
      <c r="K18" s="8">
        <f>Primer_filtro[[#This Row],[Velocidad de operación en RPM]]/4000</f>
        <v>7.4999999999999997E-2</v>
      </c>
      <c r="L18" s="8" t="s">
        <v>526</v>
      </c>
      <c r="M18" s="8" t="s">
        <v>568</v>
      </c>
      <c r="N18" s="8" t="s">
        <v>1055</v>
      </c>
      <c r="O18" s="8" t="s">
        <v>1060</v>
      </c>
      <c r="P18" s="8" t="s">
        <v>526</v>
      </c>
      <c r="Q18" s="8" t="s">
        <v>1061</v>
      </c>
      <c r="R18" s="8" t="s">
        <v>617</v>
      </c>
      <c r="S18" s="8" t="s">
        <v>656</v>
      </c>
      <c r="T18" s="8" t="s">
        <v>1059</v>
      </c>
      <c r="U18" s="8">
        <v>4</v>
      </c>
      <c r="V18" s="8" t="s">
        <v>526</v>
      </c>
      <c r="W18" s="8" t="s">
        <v>526</v>
      </c>
      <c r="X18" s="8" t="s">
        <v>526</v>
      </c>
      <c r="Y18" s="8" t="s">
        <v>1062</v>
      </c>
    </row>
    <row r="19" spans="1:25" ht="39.950000000000003" customHeight="1" x14ac:dyDescent="0.25">
      <c r="A19" s="8" t="s">
        <v>465</v>
      </c>
      <c r="B19" s="8" t="str">
        <f>_xlfn.XLOOKUP(Primer_filtro[[#This Row],[Key]],Tabla_papers[Key],Tabla_papers[Title],"")</f>
        <v>Optimized Nonlinear High-Frequency Injection for Sensorless PMSM in Low-Speed Industrial Servo Systems</v>
      </c>
      <c r="C19" s="8" t="str">
        <f>_xlfn.XLOOKUP(Primer_filtro[[#This Row],[Key]],Tabla_papers[Key],Tabla_papers[Item Type],"")</f>
        <v>conferencePaper</v>
      </c>
      <c r="D19" s="8" t="s">
        <v>524</v>
      </c>
      <c r="E19" s="8" t="s">
        <v>525</v>
      </c>
      <c r="F19" s="8" t="s">
        <v>526</v>
      </c>
      <c r="H19" s="8" t="s">
        <v>527</v>
      </c>
      <c r="I19" s="8" t="s">
        <v>528</v>
      </c>
      <c r="J19" s="8">
        <v>2</v>
      </c>
      <c r="K19" s="8" t="s">
        <v>529</v>
      </c>
      <c r="L19" s="8" t="s">
        <v>530</v>
      </c>
      <c r="M19" s="8" t="s">
        <v>530</v>
      </c>
      <c r="N19" s="8" t="s">
        <v>530</v>
      </c>
      <c r="O19" s="8" t="s">
        <v>530</v>
      </c>
      <c r="P19" s="8" t="s">
        <v>530</v>
      </c>
      <c r="Q19" s="8" t="s">
        <v>531</v>
      </c>
      <c r="R19" s="8" t="s">
        <v>526</v>
      </c>
      <c r="S19" s="8" t="s">
        <v>535</v>
      </c>
      <c r="T19" s="8" t="s">
        <v>534</v>
      </c>
      <c r="U19" s="8">
        <v>4</v>
      </c>
      <c r="V19" s="8" t="s">
        <v>526</v>
      </c>
      <c r="W19" s="8" t="s">
        <v>526</v>
      </c>
      <c r="X19" s="8" t="s">
        <v>526</v>
      </c>
      <c r="Y19" s="8" t="s">
        <v>977</v>
      </c>
    </row>
    <row r="20" spans="1:25" ht="39.950000000000003" customHeight="1" x14ac:dyDescent="0.25">
      <c r="A20" s="8" t="s">
        <v>728</v>
      </c>
      <c r="B20" s="8" t="str">
        <f>_xlfn.XLOOKUP(Primer_filtro[[#This Row],[Key]],Tabla_papers[Key],Tabla_papers[Title],"")</f>
        <v>Discussion on “AC Drive Observability Analysis”</v>
      </c>
      <c r="C20" s="8" t="str">
        <f>_xlfn.XLOOKUP(Primer_filtro[[#This Row],[Key]],Tabla_papers[Key],Tabla_papers[Item Type],"")</f>
        <v>journalArticle</v>
      </c>
      <c r="U20" s="8">
        <v>4</v>
      </c>
      <c r="V20" s="8" t="s">
        <v>526</v>
      </c>
      <c r="W20" s="8" t="s">
        <v>530</v>
      </c>
      <c r="X20" s="8" t="s">
        <v>530</v>
      </c>
      <c r="Y20" s="8" t="s">
        <v>969</v>
      </c>
    </row>
    <row r="21" spans="1:25" ht="39.950000000000003" customHeight="1" x14ac:dyDescent="0.25">
      <c r="A21" s="8" t="s">
        <v>379</v>
      </c>
      <c r="B21" s="8" t="str">
        <f>_xlfn.XLOOKUP(Primer_filtro[[#This Row],[Key]],Tabla_papers[Key],Tabla_papers[Title],"")</f>
        <v>Speed Control of Low-Speed PMSM Based on improved Proportional-Resonant and Kalman Filter Strategy</v>
      </c>
      <c r="C21" s="8" t="str">
        <f>_xlfn.XLOOKUP(Primer_filtro[[#This Row],[Key]],Tabla_papers[Key],Tabla_papers[Item Type],"")</f>
        <v>conferencePaper</v>
      </c>
      <c r="D21" s="8" t="s">
        <v>524</v>
      </c>
      <c r="E21" s="8" t="s">
        <v>594</v>
      </c>
      <c r="F21" s="8" t="s">
        <v>530</v>
      </c>
      <c r="G21" s="8" t="s">
        <v>526</v>
      </c>
      <c r="H21" s="8" t="s">
        <v>538</v>
      </c>
      <c r="J21" s="8">
        <v>1</v>
      </c>
      <c r="L21" s="8" t="s">
        <v>526</v>
      </c>
      <c r="M21" s="8" t="s">
        <v>595</v>
      </c>
      <c r="N21" s="8" t="s">
        <v>596</v>
      </c>
      <c r="O21" s="8" t="s">
        <v>544</v>
      </c>
      <c r="P21" s="8" t="s">
        <v>526</v>
      </c>
      <c r="Q21" s="8" t="s">
        <v>597</v>
      </c>
      <c r="R21" s="8" t="s">
        <v>526</v>
      </c>
      <c r="S21" s="8" t="s">
        <v>598</v>
      </c>
      <c r="T21" s="8" t="s">
        <v>599</v>
      </c>
      <c r="U21" s="8">
        <v>4</v>
      </c>
      <c r="V21" s="8" t="s">
        <v>526</v>
      </c>
      <c r="W21" s="8" t="s">
        <v>526</v>
      </c>
      <c r="X21" s="8" t="s">
        <v>530</v>
      </c>
      <c r="Y21" s="8" t="s">
        <v>915</v>
      </c>
    </row>
    <row r="22" spans="1:25" ht="39.950000000000003" customHeight="1" x14ac:dyDescent="0.25">
      <c r="A22" s="8" t="s">
        <v>838</v>
      </c>
      <c r="B22" s="8" t="str">
        <f>_xlfn.XLOOKUP(Primer_filtro[[#This Row],[Key]],Tabla_papers[Key],Tabla_papers[Title],"")</f>
        <v>AC Drive Observability Analysis</v>
      </c>
      <c r="C22" s="8" t="str">
        <f>_xlfn.XLOOKUP(Primer_filtro[[#This Row],[Key]],Tabla_papers[Key],Tabla_papers[Item Type],"")</f>
        <v>journalArticle</v>
      </c>
      <c r="U22" s="8">
        <v>4</v>
      </c>
      <c r="V22" s="8" t="s">
        <v>526</v>
      </c>
      <c r="W22" s="8" t="s">
        <v>530</v>
      </c>
      <c r="X22" s="8" t="s">
        <v>530</v>
      </c>
      <c r="Y22" s="8" t="s">
        <v>972</v>
      </c>
    </row>
    <row r="23" spans="1:25" ht="39.950000000000003" customHeight="1" x14ac:dyDescent="0.25">
      <c r="A23" s="8" t="s">
        <v>1130</v>
      </c>
      <c r="B23" s="8" t="str">
        <f>_xlfn.XLOOKUP(Primer_filtro[[#This Row],[Key]],Tabla_papers[Key],Tabla_papers[Title],"")</f>
        <v>Extended kalman filter tuning in sensorless PMSM drives</v>
      </c>
      <c r="C23" s="8" t="str">
        <f>_xlfn.XLOOKUP(Primer_filtro[[#This Row],[Key]],Tabla_papers[Key],Tabla_papers[Item Type],"")</f>
        <v>journalArticle</v>
      </c>
      <c r="D23" s="8" t="s">
        <v>524</v>
      </c>
      <c r="E23" s="8" t="s">
        <v>1198</v>
      </c>
      <c r="S23" s="8" t="s">
        <v>1200</v>
      </c>
      <c r="T23" s="8" t="s">
        <v>1199</v>
      </c>
      <c r="U23" s="8">
        <v>4</v>
      </c>
      <c r="V23" s="8" t="s">
        <v>526</v>
      </c>
      <c r="W23" s="8" t="s">
        <v>530</v>
      </c>
      <c r="X23" s="8" t="s">
        <v>530</v>
      </c>
      <c r="Y23" s="8" t="s">
        <v>1198</v>
      </c>
    </row>
    <row r="24" spans="1:25" ht="39.950000000000003" customHeight="1" x14ac:dyDescent="0.25">
      <c r="A24" s="8" t="s">
        <v>1108</v>
      </c>
      <c r="B24" s="8" t="str">
        <f>_xlfn.XLOOKUP(Primer_filtro[[#This Row],[Key]],Tabla_papers[Key],Tabla_papers[Title],"")</f>
        <v>EKF-based sensorless IPM synchronous motor drive for flux-weakening applications</v>
      </c>
      <c r="C24" s="8" t="str">
        <f>_xlfn.XLOOKUP(Primer_filtro[[#This Row],[Key]],Tabla_papers[Key],Tabla_papers[Item Type],"")</f>
        <v>conferencePaper</v>
      </c>
      <c r="D24" s="8" t="s">
        <v>524</v>
      </c>
      <c r="E24" s="8" t="s">
        <v>1198</v>
      </c>
      <c r="T24" s="8" t="s">
        <v>1199</v>
      </c>
      <c r="U24" s="8">
        <v>4</v>
      </c>
      <c r="V24" s="8" t="s">
        <v>526</v>
      </c>
      <c r="W24" s="8" t="s">
        <v>530</v>
      </c>
      <c r="X24" s="8" t="s">
        <v>530</v>
      </c>
      <c r="Y24" s="8" t="s">
        <v>1198</v>
      </c>
    </row>
    <row r="25" spans="1:25" ht="39.950000000000003" customHeight="1" x14ac:dyDescent="0.25">
      <c r="A25" s="8" t="s">
        <v>1171</v>
      </c>
      <c r="B25" s="8" t="str">
        <f>_xlfn.XLOOKUP(Primer_filtro[[#This Row],[Key]],Tabla_papers[Key],Tabla_papers[Title],"")</f>
        <v>A learning approach to precision speed control of servomotors and its application to a VCR</v>
      </c>
      <c r="C25" s="8" t="str">
        <f>_xlfn.XLOOKUP(Primer_filtro[[#This Row],[Key]],Tabla_papers[Key],Tabla_papers[Item Type],"")</f>
        <v>journalArticle</v>
      </c>
      <c r="U25" s="8">
        <v>4</v>
      </c>
      <c r="V25" s="8" t="s">
        <v>530</v>
      </c>
      <c r="W25" s="8" t="s">
        <v>526</v>
      </c>
      <c r="X25" s="8" t="s">
        <v>530</v>
      </c>
      <c r="Y25" s="8" t="s">
        <v>1202</v>
      </c>
    </row>
    <row r="26" spans="1:25" ht="39.950000000000003" customHeight="1" x14ac:dyDescent="0.25">
      <c r="A26" s="8" t="s">
        <v>1120</v>
      </c>
      <c r="B26" s="8" t="str">
        <f>_xlfn.XLOOKUP(Primer_filtro[[#This Row],[Key]],Tabla_papers[Key],Tabla_papers[Title],"")</f>
        <v>Disturbance-Observer-Based Control and Related Methods—An Overview</v>
      </c>
      <c r="C26" s="8" t="str">
        <f>_xlfn.XLOOKUP(Primer_filtro[[#This Row],[Key]],Tabla_papers[Key],Tabla_papers[Item Type],"")</f>
        <v>journalArticle</v>
      </c>
      <c r="D26" s="8" t="s">
        <v>524</v>
      </c>
      <c r="E26" s="8" t="s">
        <v>1201</v>
      </c>
      <c r="U26" s="8">
        <v>4</v>
      </c>
      <c r="V26" s="8" t="s">
        <v>530</v>
      </c>
      <c r="W26" s="8" t="s">
        <v>526</v>
      </c>
      <c r="X26" s="8" t="s">
        <v>530</v>
      </c>
      <c r="Y26" s="8" t="s">
        <v>1201</v>
      </c>
    </row>
    <row r="27" spans="1:25" ht="39.950000000000003" customHeight="1" x14ac:dyDescent="0.25">
      <c r="A27" s="8" t="s">
        <v>1162</v>
      </c>
      <c r="B27" s="8" t="str">
        <f>_xlfn.XLOOKUP(Primer_filtro[[#This Row],[Key]],Tabla_papers[Key],Tabla_papers[Title],"")</f>
        <v>Design and implementation of an adaptive controller for torque ripple minimization in PM synchronous motors</v>
      </c>
      <c r="C27" s="8" t="str">
        <f>_xlfn.XLOOKUP(Primer_filtro[[#This Row],[Key]],Tabla_papers[Key],Tabla_papers[Item Type],"")</f>
        <v>journalArticle</v>
      </c>
      <c r="U27" s="8">
        <v>4</v>
      </c>
      <c r="V27" s="8" t="s">
        <v>526</v>
      </c>
      <c r="W27" s="8" t="s">
        <v>526</v>
      </c>
      <c r="X27" s="8" t="s">
        <v>530</v>
      </c>
      <c r="Y27" s="8" t="s">
        <v>1204</v>
      </c>
    </row>
    <row r="28" spans="1:25" ht="39.950000000000003" customHeight="1" x14ac:dyDescent="0.25">
      <c r="A28" s="8" t="s">
        <v>318</v>
      </c>
      <c r="B28" s="8" t="str">
        <f>_xlfn.XLOOKUP(Primer_filtro[[#This Row],[Key]],Tabla_papers[Key],Tabla_papers[Title],"")</f>
        <v>Model Predictive Torque Control for Torque Ripple Compensation in Variable-Speed PMSMs</v>
      </c>
      <c r="C28" s="8" t="str">
        <f>_xlfn.XLOOKUP(Primer_filtro[[#This Row],[Key]],Tabla_papers[Key],Tabla_papers[Item Type],"")</f>
        <v>journalArticle</v>
      </c>
      <c r="D28" s="8" t="s">
        <v>524</v>
      </c>
      <c r="E28" s="8" t="s">
        <v>637</v>
      </c>
      <c r="F28" s="8" t="s">
        <v>530</v>
      </c>
      <c r="J28" s="8">
        <v>30</v>
      </c>
      <c r="L28" s="8" t="s">
        <v>526</v>
      </c>
      <c r="U28" s="8">
        <v>3</v>
      </c>
      <c r="V28" s="8" t="s">
        <v>530</v>
      </c>
      <c r="W28" s="8" t="s">
        <v>623</v>
      </c>
      <c r="X28" s="8" t="s">
        <v>530</v>
      </c>
      <c r="Y28" s="8" t="s">
        <v>940</v>
      </c>
    </row>
    <row r="29" spans="1:25" ht="39.950000000000003" customHeight="1" x14ac:dyDescent="0.25">
      <c r="A29" s="8" t="s">
        <v>160</v>
      </c>
      <c r="B29" s="8" t="str">
        <f>_xlfn.XLOOKUP(Primer_filtro[[#This Row],[Key]],Tabla_papers[Key],Tabla_papers[Title],"")</f>
        <v>Predicting and Improving the Behaviour of Stepping Motors</v>
      </c>
      <c r="C29" s="8" t="s">
        <v>662</v>
      </c>
      <c r="D29" s="8" t="s">
        <v>536</v>
      </c>
      <c r="T29" s="8" t="s">
        <v>663</v>
      </c>
      <c r="U29" s="8">
        <v>3</v>
      </c>
      <c r="V29" s="8" t="s">
        <v>526</v>
      </c>
      <c r="W29" s="8" t="s">
        <v>530</v>
      </c>
      <c r="X29" s="8" t="s">
        <v>526</v>
      </c>
      <c r="Y29" s="8" t="s">
        <v>913</v>
      </c>
    </row>
    <row r="30" spans="1:25" ht="39.950000000000003" customHeight="1" x14ac:dyDescent="0.25">
      <c r="A30" s="8" t="s">
        <v>782</v>
      </c>
      <c r="B30" s="8" t="str">
        <f>_xlfn.XLOOKUP(Primer_filtro[[#This Row],[Key]],Tabla_papers[Key],Tabla_papers[Title],"")</f>
        <v>Permanent magnet synchronous drives observability analysis for motion-sensorless control</v>
      </c>
      <c r="C30" s="8" t="str">
        <f>_xlfn.XLOOKUP(Primer_filtro[[#This Row],[Key]],Tabla_papers[Key],Tabla_papers[Item Type],"")</f>
        <v>conferencePaper</v>
      </c>
      <c r="U30" s="8">
        <v>3</v>
      </c>
      <c r="V30" s="8" t="s">
        <v>526</v>
      </c>
      <c r="W30" s="8" t="s">
        <v>530</v>
      </c>
      <c r="X30" s="8" t="s">
        <v>530</v>
      </c>
      <c r="Y30" s="8" t="s">
        <v>958</v>
      </c>
    </row>
    <row r="31" spans="1:25" ht="39.950000000000003" customHeight="1" x14ac:dyDescent="0.25">
      <c r="A31" s="8" t="s">
        <v>189</v>
      </c>
      <c r="B31" s="8" t="str">
        <f>_xlfn.XLOOKUP(Primer_filtro[[#This Row],[Key]],Tabla_papers[Key],Tabla_papers[Title],"")</f>
        <v>PLL Position and Speed Observer With Integrated Current Observer for Sensorless PMSM Drives</v>
      </c>
      <c r="C31" s="8" t="str">
        <f>_xlfn.XLOOKUP(Primer_filtro[[#This Row],[Key]],Tabla_papers[Key],Tabla_papers[Item Type],"")</f>
        <v>journalArticle</v>
      </c>
      <c r="D31" s="8" t="s">
        <v>524</v>
      </c>
      <c r="E31" s="8" t="s">
        <v>550</v>
      </c>
      <c r="F31" s="8" t="s">
        <v>526</v>
      </c>
      <c r="G31" s="8" t="s">
        <v>526</v>
      </c>
      <c r="H31" s="8" t="s">
        <v>551</v>
      </c>
      <c r="I31" s="8" t="s">
        <v>552</v>
      </c>
      <c r="J31" s="8">
        <v>15</v>
      </c>
      <c r="K31" s="8" t="s">
        <v>553</v>
      </c>
      <c r="L31" s="8" t="s">
        <v>526</v>
      </c>
      <c r="M31" s="8" t="s">
        <v>554</v>
      </c>
      <c r="N31" s="8" t="s">
        <v>530</v>
      </c>
      <c r="O31" s="8" t="s">
        <v>530</v>
      </c>
      <c r="P31" s="8" t="s">
        <v>530</v>
      </c>
      <c r="Q31" s="9">
        <v>0.33</v>
      </c>
      <c r="R31" s="8" t="s">
        <v>526</v>
      </c>
      <c r="S31" s="8" t="s">
        <v>555</v>
      </c>
      <c r="T31" s="8" t="s">
        <v>556</v>
      </c>
      <c r="U31" s="8">
        <v>3</v>
      </c>
      <c r="V31" s="8" t="s">
        <v>526</v>
      </c>
      <c r="W31" s="8" t="s">
        <v>526</v>
      </c>
      <c r="X31" s="8" t="s">
        <v>526</v>
      </c>
      <c r="Y31" s="8" t="s">
        <v>914</v>
      </c>
    </row>
    <row r="32" spans="1:25" ht="39.950000000000003" customHeight="1" x14ac:dyDescent="0.25">
      <c r="B32" s="8" t="s">
        <v>658</v>
      </c>
      <c r="C32" s="8" t="s">
        <v>659</v>
      </c>
      <c r="D32" s="8" t="s">
        <v>524</v>
      </c>
      <c r="E32" s="8" t="s">
        <v>618</v>
      </c>
      <c r="F32" s="8" t="s">
        <v>623</v>
      </c>
      <c r="H32" s="8" t="s">
        <v>660</v>
      </c>
      <c r="I32" s="8" t="s">
        <v>583</v>
      </c>
      <c r="L32" s="8" t="s">
        <v>530</v>
      </c>
      <c r="T32" s="8" t="s">
        <v>661</v>
      </c>
      <c r="U32" s="8">
        <v>3</v>
      </c>
      <c r="V32" s="8" t="s">
        <v>526</v>
      </c>
      <c r="W32" s="8" t="s">
        <v>530</v>
      </c>
      <c r="X32" s="8" t="s">
        <v>526</v>
      </c>
      <c r="Y32" s="8" t="s">
        <v>916</v>
      </c>
    </row>
    <row r="33" spans="1:25" ht="39.950000000000003" customHeight="1" x14ac:dyDescent="0.25">
      <c r="A33" s="8" t="s">
        <v>112</v>
      </c>
      <c r="B33" s="8" t="str">
        <f>_xlfn.XLOOKUP(Primer_filtro[[#This Row],[Key]],Tabla_papers[Key],Tabla_papers[Title],"")</f>
        <v>Speed Ripple Reduction of Direct-Drive PMSM Servo System at Low-Speed Operation Using Virtual Cogging Torque Control Method</v>
      </c>
      <c r="C33" s="8" t="s">
        <v>88</v>
      </c>
      <c r="D33" s="8" t="s">
        <v>524</v>
      </c>
      <c r="E33" s="8" t="s">
        <v>574</v>
      </c>
      <c r="F33" s="8" t="s">
        <v>530</v>
      </c>
      <c r="J33" s="8">
        <v>1</v>
      </c>
      <c r="L33" s="8" t="s">
        <v>526</v>
      </c>
      <c r="M33" s="8" t="s">
        <v>542</v>
      </c>
      <c r="N33" s="8" t="s">
        <v>576</v>
      </c>
      <c r="O33" s="8" t="s">
        <v>544</v>
      </c>
      <c r="P33" s="8" t="s">
        <v>526</v>
      </c>
      <c r="R33" s="8" t="s">
        <v>526</v>
      </c>
      <c r="S33" s="8" t="s">
        <v>577</v>
      </c>
      <c r="T33" s="8" t="s">
        <v>671</v>
      </c>
      <c r="U33" s="8">
        <v>2</v>
      </c>
      <c r="V33" s="8" t="s">
        <v>530</v>
      </c>
      <c r="W33" s="8" t="s">
        <v>526</v>
      </c>
      <c r="X33" s="8" t="s">
        <v>530</v>
      </c>
      <c r="Y33" s="8" t="s">
        <v>917</v>
      </c>
    </row>
    <row r="34" spans="1:25" ht="39.950000000000003" customHeight="1" x14ac:dyDescent="0.25">
      <c r="A34" s="8" t="s">
        <v>759</v>
      </c>
      <c r="B34" s="8" t="str">
        <f>_xlfn.XLOOKUP(Primer_filtro[[#This Row],[Key]],Tabla_papers[Key],Tabla_papers[Title],"")</f>
        <v>Local weak observability conditions of sensorless AC drives</v>
      </c>
      <c r="C34" s="8" t="str">
        <f>_xlfn.XLOOKUP(Primer_filtro[[#This Row],[Key]],Tabla_papers[Key],Tabla_papers[Item Type],"")</f>
        <v>conferencePaper</v>
      </c>
      <c r="U34" s="8">
        <v>2</v>
      </c>
      <c r="V34" s="8" t="s">
        <v>526</v>
      </c>
      <c r="W34" s="8" t="s">
        <v>530</v>
      </c>
      <c r="X34" s="8" t="s">
        <v>530</v>
      </c>
      <c r="Y34" s="8" t="s">
        <v>957</v>
      </c>
    </row>
    <row r="35" spans="1:25" ht="39.950000000000003" customHeight="1" x14ac:dyDescent="0.25">
      <c r="A35" s="8" t="s">
        <v>485</v>
      </c>
      <c r="B35" s="8" t="str">
        <f>_xlfn.XLOOKUP(Primer_filtro[[#This Row],[Key]],Tabla_papers[Key],Tabla_papers[Title],"")</f>
        <v>A novel PMSM hybrid sensorless control strategy for EV applications based on PLL and HFI</v>
      </c>
      <c r="C35" s="8" t="str">
        <f>_xlfn.XLOOKUP(Primer_filtro[[#This Row],[Key]],Tabla_papers[Key],Tabla_papers[Item Type],"")</f>
        <v>conferencePaper</v>
      </c>
      <c r="D35" s="8" t="s">
        <v>524</v>
      </c>
      <c r="E35" s="8" t="s">
        <v>618</v>
      </c>
      <c r="F35" s="8" t="s">
        <v>526</v>
      </c>
      <c r="H35" s="8" t="s">
        <v>619</v>
      </c>
      <c r="I35" s="8" t="s">
        <v>620</v>
      </c>
      <c r="L35" s="8" t="s">
        <v>530</v>
      </c>
      <c r="R35" s="8" t="s">
        <v>554</v>
      </c>
      <c r="S35" s="8" t="s">
        <v>621</v>
      </c>
      <c r="T35" s="8" t="s">
        <v>549</v>
      </c>
      <c r="U35" s="8">
        <v>2</v>
      </c>
      <c r="V35" s="8" t="s">
        <v>530</v>
      </c>
      <c r="W35" s="8" t="s">
        <v>526</v>
      </c>
      <c r="X35" s="8" t="s">
        <v>530</v>
      </c>
      <c r="Y35" s="8" t="s">
        <v>925</v>
      </c>
    </row>
    <row r="36" spans="1:25" ht="39.950000000000003" customHeight="1" x14ac:dyDescent="0.25">
      <c r="A36" s="8" t="s">
        <v>715</v>
      </c>
      <c r="B36" s="8" t="str">
        <f>_xlfn.XLOOKUP(Primer_filtro[[#This Row],[Key]],Tabla_papers[Key],Tabla_papers[Title],"")</f>
        <v>IMPACT OF SALIENCY RATIO VARIATION ON TORQUE PERFORMANCE IN INTERIOR PERMANENT MAGNET SYNCHRONOUS MOTOR</v>
      </c>
      <c r="C36" s="8" t="str">
        <f>_xlfn.XLOOKUP(Primer_filtro[[#This Row],[Key]],Tabla_papers[Key],Tabla_papers[Item Type],"")</f>
        <v>journalArticle</v>
      </c>
      <c r="U36" s="8">
        <v>2</v>
      </c>
      <c r="V36" s="8" t="s">
        <v>526</v>
      </c>
      <c r="W36" s="8" t="s">
        <v>530</v>
      </c>
      <c r="X36" s="8" t="s">
        <v>530</v>
      </c>
      <c r="Y36" s="8" t="s">
        <v>959</v>
      </c>
    </row>
    <row r="37" spans="1:25" ht="39.950000000000003" customHeight="1" x14ac:dyDescent="0.25">
      <c r="A37" s="8" t="s">
        <v>476</v>
      </c>
      <c r="B37" s="8" t="str">
        <f>_xlfn.XLOOKUP(Primer_filtro[[#This Row],[Key]],Tabla_papers[Key],Tabla_papers[Title],"")</f>
        <v>A Hybrid Approach for an Efficient Estimation and Control of Permanent Magnet Synchronous Motor with Fast Dynamics and Practically Unavailable Measurements</v>
      </c>
      <c r="C37" s="8" t="str">
        <f>_xlfn.XLOOKUP(Primer_filtro[[#This Row],[Key]],Tabla_papers[Key],Tabla_papers[Item Type],"")</f>
        <v>journalArticle</v>
      </c>
      <c r="D37" s="8" t="s">
        <v>524</v>
      </c>
      <c r="E37" s="8" t="s">
        <v>622</v>
      </c>
      <c r="F37" s="8" t="s">
        <v>623</v>
      </c>
      <c r="H37" s="8" t="s">
        <v>622</v>
      </c>
      <c r="I37" s="8" t="s">
        <v>624</v>
      </c>
      <c r="T37" s="8" t="s">
        <v>625</v>
      </c>
      <c r="U37" s="8">
        <v>2</v>
      </c>
      <c r="V37" s="8" t="s">
        <v>530</v>
      </c>
      <c r="W37" s="8" t="s">
        <v>530</v>
      </c>
      <c r="X37" s="8" t="s">
        <v>526</v>
      </c>
      <c r="Y37" s="8" t="s">
        <v>924</v>
      </c>
    </row>
    <row r="38" spans="1:25" ht="39.950000000000003" customHeight="1" x14ac:dyDescent="0.25">
      <c r="A38" s="8" t="s">
        <v>1092</v>
      </c>
      <c r="B38" s="8" t="str">
        <f>_xlfn.XLOOKUP(Primer_filtro[[#This Row],[Key]],Tabla_papers[Key],Tabla_papers[Title],"")</f>
        <v>Design and Implementation of Position-Based Repetitive Control Torque Observer for Cogging Torque Compensation in PMSM</v>
      </c>
      <c r="C38" s="8" t="str">
        <f>_xlfn.XLOOKUP(Primer_filtro[[#This Row],[Key]],Tabla_papers[Key],Tabla_papers[Item Type],"")</f>
        <v>journalArticle</v>
      </c>
      <c r="D38" s="8" t="s">
        <v>524</v>
      </c>
      <c r="F38" s="8" t="s">
        <v>530</v>
      </c>
      <c r="H38" s="8" t="s">
        <v>643</v>
      </c>
      <c r="L38" s="8" t="s">
        <v>526</v>
      </c>
      <c r="M38" s="8" t="s">
        <v>571</v>
      </c>
      <c r="P38" s="8" t="s">
        <v>530</v>
      </c>
      <c r="U38" s="8">
        <v>2</v>
      </c>
      <c r="V38" s="8" t="s">
        <v>530</v>
      </c>
      <c r="W38" s="8" t="s">
        <v>526</v>
      </c>
      <c r="X38" s="8" t="s">
        <v>530</v>
      </c>
    </row>
    <row r="39" spans="1:25" ht="39.950000000000003" customHeight="1" x14ac:dyDescent="0.25">
      <c r="A39" s="8" t="s">
        <v>423</v>
      </c>
      <c r="B39" s="8" t="str">
        <f>_xlfn.XLOOKUP(Primer_filtro[[#This Row],[Key]],Tabla_papers[Key],Tabla_papers[Title],"")</f>
        <v>Observability analysis and EKF-based sensorless control of permanent magnet synchronous machine</v>
      </c>
      <c r="C39" s="8" t="str">
        <f>_xlfn.XLOOKUP(Primer_filtro[[#This Row],[Key]],Tabla_papers[Key],Tabla_papers[Item Type],"")</f>
        <v>conferencePaper</v>
      </c>
      <c r="D39" s="8" t="s">
        <v>524</v>
      </c>
      <c r="E39" s="8" t="s">
        <v>578</v>
      </c>
      <c r="F39" s="8" t="s">
        <v>526</v>
      </c>
      <c r="H39" s="8" t="s">
        <v>579</v>
      </c>
      <c r="I39" s="8" t="s">
        <v>528</v>
      </c>
      <c r="J39" s="8">
        <v>250</v>
      </c>
      <c r="L39" s="8" t="s">
        <v>530</v>
      </c>
      <c r="R39" s="8" t="s">
        <v>526</v>
      </c>
      <c r="T39" s="8" t="s">
        <v>580</v>
      </c>
      <c r="U39" s="8">
        <v>2</v>
      </c>
      <c r="V39" s="8" t="s">
        <v>526</v>
      </c>
      <c r="W39" s="8" t="s">
        <v>530</v>
      </c>
      <c r="X39" s="8" t="s">
        <v>530</v>
      </c>
      <c r="Y39" s="8" t="s">
        <v>922</v>
      </c>
    </row>
    <row r="40" spans="1:25" ht="39.950000000000003" customHeight="1" x14ac:dyDescent="0.25">
      <c r="A40" s="8" t="s">
        <v>262</v>
      </c>
      <c r="B40" s="8" t="str">
        <f>_xlfn.XLOOKUP(Primer_filtro[[#This Row],[Key]],Tabla_papers[Key],Tabla_papers[Title],"")</f>
        <v>Sensorless load angle control for two-phase hybrid stepper motors</v>
      </c>
      <c r="C40" s="8" t="str">
        <f>_xlfn.XLOOKUP(Primer_filtro[[#This Row],[Key]],Tabla_papers[Key],Tabla_papers[Item Type],"")</f>
        <v>journalArticle</v>
      </c>
      <c r="D40" s="8" t="s">
        <v>536</v>
      </c>
      <c r="E40" s="8" t="s">
        <v>646</v>
      </c>
      <c r="F40" s="8" t="s">
        <v>526</v>
      </c>
      <c r="H40" s="8" t="s">
        <v>647</v>
      </c>
      <c r="I40" s="8" t="s">
        <v>648</v>
      </c>
      <c r="J40" s="8">
        <v>75</v>
      </c>
      <c r="L40" s="8" t="s">
        <v>562</v>
      </c>
      <c r="R40" s="8" t="s">
        <v>649</v>
      </c>
      <c r="S40" s="8" t="s">
        <v>650</v>
      </c>
      <c r="T40" s="8" t="s">
        <v>651</v>
      </c>
      <c r="U40" s="8">
        <v>2</v>
      </c>
      <c r="V40" s="8" t="s">
        <v>526</v>
      </c>
      <c r="W40" s="8" t="s">
        <v>526</v>
      </c>
      <c r="X40" s="8" t="s">
        <v>530</v>
      </c>
      <c r="Y40" s="8" t="s">
        <v>919</v>
      </c>
    </row>
    <row r="41" spans="1:25" ht="39.950000000000003" customHeight="1" x14ac:dyDescent="0.25">
      <c r="A41" s="8" t="s">
        <v>304</v>
      </c>
      <c r="B41" s="8" t="str">
        <f>_xlfn.XLOOKUP(Primer_filtro[[#This Row],[Key]],Tabla_papers[Key],Tabla_papers[Title],"")</f>
        <v>Load disturbance observer‐based control method for sensorless PMSM drive</v>
      </c>
      <c r="C41" s="8" t="str">
        <f>_xlfn.XLOOKUP(Primer_filtro[[#This Row],[Key]],Tabla_papers[Key],Tabla_papers[Item Type],"")</f>
        <v>journalArticle</v>
      </c>
      <c r="D41" s="8" t="s">
        <v>524</v>
      </c>
      <c r="E41" s="8" t="s">
        <v>591</v>
      </c>
      <c r="F41" s="8" t="s">
        <v>526</v>
      </c>
      <c r="G41" s="8" t="s">
        <v>526</v>
      </c>
      <c r="H41" s="8" t="s">
        <v>593</v>
      </c>
      <c r="I41" s="8" t="s">
        <v>592</v>
      </c>
      <c r="J41" s="8">
        <v>250</v>
      </c>
      <c r="K41" s="8">
        <f>250/2500</f>
        <v>0.1</v>
      </c>
      <c r="L41" s="8" t="s">
        <v>530</v>
      </c>
      <c r="R41" s="8" t="s">
        <v>526</v>
      </c>
      <c r="S41" s="8" t="s">
        <v>535</v>
      </c>
      <c r="U41" s="8">
        <v>2</v>
      </c>
      <c r="V41" s="8" t="s">
        <v>526</v>
      </c>
      <c r="W41" s="8" t="s">
        <v>526</v>
      </c>
      <c r="X41" s="8" t="s">
        <v>530</v>
      </c>
      <c r="Y41" s="8" t="s">
        <v>921</v>
      </c>
    </row>
    <row r="42" spans="1:25" ht="39.950000000000003" customHeight="1" x14ac:dyDescent="0.25">
      <c r="A42" s="8" t="s">
        <v>1083</v>
      </c>
      <c r="B42" s="8" t="str">
        <f>_xlfn.XLOOKUP(Primer_filtro[[#This Row],[Key]],Tabla_papers[Key],Tabla_papers[Title],"")</f>
        <v>Observer-Based Rejection of Cogging Torque Disturbance for Permanent Magnet Motors</v>
      </c>
      <c r="C42" s="8" t="str">
        <f>_xlfn.XLOOKUP(Primer_filtro[[#This Row],[Key]],Tabla_papers[Key],Tabla_papers[Item Type],"")</f>
        <v>journalArticle</v>
      </c>
      <c r="D42" s="8" t="s">
        <v>974</v>
      </c>
      <c r="F42" s="8" t="s">
        <v>530</v>
      </c>
      <c r="H42" s="8" t="s">
        <v>643</v>
      </c>
      <c r="I42" s="8" t="s">
        <v>1107</v>
      </c>
      <c r="U42" s="8">
        <v>2</v>
      </c>
      <c r="V42" s="8" t="s">
        <v>530</v>
      </c>
      <c r="W42" s="8" t="s">
        <v>526</v>
      </c>
      <c r="X42" s="8" t="s">
        <v>530</v>
      </c>
    </row>
    <row r="43" spans="1:25" ht="90" x14ac:dyDescent="0.25">
      <c r="A43" s="8" t="s">
        <v>457</v>
      </c>
      <c r="B43" s="8" t="str">
        <f>_xlfn.XLOOKUP(Primer_filtro[[#This Row],[Key]],Tabla_papers[Key],Tabla_papers[Title],"")</f>
        <v>Zero Speed Sensorless Scheme for PMSM Drives Using Virtual Flux Signal Injection Based Hybrid Active Flux Observer</v>
      </c>
      <c r="C43" s="8" t="str">
        <f>_xlfn.XLOOKUP(Primer_filtro[[#This Row],[Key]],Tabla_papers[Key],Tabla_papers[Item Type],"")</f>
        <v>journalArticle</v>
      </c>
      <c r="D43" s="8" t="s">
        <v>524</v>
      </c>
      <c r="E43" s="8" t="s">
        <v>607</v>
      </c>
      <c r="F43" s="8" t="s">
        <v>526</v>
      </c>
      <c r="H43" s="8" t="s">
        <v>608</v>
      </c>
      <c r="I43" s="8" t="s">
        <v>609</v>
      </c>
      <c r="J43" s="8" t="s">
        <v>610</v>
      </c>
      <c r="L43" s="8" t="s">
        <v>530</v>
      </c>
      <c r="R43" s="8" t="s">
        <v>617</v>
      </c>
      <c r="S43" s="8" t="s">
        <v>612</v>
      </c>
      <c r="T43" s="8" t="s">
        <v>613</v>
      </c>
      <c r="U43" s="8">
        <v>2</v>
      </c>
      <c r="V43" s="8" t="s">
        <v>526</v>
      </c>
      <c r="W43" s="8" t="s">
        <v>526</v>
      </c>
      <c r="X43" s="8" t="s">
        <v>526</v>
      </c>
      <c r="Y43" s="8" t="s">
        <v>923</v>
      </c>
    </row>
    <row r="44" spans="1:25" ht="60" x14ac:dyDescent="0.25">
      <c r="A44" s="8" t="s">
        <v>283</v>
      </c>
      <c r="B44" s="8" t="str">
        <f>_xlfn.XLOOKUP(Primer_filtro[[#This Row],[Key]],Tabla_papers[Key],Tabla_papers[Title],"")</f>
        <v>Experimental Study of Low Speed Sensorless Control of PMSM Drive Using High Frequency Signal Injection</v>
      </c>
      <c r="C44" s="8" t="str">
        <f>_xlfn.XLOOKUP(Primer_filtro[[#This Row],[Key]],Tabla_papers[Key],Tabla_papers[Item Type],"")</f>
        <v>journalArticle</v>
      </c>
      <c r="D44" s="8" t="s">
        <v>524</v>
      </c>
      <c r="E44" s="8" t="s">
        <v>614</v>
      </c>
      <c r="F44" s="8" t="s">
        <v>526</v>
      </c>
      <c r="G44" s="8" t="s">
        <v>526</v>
      </c>
      <c r="H44" s="8" t="s">
        <v>615</v>
      </c>
      <c r="I44" s="8" t="s">
        <v>552</v>
      </c>
      <c r="K44" s="8" t="s">
        <v>616</v>
      </c>
      <c r="L44" s="8" t="s">
        <v>530</v>
      </c>
      <c r="R44" s="8" t="s">
        <v>617</v>
      </c>
      <c r="S44" s="8" t="s">
        <v>611</v>
      </c>
      <c r="U44" s="8">
        <v>2</v>
      </c>
      <c r="V44" s="8" t="s">
        <v>530</v>
      </c>
      <c r="W44" s="8" t="s">
        <v>526</v>
      </c>
      <c r="X44" s="8" t="s">
        <v>526</v>
      </c>
      <c r="Y44" s="8" t="s">
        <v>920</v>
      </c>
    </row>
    <row r="45" spans="1:25" ht="60" x14ac:dyDescent="0.25">
      <c r="A45" s="8" t="s">
        <v>138</v>
      </c>
      <c r="B45" s="8" t="str">
        <f>_xlfn.XLOOKUP(Primer_filtro[[#This Row],[Key]],Tabla_papers[Key],Tabla_papers[Title],"")</f>
        <v>Sensorless Low Speed PMSM Motor Control with Cogging Torque Compensation</v>
      </c>
      <c r="C45" s="8" t="str">
        <f>_xlfn.XLOOKUP(Primer_filtro[[#This Row],[Key]],Tabla_papers[Key],Tabla_papers[Item Type],"")</f>
        <v>conferencePaper</v>
      </c>
      <c r="D45" s="8" t="s">
        <v>524</v>
      </c>
      <c r="E45" s="8" t="s">
        <v>564</v>
      </c>
      <c r="F45" s="8" t="s">
        <v>526</v>
      </c>
      <c r="G45" s="8" t="s">
        <v>526</v>
      </c>
      <c r="H45" s="8" t="s">
        <v>565</v>
      </c>
      <c r="I45" s="8" t="s">
        <v>566</v>
      </c>
      <c r="K45" s="8" t="s">
        <v>567</v>
      </c>
      <c r="L45" s="8" t="s">
        <v>526</v>
      </c>
      <c r="M45" s="8" t="s">
        <v>568</v>
      </c>
      <c r="N45" s="8" t="s">
        <v>571</v>
      </c>
      <c r="O45" s="8" t="s">
        <v>544</v>
      </c>
      <c r="P45" s="8" t="s">
        <v>526</v>
      </c>
      <c r="Q45" s="8" t="s">
        <v>570</v>
      </c>
      <c r="R45" s="8" t="s">
        <v>530</v>
      </c>
      <c r="S45" s="8" t="s">
        <v>572</v>
      </c>
      <c r="T45" s="8" t="s">
        <v>573</v>
      </c>
      <c r="U45" s="8">
        <v>2</v>
      </c>
      <c r="V45" s="8" t="s">
        <v>530</v>
      </c>
      <c r="W45" s="8" t="s">
        <v>526</v>
      </c>
      <c r="X45" s="8" t="s">
        <v>530</v>
      </c>
      <c r="Y45" s="8" t="s">
        <v>918</v>
      </c>
    </row>
    <row r="46" spans="1:25" ht="75" x14ac:dyDescent="0.25">
      <c r="A46" s="8" t="s">
        <v>1139</v>
      </c>
      <c r="B46" s="8" t="str">
        <f>_xlfn.XLOOKUP(Primer_filtro[[#This Row],[Key]],Tabla_papers[Key],Tabla_papers[Title],"")</f>
        <v>Sensorless Position Control for Surface Permanent Magnet Synchronous Motors at Zero Speed and Acceleration</v>
      </c>
      <c r="C46" s="8" t="str">
        <f>_xlfn.XLOOKUP(Primer_filtro[[#This Row],[Key]],Tabla_papers[Key],Tabla_papers[Item Type],"")</f>
        <v>journalArticle</v>
      </c>
      <c r="U46" s="8">
        <v>2</v>
      </c>
      <c r="Y46" s="8" t="s">
        <v>1207</v>
      </c>
    </row>
    <row r="47" spans="1:25" ht="45" x14ac:dyDescent="0.25">
      <c r="A47" s="8" t="s">
        <v>713</v>
      </c>
      <c r="B47" s="8" t="str">
        <f>_xlfn.XLOOKUP(Primer_filtro[[#This Row],[Key]],Tabla_papers[Key],Tabla_papers[Title],"")</f>
        <v>SynRM Sensorless Torque Estimation Using High Frequency Signal Injection</v>
      </c>
      <c r="C47" s="8" t="str">
        <f>_xlfn.XLOOKUP(Primer_filtro[[#This Row],[Key]],Tabla_papers[Key],Tabla_papers[Item Type],"")</f>
        <v>journalArticle</v>
      </c>
      <c r="D47" s="8" t="s">
        <v>524</v>
      </c>
      <c r="F47" s="8" t="s">
        <v>526</v>
      </c>
      <c r="U47" s="8">
        <v>2</v>
      </c>
      <c r="Y47" s="8" t="s">
        <v>1208</v>
      </c>
    </row>
    <row r="48" spans="1:25" ht="45" x14ac:dyDescent="0.25">
      <c r="A48" s="8" t="s">
        <v>847</v>
      </c>
      <c r="B48" s="8" t="str">
        <f>_xlfn.XLOOKUP(Primer_filtro[[#This Row],[Key]],Tabla_papers[Key],Tabla_papers[Title],"")</f>
        <v>Digital hardware implementation of a sensorless speed controller for PMSM drives using HF signal injection and EKF</v>
      </c>
      <c r="C48" s="8" t="str">
        <f>_xlfn.XLOOKUP(Primer_filtro[[#This Row],[Key]],Tabla_papers[Key],Tabla_papers[Item Type],"")</f>
        <v>conferencePaper</v>
      </c>
      <c r="U48" s="8">
        <v>1</v>
      </c>
      <c r="V48" s="8" t="s">
        <v>530</v>
      </c>
      <c r="W48" s="8" t="s">
        <v>526</v>
      </c>
      <c r="X48" s="8" t="s">
        <v>530</v>
      </c>
      <c r="Y48" s="8" t="s">
        <v>507</v>
      </c>
    </row>
    <row r="49" spans="1:25" ht="60" x14ac:dyDescent="0.25">
      <c r="A49" s="8" t="s">
        <v>859</v>
      </c>
      <c r="B49" s="8" t="str">
        <f>_xlfn.XLOOKUP(Primer_filtro[[#This Row],[Key]],Tabla_papers[Key],Tabla_papers[Title],"")</f>
        <v>Sensorless field oriented control of PMSM based on the extended KALMAN filter observer</v>
      </c>
      <c r="C49" s="8" t="str">
        <f>_xlfn.XLOOKUP(Primer_filtro[[#This Row],[Key]],Tabla_papers[Key],Tabla_papers[Item Type],"")</f>
        <v>journalArticle</v>
      </c>
      <c r="D49" s="8" t="s">
        <v>524</v>
      </c>
      <c r="E49" s="8" t="s">
        <v>952</v>
      </c>
      <c r="F49" s="8" t="s">
        <v>526</v>
      </c>
      <c r="G49" s="8" t="s">
        <v>530</v>
      </c>
      <c r="H49" s="8" t="s">
        <v>538</v>
      </c>
      <c r="U49" s="8">
        <v>1</v>
      </c>
      <c r="V49" s="8" t="s">
        <v>530</v>
      </c>
      <c r="W49" s="8" t="s">
        <v>526</v>
      </c>
      <c r="X49" s="8" t="s">
        <v>530</v>
      </c>
      <c r="Y49" s="8" t="s">
        <v>953</v>
      </c>
    </row>
    <row r="50" spans="1:25" ht="60" x14ac:dyDescent="0.25">
      <c r="A50" s="8" t="s">
        <v>369</v>
      </c>
      <c r="B50" s="8" t="str">
        <f>_xlfn.XLOOKUP(Primer_filtro[[#This Row],[Key]],Tabla_papers[Key],Tabla_papers[Title],"")</f>
        <v>Sensorless speed control of nonsalient permanent-magnet synchronous motor using rotor-position-tracking PI controller</v>
      </c>
      <c r="C50" s="8" t="str">
        <f>_xlfn.XLOOKUP(Primer_filtro[[#This Row],[Key]],Tabla_papers[Key],Tabla_papers[Item Type],"")</f>
        <v>journalArticle</v>
      </c>
      <c r="D50" s="8" t="s">
        <v>524</v>
      </c>
      <c r="E50" s="8" t="s">
        <v>642</v>
      </c>
      <c r="F50" s="8" t="s">
        <v>526</v>
      </c>
      <c r="G50" s="8" t="s">
        <v>530</v>
      </c>
      <c r="H50" s="8" t="s">
        <v>643</v>
      </c>
      <c r="I50" s="8" t="s">
        <v>583</v>
      </c>
      <c r="J50" s="8">
        <v>100</v>
      </c>
      <c r="K50" s="8">
        <f>50/3000</f>
        <v>1.6666666666666666E-2</v>
      </c>
      <c r="L50" s="8" t="s">
        <v>530</v>
      </c>
      <c r="S50" s="8" t="s">
        <v>644</v>
      </c>
      <c r="T50" s="8" t="s">
        <v>645</v>
      </c>
      <c r="U50" s="8">
        <v>1</v>
      </c>
      <c r="V50" s="8" t="s">
        <v>530</v>
      </c>
      <c r="W50" s="8" t="s">
        <v>526</v>
      </c>
      <c r="X50" s="8" t="s">
        <v>530</v>
      </c>
      <c r="Y50" s="8" t="s">
        <v>930</v>
      </c>
    </row>
    <row r="51" spans="1:25" ht="45" x14ac:dyDescent="0.25">
      <c r="A51" s="8" t="s">
        <v>445</v>
      </c>
      <c r="B51" s="8" t="str">
        <f>_xlfn.XLOOKUP(Primer_filtro[[#This Row],[Key]],Tabla_papers[Key],Tabla_papers[Title],"")</f>
        <v>Sensorless control of PMSM based on low frequency voltage injection at low speeds and standstill</v>
      </c>
      <c r="C51" s="8" t="str">
        <f>_xlfn.XLOOKUP(Primer_filtro[[#This Row],[Key]],Tabla_papers[Key],Tabla_papers[Item Type],"")</f>
        <v>conferencePaper</v>
      </c>
      <c r="D51" s="8" t="s">
        <v>524</v>
      </c>
      <c r="E51" s="8" t="s">
        <v>586</v>
      </c>
      <c r="F51" s="8" t="s">
        <v>526</v>
      </c>
      <c r="H51" s="8" t="s">
        <v>587</v>
      </c>
      <c r="I51" s="8" t="s">
        <v>588</v>
      </c>
      <c r="J51" s="8">
        <v>8</v>
      </c>
      <c r="L51" s="8" t="s">
        <v>526</v>
      </c>
      <c r="M51" s="8" t="s">
        <v>589</v>
      </c>
      <c r="N51" s="8" t="s">
        <v>562</v>
      </c>
      <c r="R51" s="8" t="s">
        <v>562</v>
      </c>
      <c r="T51" s="8" t="s">
        <v>590</v>
      </c>
      <c r="U51" s="8">
        <v>1</v>
      </c>
      <c r="V51" s="8" t="s">
        <v>530</v>
      </c>
      <c r="W51" s="8" t="s">
        <v>526</v>
      </c>
      <c r="X51" s="8" t="s">
        <v>526</v>
      </c>
      <c r="Y51" s="8" t="s">
        <v>933</v>
      </c>
    </row>
    <row r="52" spans="1:25" ht="45" x14ac:dyDescent="0.25">
      <c r="A52" s="8" t="s">
        <v>400</v>
      </c>
      <c r="B52" s="8" t="str">
        <f>_xlfn.XLOOKUP(Primer_filtro[[#This Row],[Key]],Tabla_papers[Key],Tabla_papers[Title],"")</f>
        <v>Modeling and Control of a PMSM Operating in Low Speeds</v>
      </c>
      <c r="C52" s="8" t="s">
        <v>557</v>
      </c>
      <c r="D52" s="8" t="s">
        <v>524</v>
      </c>
      <c r="E52" s="8" t="s">
        <v>559</v>
      </c>
      <c r="F52" s="8" t="s">
        <v>530</v>
      </c>
      <c r="H52" s="8" t="s">
        <v>560</v>
      </c>
      <c r="I52" s="8" t="s">
        <v>561</v>
      </c>
      <c r="J52" s="8">
        <v>3</v>
      </c>
      <c r="L52" s="8" t="s">
        <v>562</v>
      </c>
      <c r="M52" s="8" t="s">
        <v>540</v>
      </c>
      <c r="T52" s="8" t="s">
        <v>563</v>
      </c>
      <c r="U52" s="8">
        <v>1</v>
      </c>
      <c r="V52" s="8" t="s">
        <v>530</v>
      </c>
      <c r="W52" s="8" t="s">
        <v>530</v>
      </c>
      <c r="X52" s="8" t="s">
        <v>526</v>
      </c>
      <c r="Y52" s="8" t="s">
        <v>932</v>
      </c>
    </row>
    <row r="53" spans="1:25" ht="60" x14ac:dyDescent="0.25">
      <c r="A53" s="8" t="s">
        <v>327</v>
      </c>
      <c r="B53" s="8" t="str">
        <f>_xlfn.XLOOKUP(Primer_filtro[[#This Row],[Key]],Tabla_papers[Key],Tabla_papers[Title],"")</f>
        <v>HF Pulse Signal Injection Based Method for Sensorless Control of PMSM with Cogging Torque Compensation</v>
      </c>
      <c r="C53" s="8" t="str">
        <f>_xlfn.XLOOKUP(Primer_filtro[[#This Row],[Key]],Tabla_papers[Key],Tabla_papers[Item Type],"")</f>
        <v>conferencePaper</v>
      </c>
      <c r="D53" s="8" t="s">
        <v>524</v>
      </c>
      <c r="E53" s="8" t="s">
        <v>600</v>
      </c>
      <c r="F53" s="8" t="s">
        <v>526</v>
      </c>
      <c r="G53" s="8" t="s">
        <v>526</v>
      </c>
      <c r="H53" s="8" t="s">
        <v>601</v>
      </c>
      <c r="I53" s="8" t="s">
        <v>583</v>
      </c>
      <c r="J53" s="8">
        <v>10</v>
      </c>
      <c r="L53" s="8" t="s">
        <v>526</v>
      </c>
      <c r="M53" s="8" t="s">
        <v>530</v>
      </c>
      <c r="N53" s="8" t="s">
        <v>602</v>
      </c>
      <c r="O53" s="8" t="s">
        <v>544</v>
      </c>
      <c r="P53" s="8" t="s">
        <v>530</v>
      </c>
      <c r="Q53" s="8" t="s">
        <v>603</v>
      </c>
      <c r="R53" s="8" t="s">
        <v>554</v>
      </c>
      <c r="U53" s="8">
        <v>1</v>
      </c>
      <c r="V53" s="8" t="s">
        <v>530</v>
      </c>
      <c r="W53" s="8" t="s">
        <v>526</v>
      </c>
      <c r="X53" s="8" t="s">
        <v>526</v>
      </c>
      <c r="Y53" s="8" t="s">
        <v>929</v>
      </c>
    </row>
    <row r="54" spans="1:25" ht="30" x14ac:dyDescent="0.25">
      <c r="A54" s="8" t="s">
        <v>770</v>
      </c>
      <c r="B54" s="8" t="str">
        <f>_xlfn.XLOOKUP(Primer_filtro[[#This Row],[Key]],Tabla_papers[Key],Tabla_papers[Title],"")</f>
        <v>Observability analysis of PMSM</v>
      </c>
      <c r="C54" s="8" t="str">
        <f>_xlfn.XLOOKUP(Primer_filtro[[#This Row],[Key]],Tabla_papers[Key],Tabla_papers[Item Type],"")</f>
        <v>conferencePaper</v>
      </c>
      <c r="U54" s="8">
        <v>1</v>
      </c>
      <c r="V54" s="8" t="s">
        <v>526</v>
      </c>
      <c r="W54" s="8" t="s">
        <v>530</v>
      </c>
      <c r="Y54" s="8" t="s">
        <v>960</v>
      </c>
    </row>
    <row r="55" spans="1:25" ht="45" x14ac:dyDescent="0.25">
      <c r="A55" s="8" t="s">
        <v>978</v>
      </c>
      <c r="B55" s="8" t="str">
        <f>_xlfn.XLOOKUP(Primer_filtro[[#This Row],[Key]],Tabla_papers[Key],Tabla_papers[Title],"")</f>
        <v>Design and Implementation of Position-Based Repetitive Control Torque Observer for Cogging Torque Compensation in PMSM</v>
      </c>
      <c r="C55" s="8" t="str">
        <f>_xlfn.XLOOKUP(Primer_filtro[[#This Row],[Key]],Tabla_papers[Key],Tabla_papers[Item Type],"")</f>
        <v>journalArticle</v>
      </c>
      <c r="D55" s="8" t="s">
        <v>524</v>
      </c>
      <c r="E55" s="8" t="s">
        <v>1052</v>
      </c>
      <c r="F55" s="8" t="s">
        <v>530</v>
      </c>
      <c r="G55" s="8" t="s">
        <v>530</v>
      </c>
      <c r="L55" s="8" t="s">
        <v>526</v>
      </c>
      <c r="M55" s="8" t="s">
        <v>554</v>
      </c>
      <c r="N55" s="8" t="s">
        <v>571</v>
      </c>
      <c r="O55" s="8" t="s">
        <v>544</v>
      </c>
      <c r="P55" s="8" t="s">
        <v>530</v>
      </c>
      <c r="R55" s="8" t="s">
        <v>530</v>
      </c>
      <c r="S55" s="8" t="s">
        <v>656</v>
      </c>
      <c r="U55" s="8">
        <v>1</v>
      </c>
      <c r="V55" s="8" t="s">
        <v>530</v>
      </c>
      <c r="W55" s="8" t="s">
        <v>942</v>
      </c>
      <c r="X55" s="8" t="s">
        <v>530</v>
      </c>
      <c r="Y55" s="8" t="s">
        <v>1053</v>
      </c>
    </row>
    <row r="56" spans="1:25" ht="45" x14ac:dyDescent="0.25">
      <c r="A56" s="8" t="s">
        <v>125</v>
      </c>
      <c r="B56" s="8" t="str">
        <f>_xlfn.XLOOKUP(Primer_filtro[[#This Row],[Key]],Tabla_papers[Key],Tabla_papers[Title],"")</f>
        <v>Speed Ripples Reduction of PMSM Drives under Low-Speed Working Conditions</v>
      </c>
      <c r="C56" s="8" t="str">
        <f>_xlfn.XLOOKUP(Primer_filtro[[#This Row],[Key]],Tabla_papers[Key],Tabla_papers[Item Type],"")</f>
        <v>conferencePaper</v>
      </c>
      <c r="D56" s="8" t="s">
        <v>524</v>
      </c>
      <c r="E56" s="8" t="s">
        <v>626</v>
      </c>
      <c r="F56" s="8" t="s">
        <v>562</v>
      </c>
      <c r="H56" s="8" t="s">
        <v>627</v>
      </c>
      <c r="J56" s="8" t="s">
        <v>628</v>
      </c>
      <c r="L56" s="8" t="s">
        <v>562</v>
      </c>
      <c r="T56" s="8" t="s">
        <v>629</v>
      </c>
      <c r="U56" s="8">
        <v>1</v>
      </c>
      <c r="V56" s="8" t="s">
        <v>530</v>
      </c>
      <c r="W56" s="8" t="s">
        <v>526</v>
      </c>
      <c r="X56" s="8" t="s">
        <v>530</v>
      </c>
      <c r="Y56" s="8" t="s">
        <v>926</v>
      </c>
    </row>
    <row r="57" spans="1:25" ht="90" x14ac:dyDescent="0.25">
      <c r="A57" s="8" t="s">
        <v>390</v>
      </c>
      <c r="B57" s="8" t="str">
        <f>_xlfn.XLOOKUP(Primer_filtro[[#This Row],[Key]],Tabla_papers[Key],Tabla_papers[Title],"")</f>
        <v>Smooth Sensorless Startup in PMSM Drives Through Cogging Torque Mitigation</v>
      </c>
      <c r="C57" s="8" t="str">
        <f>_xlfn.XLOOKUP(Primer_filtro[[#This Row],[Key]],Tabla_papers[Key],Tabla_papers[Item Type],"")</f>
        <v>conferencePaper</v>
      </c>
      <c r="D57" s="8" t="s">
        <v>524</v>
      </c>
      <c r="E57" s="8" t="s">
        <v>581</v>
      </c>
      <c r="F57" s="8" t="s">
        <v>526</v>
      </c>
      <c r="H57" s="8" t="s">
        <v>582</v>
      </c>
      <c r="I57" s="8" t="s">
        <v>583</v>
      </c>
      <c r="L57" s="8" t="s">
        <v>526</v>
      </c>
      <c r="M57" s="8" t="s">
        <v>545</v>
      </c>
      <c r="N57" s="8" t="s">
        <v>526</v>
      </c>
      <c r="O57" s="8" t="s">
        <v>544</v>
      </c>
      <c r="Q57" s="8" t="s">
        <v>584</v>
      </c>
      <c r="R57" s="8" t="s">
        <v>526</v>
      </c>
      <c r="S57" s="8" t="s">
        <v>585</v>
      </c>
      <c r="U57" s="8">
        <v>1</v>
      </c>
      <c r="V57" s="8" t="s">
        <v>530</v>
      </c>
      <c r="W57" s="8" t="s">
        <v>526</v>
      </c>
      <c r="X57" s="8" t="s">
        <v>530</v>
      </c>
      <c r="Y57" s="8" t="s">
        <v>931</v>
      </c>
    </row>
    <row r="58" spans="1:25" ht="60" x14ac:dyDescent="0.25">
      <c r="A58" s="8" t="s">
        <v>496</v>
      </c>
      <c r="B58" s="8" t="str">
        <f>_xlfn.XLOOKUP(Primer_filtro[[#This Row],[Key]],Tabla_papers[Key],Tabla_papers[Title],"")</f>
        <v>An Extended Flux Model-Based Rotor Position Estimator for Sensorless Control of Salient-Pole Permanent-Magnet Synchronous Machines</v>
      </c>
      <c r="C58" s="8" t="str">
        <f>_xlfn.XLOOKUP(Primer_filtro[[#This Row],[Key]],Tabla_papers[Key],Tabla_papers[Item Type],"")</f>
        <v>journalArticle</v>
      </c>
      <c r="D58" s="8" t="s">
        <v>974</v>
      </c>
      <c r="E58" s="8" t="s">
        <v>975</v>
      </c>
      <c r="F58" s="8" t="s">
        <v>526</v>
      </c>
      <c r="G58" s="8" t="s">
        <v>530</v>
      </c>
      <c r="H58" s="8" t="s">
        <v>565</v>
      </c>
      <c r="M58" s="8" t="s">
        <v>530</v>
      </c>
      <c r="U58" s="8">
        <v>1</v>
      </c>
      <c r="V58" s="8" t="s">
        <v>530</v>
      </c>
      <c r="W58" s="8" t="s">
        <v>526</v>
      </c>
      <c r="X58" s="8" t="s">
        <v>530</v>
      </c>
      <c r="Y58" s="8" t="s">
        <v>535</v>
      </c>
    </row>
    <row r="59" spans="1:25" ht="45" x14ac:dyDescent="0.25">
      <c r="A59" s="8" t="s">
        <v>338</v>
      </c>
      <c r="B59" s="8" t="str">
        <f>_xlfn.XLOOKUP(Primer_filtro[[#This Row],[Key]],Tabla_papers[Key],Tabla_papers[Title],"")</f>
        <v>Performance-Enhanced Robust Iterative Learning Control With Experimental Application to PMSM Position Tracking</v>
      </c>
      <c r="C59" s="8" t="str">
        <f>_xlfn.XLOOKUP(Primer_filtro[[#This Row],[Key]],Tabla_papers[Key],Tabla_papers[Item Type],"")</f>
        <v>journalArticle</v>
      </c>
      <c r="D59" s="8" t="s">
        <v>524</v>
      </c>
      <c r="T59" s="8" t="s">
        <v>664</v>
      </c>
      <c r="U59" s="8">
        <v>1</v>
      </c>
      <c r="V59" s="8" t="s">
        <v>530</v>
      </c>
      <c r="W59" s="8" t="s">
        <v>526</v>
      </c>
      <c r="X59" s="8" t="s">
        <v>530</v>
      </c>
      <c r="Y59" s="8" t="s">
        <v>976</v>
      </c>
    </row>
    <row r="60" spans="1:25" ht="45" x14ac:dyDescent="0.25">
      <c r="A60" s="8" t="s">
        <v>271</v>
      </c>
      <c r="B60" s="8" t="str">
        <f>_xlfn.XLOOKUP(Primer_filtro[[#This Row],[Key]],Tabla_papers[Key],Tabla_papers[Title],"")</f>
        <v>Cogging torque effect on motor start-up in a sensorless motor drive for permanent magnet synchronous motors</v>
      </c>
      <c r="C60" s="8" t="str">
        <f>_xlfn.XLOOKUP(Primer_filtro[[#This Row],[Key]],Tabla_papers[Key],Tabla_papers[Item Type],"")</f>
        <v>conferencePaper</v>
      </c>
      <c r="U60" s="8">
        <v>1</v>
      </c>
      <c r="V60" s="8" t="s">
        <v>530</v>
      </c>
      <c r="W60" s="8" t="s">
        <v>530</v>
      </c>
      <c r="X60" s="8" t="s">
        <v>526</v>
      </c>
      <c r="Y60" s="8" t="s">
        <v>939</v>
      </c>
    </row>
    <row r="61" spans="1:25" ht="60" x14ac:dyDescent="0.25">
      <c r="A61" s="8" t="s">
        <v>239</v>
      </c>
      <c r="B61" s="8" t="str">
        <f>_xlfn.XLOOKUP(Primer_filtro[[#This Row],[Key]],Tabla_papers[Key],Tabla_papers[Title],"")</f>
        <v>Improvement Performances of Sensorless Control for PMSM Based on FOC Strategy Using Luenberger Observer, Sine Cosine Algorithm, and RL-TD3 Agent</v>
      </c>
      <c r="C61" s="8" t="str">
        <f>_xlfn.XLOOKUP(Primer_filtro[[#This Row],[Key]],Tabla_papers[Key],Tabla_papers[Item Type],"")</f>
        <v>conferencePaper</v>
      </c>
      <c r="U61" s="8">
        <v>1</v>
      </c>
      <c r="W61" s="8" t="s">
        <v>526</v>
      </c>
      <c r="Y61" s="8" t="s">
        <v>938</v>
      </c>
    </row>
    <row r="62" spans="1:25" ht="45" x14ac:dyDescent="0.25">
      <c r="A62" s="8" t="s">
        <v>198</v>
      </c>
      <c r="B62" s="8" t="str">
        <f>_xlfn.XLOOKUP(Primer_filtro[[#This Row],[Key]],Tabla_papers[Key],Tabla_papers[Title],"")</f>
        <v>PMSM Sensorless Control System Based on DTC Using FLC and Luenberger-PLL Observer</v>
      </c>
      <c r="C62" s="8" t="str">
        <f>_xlfn.XLOOKUP(Primer_filtro[[#This Row],[Key]],Tabla_papers[Key],Tabla_papers[Item Type],"")</f>
        <v>conferencePaper</v>
      </c>
      <c r="U62" s="8">
        <v>1</v>
      </c>
      <c r="V62" s="8" t="s">
        <v>530</v>
      </c>
      <c r="W62" s="8" t="s">
        <v>526</v>
      </c>
      <c r="X62" s="8" t="s">
        <v>530</v>
      </c>
      <c r="Y62" s="8" t="s">
        <v>934</v>
      </c>
    </row>
    <row r="63" spans="1:25" ht="45" x14ac:dyDescent="0.25">
      <c r="A63" s="8" t="s">
        <v>177</v>
      </c>
      <c r="B63" s="8" t="str">
        <f>_xlfn.XLOOKUP(Primer_filtro[[#This Row],[Key]],Tabla_papers[Key],Tabla_papers[Title],"")</f>
        <v>Optimized Luenberger Observer-Based PMSM Sensorless Control by PSO</v>
      </c>
      <c r="C63" s="8" t="str">
        <f>_xlfn.XLOOKUP(Primer_filtro[[#This Row],[Key]],Tabla_papers[Key],Tabla_papers[Item Type],"")</f>
        <v>journalArticle</v>
      </c>
      <c r="D63" s="8" t="s">
        <v>524</v>
      </c>
      <c r="E63" s="8" t="s">
        <v>575</v>
      </c>
      <c r="F63" s="8" t="s">
        <v>526</v>
      </c>
      <c r="H63" s="8" t="s">
        <v>605</v>
      </c>
      <c r="I63" s="8" t="s">
        <v>604</v>
      </c>
      <c r="J63" s="8">
        <v>400</v>
      </c>
      <c r="L63" s="8" t="s">
        <v>530</v>
      </c>
      <c r="S63" s="8" t="s">
        <v>606</v>
      </c>
      <c r="U63" s="8">
        <v>1</v>
      </c>
      <c r="V63" s="8" t="s">
        <v>530</v>
      </c>
      <c r="W63" s="8" t="s">
        <v>526</v>
      </c>
      <c r="X63" s="8" t="s">
        <v>530</v>
      </c>
      <c r="Y63" s="8" t="s">
        <v>927</v>
      </c>
    </row>
    <row r="64" spans="1:25" ht="30" x14ac:dyDescent="0.25">
      <c r="A64" s="8" t="s">
        <v>359</v>
      </c>
      <c r="B64" s="8" t="str">
        <f>_xlfn.XLOOKUP(Primer_filtro[[#This Row],[Key]],Tabla_papers[Key],Tabla_papers[Title],"")</f>
        <v>Cogging Torque Ripple Minimization via Position Based Characterization</v>
      </c>
      <c r="C64" s="8" t="str">
        <f>_xlfn.XLOOKUP(Primer_filtro[[#This Row],[Key]],Tabla_papers[Key],Tabla_papers[Item Type],"")</f>
        <v>conferencePaper</v>
      </c>
      <c r="D64" s="8" t="s">
        <v>524</v>
      </c>
      <c r="E64" s="8" t="s">
        <v>626</v>
      </c>
      <c r="F64" s="8" t="s">
        <v>530</v>
      </c>
      <c r="L64" s="8" t="s">
        <v>526</v>
      </c>
      <c r="M64" s="8" t="s">
        <v>530</v>
      </c>
      <c r="N64" s="8" t="s">
        <v>571</v>
      </c>
      <c r="O64" s="8" t="s">
        <v>544</v>
      </c>
      <c r="R64" s="8" t="s">
        <v>554</v>
      </c>
      <c r="T64" s="8" t="s">
        <v>636</v>
      </c>
      <c r="U64" s="8">
        <v>1</v>
      </c>
      <c r="V64" s="8" t="s">
        <v>530</v>
      </c>
      <c r="W64" s="8" t="s">
        <v>526</v>
      </c>
      <c r="X64" s="8" t="s">
        <v>530</v>
      </c>
    </row>
    <row r="65" spans="1:25" ht="45" x14ac:dyDescent="0.25">
      <c r="A65" s="8" t="s">
        <v>209</v>
      </c>
      <c r="B65" s="8" t="str">
        <f>_xlfn.XLOOKUP(Primer_filtro[[#This Row],[Key]],Tabla_papers[Key],Tabla_papers[Title],"")</f>
        <v>Sensorless Hybrid Field-Oriented Control Two-Phase Stepper Motor Driver</v>
      </c>
      <c r="C65" s="8" t="s">
        <v>639</v>
      </c>
      <c r="D65" s="8" t="s">
        <v>536</v>
      </c>
      <c r="E65" s="8" t="s">
        <v>640</v>
      </c>
      <c r="F65" s="8" t="s">
        <v>526</v>
      </c>
      <c r="G65" s="8" t="s">
        <v>526</v>
      </c>
      <c r="H65" s="8" t="s">
        <v>641</v>
      </c>
      <c r="I65" s="8" t="s">
        <v>604</v>
      </c>
      <c r="J65" s="8">
        <v>400</v>
      </c>
      <c r="T65" s="8" t="s">
        <v>636</v>
      </c>
      <c r="U65" s="8">
        <v>1</v>
      </c>
      <c r="V65" s="8" t="s">
        <v>530</v>
      </c>
      <c r="W65" s="8" t="s">
        <v>526</v>
      </c>
      <c r="X65" s="8" t="s">
        <v>530</v>
      </c>
      <c r="Y65" s="8" t="s">
        <v>927</v>
      </c>
    </row>
    <row r="66" spans="1:25" ht="30" x14ac:dyDescent="0.25">
      <c r="A66" s="8" t="s">
        <v>801</v>
      </c>
      <c r="B66" s="8" t="str">
        <f>_xlfn.XLOOKUP(Primer_filtro[[#This Row],[Key]],Tabla_papers[Key],Tabla_papers[Title],"")</f>
        <v>Sensorless control of PMSM based on state observer and the parameter error analysis</v>
      </c>
      <c r="C66" s="8" t="str">
        <f>_xlfn.XLOOKUP(Primer_filtro[[#This Row],[Key]],Tabla_papers[Key],Tabla_papers[Item Type],"")</f>
        <v>conferencePaper</v>
      </c>
      <c r="D66" s="8" t="s">
        <v>524</v>
      </c>
      <c r="E66" s="8" t="s">
        <v>970</v>
      </c>
      <c r="F66" s="8" t="s">
        <v>526</v>
      </c>
      <c r="G66" s="8" t="s">
        <v>530</v>
      </c>
      <c r="H66" s="8" t="s">
        <v>565</v>
      </c>
      <c r="I66" s="8" t="s">
        <v>963</v>
      </c>
      <c r="J66" s="8">
        <v>600</v>
      </c>
      <c r="L66" s="8" t="s">
        <v>530</v>
      </c>
      <c r="R66" s="8" t="s">
        <v>530</v>
      </c>
      <c r="U66" s="8">
        <v>1</v>
      </c>
      <c r="V66" s="8" t="s">
        <v>526</v>
      </c>
      <c r="W66" s="8" t="s">
        <v>526</v>
      </c>
      <c r="X66" s="8" t="s">
        <v>530</v>
      </c>
      <c r="Y66" s="8" t="s">
        <v>971</v>
      </c>
    </row>
    <row r="67" spans="1:25" ht="30" x14ac:dyDescent="0.25">
      <c r="A67" s="8" t="s">
        <v>812</v>
      </c>
      <c r="B67" s="8" t="str">
        <f>_xlfn.XLOOKUP(Primer_filtro[[#This Row],[Key]],Tabla_papers[Key],Tabla_papers[Title],"")</f>
        <v>Study on Extend Kalman Filter at Low Speed in Sensorless PMSM Drives</v>
      </c>
      <c r="C67" s="8" t="str">
        <f>_xlfn.XLOOKUP(Primer_filtro[[#This Row],[Key]],Tabla_papers[Key],Tabla_papers[Item Type],"")</f>
        <v>conferencePaper</v>
      </c>
      <c r="U67" s="8">
        <v>0</v>
      </c>
      <c r="V67" s="8" t="s">
        <v>530</v>
      </c>
      <c r="W67" s="8" t="s">
        <v>530</v>
      </c>
      <c r="X67" s="8" t="s">
        <v>530</v>
      </c>
      <c r="Y67" s="8" t="s">
        <v>629</v>
      </c>
    </row>
    <row r="68" spans="1:25" ht="45" x14ac:dyDescent="0.25">
      <c r="A68" s="8" t="s">
        <v>405</v>
      </c>
      <c r="B68" s="8" t="str">
        <f>_xlfn.XLOOKUP(Primer_filtro[[#This Row],[Key]],Tabla_papers[Key],Tabla_papers[Title],"")</f>
        <v>SynRM Sensorless Torque Estimation Using High Frequency Signal Injection</v>
      </c>
      <c r="C68" s="8" t="str">
        <f>_xlfn.XLOOKUP(Primer_filtro[[#This Row],[Key]],Tabla_papers[Key],Tabla_papers[Item Type],"")</f>
        <v>journalArticle</v>
      </c>
      <c r="T68" s="8" t="s">
        <v>968</v>
      </c>
      <c r="U68" s="8">
        <v>0</v>
      </c>
      <c r="V68" s="8" t="s">
        <v>530</v>
      </c>
      <c r="W68" s="8" t="s">
        <v>530</v>
      </c>
      <c r="X68" s="8" t="s">
        <v>530</v>
      </c>
    </row>
    <row r="69" spans="1:25" ht="30" x14ac:dyDescent="0.25">
      <c r="A69" s="8" t="s">
        <v>225</v>
      </c>
      <c r="B69" s="8" t="str">
        <f>_xlfn.XLOOKUP(Primer_filtro[[#This Row],[Key]],Tabla_papers[Key],Tabla_papers[Title],"")</f>
        <v>Exact Linearization Control of a PM Stepper Motor</v>
      </c>
      <c r="C69" s="8" t="str">
        <f>_xlfn.XLOOKUP(Primer_filtro[[#This Row],[Key]],Tabla_papers[Key],Tabla_papers[Item Type],"")</f>
        <v>conferencePaper</v>
      </c>
      <c r="U69" s="8">
        <v>0</v>
      </c>
      <c r="V69" s="8" t="s">
        <v>530</v>
      </c>
      <c r="W69" s="8" t="s">
        <v>530</v>
      </c>
      <c r="X69" s="8" t="s">
        <v>530</v>
      </c>
    </row>
    <row r="70" spans="1:25" ht="45" x14ac:dyDescent="0.25">
      <c r="A70" s="8" t="s">
        <v>214</v>
      </c>
      <c r="B70" s="8" t="str">
        <f>_xlfn.XLOOKUP(Primer_filtro[[#This Row],[Key]],Tabla_papers[Key],Tabla_papers[Title],"")</f>
        <v>A Current Sensorless Model Predictive Current Control Method With Luenberger Observer For PMSM Drives</v>
      </c>
      <c r="C70" s="8" t="str">
        <f>_xlfn.XLOOKUP(Primer_filtro[[#This Row],[Key]],Tabla_papers[Key],Tabla_papers[Item Type],"")</f>
        <v>conferencePaper</v>
      </c>
      <c r="D70" s="8" t="s">
        <v>524</v>
      </c>
      <c r="E70" s="8" t="s">
        <v>630</v>
      </c>
      <c r="F70" s="8" t="s">
        <v>632</v>
      </c>
      <c r="G70" s="8" t="s">
        <v>530</v>
      </c>
      <c r="H70" s="8" t="s">
        <v>631</v>
      </c>
      <c r="I70" s="8" t="s">
        <v>633</v>
      </c>
      <c r="J70" s="8">
        <v>1000</v>
      </c>
      <c r="L70" s="8" t="s">
        <v>530</v>
      </c>
      <c r="M70" s="8" t="s">
        <v>595</v>
      </c>
      <c r="N70" s="8" t="s">
        <v>571</v>
      </c>
      <c r="O70" s="8" t="s">
        <v>569</v>
      </c>
      <c r="P70" s="8" t="s">
        <v>530</v>
      </c>
      <c r="Q70" s="8" t="s">
        <v>638</v>
      </c>
      <c r="R70" s="8" t="s">
        <v>634</v>
      </c>
      <c r="S70" s="8" t="s">
        <v>635</v>
      </c>
      <c r="T70" s="8" t="s">
        <v>629</v>
      </c>
      <c r="U70" s="8">
        <v>0</v>
      </c>
      <c r="V70" s="8" t="s">
        <v>530</v>
      </c>
      <c r="W70" s="8" t="s">
        <v>530</v>
      </c>
      <c r="X70" s="8" t="s">
        <v>530</v>
      </c>
      <c r="Y70" s="8" t="s">
        <v>928</v>
      </c>
    </row>
    <row r="71" spans="1:25" ht="30" x14ac:dyDescent="0.25">
      <c r="A71" s="8" t="s">
        <v>870</v>
      </c>
      <c r="B71" s="8" t="str">
        <f>_xlfn.XLOOKUP(Primer_filtro[[#This Row],[Key]],Tabla_papers[Key],Tabla_papers[Title],"")</f>
        <v>Unidad 2: Accionamientos no Controlados - Accionamientos Eléctricos</v>
      </c>
      <c r="C71" s="8" t="str">
        <f>_xlfn.XLOOKUP(Primer_filtro[[#This Row],[Key]],Tabla_papers[Key],Tabla_papers[Item Type],"")</f>
        <v>journalArticle</v>
      </c>
      <c r="U71" s="8">
        <v>0</v>
      </c>
    </row>
    <row r="72" spans="1:25" ht="45" x14ac:dyDescent="0.25">
      <c r="A72" s="8" t="s">
        <v>249</v>
      </c>
      <c r="B72" s="8" t="str">
        <f>_xlfn.XLOOKUP(Primer_filtro[[#This Row],[Key]],Tabla_papers[Key],Tabla_papers[Title],"")</f>
        <v>Field oriented sensorless position control of a hybrid stepper motor with extended Kalman filter</v>
      </c>
      <c r="C72" s="8" t="str">
        <f>_xlfn.XLOOKUP(Primer_filtro[[#This Row],[Key]],Tabla_papers[Key],Tabla_papers[Item Type],"")</f>
        <v>conferencePaper</v>
      </c>
      <c r="U72" s="8">
        <v>0</v>
      </c>
      <c r="V72" s="8" t="s">
        <v>530</v>
      </c>
      <c r="W72" s="8" t="s">
        <v>530</v>
      </c>
      <c r="X72" s="8" t="s">
        <v>530</v>
      </c>
    </row>
    <row r="73" spans="1:25" ht="30" x14ac:dyDescent="0.25">
      <c r="A73" s="8" t="s">
        <v>236</v>
      </c>
      <c r="B73" s="8" t="str">
        <f>_xlfn.XLOOKUP(Primer_filtro[[#This Row],[Key]],Tabla_papers[Key],Tabla_papers[Title],"")</f>
        <v>Luenberger state observer rotor position estimation simulink and software library</v>
      </c>
      <c r="C73" s="8" t="str">
        <f>_xlfn.XLOOKUP(Primer_filtro[[#This Row],[Key]],Tabla_papers[Key],Tabla_papers[Item Type],"")</f>
        <v>journalArticle</v>
      </c>
      <c r="U73" s="8">
        <v>0</v>
      </c>
    </row>
    <row r="74" spans="1:25" x14ac:dyDescent="0.25">
      <c r="A74" s="8" t="s">
        <v>259</v>
      </c>
      <c r="B74" s="8" t="str">
        <f>_xlfn.XLOOKUP(Primer_filtro[[#This Row],[Key]],Tabla_papers[Key],Tabla_papers[Title],"")</f>
        <v>0_tags</v>
      </c>
      <c r="C74" s="8" t="str">
        <f>_xlfn.XLOOKUP(Primer_filtro[[#This Row],[Key]],Tabla_papers[Key],Tabla_papers[Item Type],"")</f>
        <v>journalArticle</v>
      </c>
      <c r="U74" s="8">
        <v>0</v>
      </c>
    </row>
    <row r="75" spans="1:25" ht="30" x14ac:dyDescent="0.25">
      <c r="A75" s="8" t="s">
        <v>874</v>
      </c>
      <c r="B75" s="8" t="str">
        <f>_xlfn.XLOOKUP(Primer_filtro[[#This Row],[Key]],Tabla_papers[Key],Tabla_papers[Title],"")</f>
        <v>Unidad 3: Introducción al Control Realimentado - Accionamientos Eléctricos</v>
      </c>
      <c r="C75" s="8" t="str">
        <f>_xlfn.XLOOKUP(Primer_filtro[[#This Row],[Key]],Tabla_papers[Key],Tabla_papers[Item Type],"")</f>
        <v>journalArticle</v>
      </c>
      <c r="U75" s="8">
        <v>0</v>
      </c>
    </row>
    <row r="76" spans="1:25" ht="30" x14ac:dyDescent="0.25">
      <c r="A76" s="8" t="s">
        <v>165</v>
      </c>
      <c r="B76" s="8" t="str">
        <f>_xlfn.XLOOKUP(Primer_filtro[[#This Row],[Key]],Tabla_papers[Key],Tabla_papers[Title],"")</f>
        <v>Sensorless speed and position estimation in a stepper motor</v>
      </c>
      <c r="C76" s="8" t="str">
        <f>_xlfn.XLOOKUP(Primer_filtro[[#This Row],[Key]],Tabla_papers[Key],Tabla_papers[Item Type],"")</f>
        <v>conferencePaper</v>
      </c>
      <c r="D76" s="8" t="s">
        <v>524</v>
      </c>
      <c r="E76" s="8" t="s">
        <v>935</v>
      </c>
      <c r="F76" s="8" t="s">
        <v>526</v>
      </c>
      <c r="G76" s="8" t="s">
        <v>530</v>
      </c>
      <c r="H76" s="8" t="s">
        <v>936</v>
      </c>
      <c r="I76" s="8" t="s">
        <v>937</v>
      </c>
      <c r="J76" s="8">
        <v>100</v>
      </c>
      <c r="K76" s="8">
        <f>100/900</f>
        <v>0.1111111111111111</v>
      </c>
      <c r="L76" s="8" t="s">
        <v>530</v>
      </c>
      <c r="R76" s="8" t="s">
        <v>526</v>
      </c>
      <c r="U76" s="8">
        <v>0</v>
      </c>
    </row>
    <row r="77" spans="1:25" ht="30" x14ac:dyDescent="0.25">
      <c r="A77" s="8" t="s">
        <v>877</v>
      </c>
      <c r="B77" s="8" t="str">
        <f>_xlfn.XLOOKUP(Primer_filtro[[#This Row],[Key]],Tabla_papers[Key],Tabla_papers[Title],"")</f>
        <v>Unidad 4: Control de Accionamientos en Lazo Abierto - Accionamientos Eléctricos</v>
      </c>
      <c r="C77" s="8" t="str">
        <f>_xlfn.XLOOKUP(Primer_filtro[[#This Row],[Key]],Tabla_papers[Key],Tabla_papers[Item Type],"")</f>
        <v>journalArticle</v>
      </c>
      <c r="U77" s="8">
        <v>0</v>
      </c>
    </row>
    <row r="78" spans="1:25" ht="45" x14ac:dyDescent="0.25">
      <c r="A78" s="8" t="s">
        <v>434</v>
      </c>
      <c r="B78" s="8" t="str">
        <f>_xlfn.XLOOKUP(Primer_filtro[[#This Row],[Key]],Tabla_papers[Key],Tabla_papers[Title],"")</f>
        <v>Robust Saliency-Based Speed Sensorless Control of Induction Machines under Overload Operation</v>
      </c>
      <c r="C78" s="8" t="str">
        <f>_xlfn.XLOOKUP(Primer_filtro[[#This Row],[Key]],Tabla_papers[Key],Tabla_papers[Item Type],"")</f>
        <v>conferencePaper</v>
      </c>
      <c r="U78" s="8">
        <v>0</v>
      </c>
    </row>
    <row r="79" spans="1:25" ht="60" x14ac:dyDescent="0.25">
      <c r="A79" s="8" t="s">
        <v>411</v>
      </c>
      <c r="B79" s="8" t="str">
        <f>_xlfn.XLOOKUP(Primer_filtro[[#This Row],[Key]],Tabla_papers[Key],Tabla_papers[Title],"")</f>
        <v>HF Test Current Injection-Based Self-Sensing Control of PMSM for Low- and Zero-Speed Range Using Two-Degree-of-Freedom Current Control</v>
      </c>
      <c r="C79" s="8" t="str">
        <f>_xlfn.XLOOKUP(Primer_filtro[[#This Row],[Key]],Tabla_papers[Key],Tabla_papers[Item Type],"")</f>
        <v>journalArticle</v>
      </c>
      <c r="U79" s="8">
        <v>0</v>
      </c>
    </row>
    <row r="80" spans="1:25" ht="45" x14ac:dyDescent="0.25">
      <c r="A80" s="8" t="s">
        <v>294</v>
      </c>
      <c r="B80" s="8" t="str">
        <f>_xlfn.XLOOKUP(Primer_filtro[[#This Row],[Key]],Tabla_papers[Key],Tabla_papers[Title],"")</f>
        <v>Current sensorless position-tracking control with angular acceleration error observers for hybrid-type stepping motors</v>
      </c>
      <c r="C80" s="8" t="str">
        <f>_xlfn.XLOOKUP(Primer_filtro[[#This Row],[Key]],Tabla_papers[Key],Tabla_papers[Item Type],"")</f>
        <v>journalArticle</v>
      </c>
      <c r="D80" s="8" t="s">
        <v>536</v>
      </c>
      <c r="F80" s="8" t="s">
        <v>526</v>
      </c>
      <c r="U80" s="8">
        <v>0</v>
      </c>
    </row>
    <row r="81" spans="1:25" ht="60" x14ac:dyDescent="0.25">
      <c r="A81" s="8" t="s">
        <v>987</v>
      </c>
      <c r="B81" s="8" t="str">
        <f>_xlfn.XLOOKUP(Primer_filtro[[#This Row],[Key]],Tabla_papers[Key],Tabla_papers[Title],"")</f>
        <v>Sensorless Control of PMSM Drives Using Octant Newton–Raphson Method and Reduced-Order EKF Considering Speed Reversal and Noise</v>
      </c>
      <c r="C81" s="8" t="str">
        <f>_xlfn.XLOOKUP(Primer_filtro[[#This Row],[Key]],Tabla_papers[Key],Tabla_papers[Item Type],"")</f>
        <v>journalArticle</v>
      </c>
      <c r="D81" s="8" t="s">
        <v>524</v>
      </c>
      <c r="U81" s="8">
        <v>0</v>
      </c>
    </row>
    <row r="82" spans="1:25" ht="30" x14ac:dyDescent="0.25">
      <c r="A82" s="8" t="s">
        <v>825</v>
      </c>
      <c r="B82" s="8" t="str">
        <f>_xlfn.XLOOKUP(Primer_filtro[[#This Row],[Key]],Tabla_papers[Key],Tabla_papers[Title],"")</f>
        <v>Synchronous machine drive observability analysis and sensorless control design</v>
      </c>
      <c r="C82" s="8" t="str">
        <f>_xlfn.XLOOKUP(Primer_filtro[[#This Row],[Key]],Tabla_papers[Key],Tabla_papers[Item Type],"")</f>
        <v>conferencePaper</v>
      </c>
      <c r="U82" s="8">
        <v>0</v>
      </c>
    </row>
    <row r="83" spans="1:25" ht="30" x14ac:dyDescent="0.25">
      <c r="A83" s="8" t="s">
        <v>699</v>
      </c>
      <c r="B83" s="8" t="str">
        <f>_xlfn.XLOOKUP(Primer_filtro[[#This Row],[Key]],Tabla_papers[Key],Tabla_papers[Title],"")</f>
        <v>Motor de reluctancia conmutada: modelado, simulación y control</v>
      </c>
      <c r="C83" s="8" t="str">
        <f>_xlfn.XLOOKUP(Primer_filtro[[#This Row],[Key]],Tabla_papers[Key],Tabla_papers[Item Type],"")</f>
        <v>journalArticle</v>
      </c>
      <c r="U83" s="8">
        <v>0</v>
      </c>
    </row>
    <row r="84" spans="1:25" ht="60" x14ac:dyDescent="0.25">
      <c r="A84" s="8" t="s">
        <v>149</v>
      </c>
      <c r="B84" s="8" t="str">
        <f>_xlfn.XLOOKUP(Primer_filtro[[#This Row],[Key]],Tabla_papers[Key],Tabla_papers[Title],"")</f>
        <v>An Operating Condition-Based Scheme to Alternate Between Control Strategies for Improved Steady-State and Transient Behavior</v>
      </c>
      <c r="C84" s="8" t="str">
        <f>_xlfn.XLOOKUP(Primer_filtro[[#This Row],[Key]],Tabla_papers[Key],Tabla_papers[Item Type],"")</f>
        <v>journalArticle</v>
      </c>
      <c r="U84" s="8">
        <v>0</v>
      </c>
    </row>
    <row r="85" spans="1:25" ht="30" x14ac:dyDescent="0.25">
      <c r="A85" s="8" t="s">
        <v>87</v>
      </c>
      <c r="B85" s="8" t="str">
        <f>_xlfn.XLOOKUP(Primer_filtro[[#This Row],[Key]],Tabla_papers[Key],Tabla_papers[Title],"")</f>
        <v>State observers are unnecessary for induction motor control</v>
      </c>
      <c r="C85" s="8" t="str">
        <f>_xlfn.XLOOKUP(Primer_filtro[[#This Row],[Key]],Tabla_papers[Key],Tabla_papers[Item Type],"")</f>
        <v>journalArticle</v>
      </c>
      <c r="U85" s="8">
        <v>0</v>
      </c>
      <c r="V85" s="8" t="s">
        <v>530</v>
      </c>
      <c r="W85" s="8" t="s">
        <v>530</v>
      </c>
      <c r="X85" s="8" t="s">
        <v>530</v>
      </c>
    </row>
    <row r="86" spans="1:25" x14ac:dyDescent="0.25">
      <c r="A86" s="2"/>
      <c r="B86" s="2"/>
      <c r="C86" s="2"/>
      <c r="D86" s="2"/>
      <c r="E86" s="2"/>
      <c r="F86" s="2"/>
      <c r="G86" s="2"/>
      <c r="H86" s="2"/>
      <c r="I86" s="2"/>
      <c r="J86" s="2"/>
      <c r="K86" s="2"/>
      <c r="L86" s="2"/>
      <c r="M86" s="2"/>
      <c r="N86" s="2"/>
      <c r="O86" s="2"/>
      <c r="P86" s="2"/>
      <c r="Q86" s="2"/>
      <c r="R86" s="2"/>
      <c r="S86" s="2"/>
      <c r="T86" s="2"/>
      <c r="U86" s="2"/>
      <c r="V86" s="2"/>
      <c r="W86" s="2"/>
      <c r="X86" s="2"/>
      <c r="Y86" s="2"/>
    </row>
  </sheetData>
  <phoneticPr fontId="18" type="noConversion"/>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EB267-95FE-49E6-89F1-0E8CD821AB04}">
  <dimension ref="A1:J45"/>
  <sheetViews>
    <sheetView zoomScaleNormal="100" workbookViewId="0">
      <selection activeCell="J43" sqref="J43"/>
    </sheetView>
  </sheetViews>
  <sheetFormatPr baseColWidth="10" defaultRowHeight="15" x14ac:dyDescent="0.25"/>
  <cols>
    <col min="1" max="1" width="40.42578125" style="8" customWidth="1"/>
    <col min="2" max="2" width="12.28515625" style="8" customWidth="1"/>
    <col min="3" max="9" width="11.42578125" style="8"/>
    <col min="10" max="10" width="23.42578125" style="8" customWidth="1"/>
    <col min="11" max="16384" width="11.42578125" style="8"/>
  </cols>
  <sheetData>
    <row r="1" spans="1:10" ht="30" x14ac:dyDescent="0.25">
      <c r="A1" s="8" t="s">
        <v>0</v>
      </c>
      <c r="B1" s="8" t="s">
        <v>510</v>
      </c>
      <c r="C1" s="8" t="s">
        <v>665</v>
      </c>
      <c r="D1" s="8" t="s">
        <v>666</v>
      </c>
      <c r="E1" s="8" t="s">
        <v>349</v>
      </c>
      <c r="F1" s="8" t="s">
        <v>667</v>
      </c>
      <c r="G1" s="8" t="s">
        <v>668</v>
      </c>
      <c r="H1" s="8" t="s">
        <v>669</v>
      </c>
      <c r="I1" s="8" t="s">
        <v>973</v>
      </c>
      <c r="J1" s="8" t="s">
        <v>672</v>
      </c>
    </row>
    <row r="2" spans="1:10" ht="135" x14ac:dyDescent="0.25">
      <c r="A2" s="8" t="str" cm="1">
        <f t="array" ref="A2">IFERROR(INDEX(_xlfn._xlws.FILTER(Primer_filtro[Key],UPPER(Primer_filtro[Gap])="SI"),ROW()-ROW(Tabla_gap[#Headers])),"")</f>
        <v>8ZPQX5EM</v>
      </c>
      <c r="B2" s="8" t="str">
        <f>_xlfn.XLOOKUP(Tabla_gap[[#This Row],[Key]],Primer_filtro[Key],Primer_filtro[Tipo de motor],"")</f>
        <v>Stepper</v>
      </c>
      <c r="C2" s="8" t="str">
        <f>_xlfn.XLOOKUP(Tabla_gap[[#This Row],[Key]],Primer_filtro[Key],Primer_filtro[¿Sensorless?],"")</f>
        <v>No</v>
      </c>
      <c r="D2" s="8" t="str">
        <f>_xlfn.XLOOKUP(Tabla_gap[[#This Row],[Key]],Primer_filtro[Key],Primer_filtro[Low-speed],"")</f>
        <v>Si</v>
      </c>
      <c r="E2" s="8" t="str">
        <f>_xlfn.XLOOKUP(Tabla_gap[[#This Row],[Key]],Primer_filtro[Key],Primer_filtro[¿Cogging?],"")</f>
        <v>si</v>
      </c>
      <c r="F2" s="8" t="str">
        <f>_xlfn.XLOOKUP(Tabla_gap[[#This Row],[Key]],Primer_filtro[Key],Primer_filtro[Compensación?],"")</f>
        <v>resonant controller</v>
      </c>
      <c r="G2" s="8">
        <f>_xlfn.XLOOKUP(Tabla_gap[[#This Row],[Key]],Primer_filtro[Key],Primer_filtro[Método de estimación],"")</f>
        <v>0</v>
      </c>
      <c r="H2" s="8" t="str">
        <f>_xlfn.XLOOKUP(Tabla_gap[[#This Row],[Key]],Primer_filtro[Key],Primer_filtro[¿Presenta carga?],"")</f>
        <v>Si, no modela</v>
      </c>
      <c r="I2" s="8" t="str">
        <f>_xlfn.XLOOKUP(Tabla_gap[[#This Row],[Key]],Primer_filtro[Key],Primer_filtro[Utilidad para mi memoria],"")</f>
        <v>Analisis THD
resonant controller
analisis db
comparación de PR para distintos J</v>
      </c>
      <c r="J2" s="8" t="str">
        <f>_xlfn.XLOOKUP(Tabla_gap[[#This Row],[Key]],Primer_filtro[Key],Primer_filtro[Rol],"")</f>
        <v>Aporta con RI controller
Aporta con THD análisis</v>
      </c>
    </row>
    <row r="3" spans="1:10" ht="120" hidden="1" x14ac:dyDescent="0.25">
      <c r="A3" s="8" t="str" cm="1">
        <f t="array" ref="A3">IFERROR(INDEX(_xlfn._xlws.FILTER(Primer_filtro[Key],UPPER(Primer_filtro[Gap])="SI"),ROW()-ROW(Tabla_gap[#Headers])),"")</f>
        <v>F28DY3B6</v>
      </c>
      <c r="B3" s="8" t="str">
        <f>_xlfn.XLOOKUP(Tabla_gap[[#This Row],[Key]],Primer_filtro[Key],Primer_filtro[Tipo de motor],"")</f>
        <v>PMSM</v>
      </c>
      <c r="C3" s="8" t="str">
        <f>_xlfn.XLOOKUP(Tabla_gap[[#This Row],[Key]],Primer_filtro[Key],Primer_filtro[¿Sensorless?],"")</f>
        <v>No</v>
      </c>
      <c r="D3" s="8">
        <f>_xlfn.XLOOKUP(Tabla_gap[[#This Row],[Key]],Primer_filtro[Key],Primer_filtro[Low-speed],"")</f>
        <v>0</v>
      </c>
      <c r="E3" s="8">
        <f>_xlfn.XLOOKUP(Tabla_gap[[#This Row],[Key]],Primer_filtro[Key],Primer_filtro[¿Cogging?],"")</f>
        <v>0</v>
      </c>
      <c r="F3" s="8" t="str">
        <f>_xlfn.XLOOKUP(Tabla_gap[[#This Row],[Key]],Primer_filtro[Key],Primer_filtro[Compensación?],"")</f>
        <v>Harmónicos? Polos zeros?</v>
      </c>
      <c r="G3" s="8" t="str">
        <f>_xlfn.XLOOKUP(Tabla_gap[[#This Row],[Key]],Primer_filtro[Key],Primer_filtro[Método de estimación],"")</f>
        <v>ESO</v>
      </c>
      <c r="H3" s="8">
        <f>_xlfn.XLOOKUP(Tabla_gap[[#This Row],[Key]],Primer_filtro[Key],Primer_filtro[¿Presenta carga?],"")</f>
        <v>0</v>
      </c>
      <c r="I3" s="8">
        <f>_xlfn.XLOOKUP(Tabla_gap[[#This Row],[Key]],Primer_filtro[Key],Primer_filtro[Utilidad para mi memoria],"")</f>
        <v>0</v>
      </c>
      <c r="J3" s="8" t="str">
        <f>_xlfn.XLOOKUP(Tabla_gap[[#This Row],[Key]],Primer_filtro[Key],Primer_filtro[Rol],"")</f>
        <v>Utilidad de estados extendidos, no es sensorless</v>
      </c>
    </row>
    <row r="4" spans="1:10" ht="120" x14ac:dyDescent="0.25">
      <c r="A4" s="8" t="str" cm="1">
        <f t="array" ref="A4">IFERROR(INDEX(_xlfn._xlws.FILTER(Primer_filtro[Key],UPPER(Primer_filtro[Gap])="SI"),ROW()-ROW(Tabla_gap[#Headers])),"")</f>
        <v>F86QFM92</v>
      </c>
      <c r="B4" s="8" t="str">
        <f>_xlfn.XLOOKUP(Tabla_gap[[#This Row],[Key]],Primer_filtro[Key],Primer_filtro[Tipo de motor],"")</f>
        <v>PMSM</v>
      </c>
      <c r="C4" s="8" t="str">
        <f>_xlfn.XLOOKUP(Tabla_gap[[#This Row],[Key]],Primer_filtro[Key],Primer_filtro[¿Sensorless?],"")</f>
        <v>Si</v>
      </c>
      <c r="D4" s="8" t="str">
        <f>_xlfn.XLOOKUP(Tabla_gap[[#This Row],[Key]],Primer_filtro[Key],Primer_filtro[Low-speed],"")</f>
        <v>Si</v>
      </c>
      <c r="E4" s="8">
        <f>_xlfn.XLOOKUP(Tabla_gap[[#This Row],[Key]],Primer_filtro[Key],Primer_filtro[¿Cogging?],"")</f>
        <v>0</v>
      </c>
      <c r="F4" s="8">
        <f>_xlfn.XLOOKUP(Tabla_gap[[#This Row],[Key]],Primer_filtro[Key],Primer_filtro[Compensación?],"")</f>
        <v>0</v>
      </c>
      <c r="G4" s="8" t="str">
        <f>_xlfn.XLOOKUP(Tabla_gap[[#This Row],[Key]],Primer_filtro[Key],Primer_filtro[Método de estimación],"")</f>
        <v>Observador</v>
      </c>
      <c r="H4" s="8" t="str">
        <f>_xlfn.XLOOKUP(Tabla_gap[[#This Row],[Key]],Primer_filtro[Key],Primer_filtro[¿Presenta carga?],"")</f>
        <v>Si</v>
      </c>
      <c r="I4" s="8">
        <f>_xlfn.XLOOKUP(Tabla_gap[[#This Row],[Key]],Primer_filtro[Key],Primer_filtro[Utilidad para mi memoria],"")</f>
        <v>0</v>
      </c>
      <c r="J4" s="8" t="str">
        <f>_xlfn.XLOOKUP(Tabla_gap[[#This Row],[Key]],Primer_filtro[Key],Primer_filtro[Rol],"")</f>
        <v>Thesis que se acerca bastante a la mia. Reduce el ripple de FEM. Propone reducir el ripple de cogging.
Muy buena estructura</v>
      </c>
    </row>
    <row r="5" spans="1:10" ht="30" hidden="1" x14ac:dyDescent="0.25">
      <c r="A5" s="8" t="str" cm="1">
        <f t="array" ref="A5">IFERROR(INDEX(_xlfn._xlws.FILTER(Primer_filtro[Key],UPPER(Primer_filtro[Gap])="SI"),ROW()-ROW(Tabla_gap[#Headers])),"")</f>
        <v>FFGPRBVU</v>
      </c>
      <c r="B5" s="8" t="str">
        <f>_xlfn.XLOOKUP(Tabla_gap[[#This Row],[Key]],Primer_filtro[Key],Primer_filtro[Tipo de motor],"")</f>
        <v>Stepper</v>
      </c>
      <c r="C5" s="8" t="str">
        <f>_xlfn.XLOOKUP(Tabla_gap[[#This Row],[Key]],Primer_filtro[Key],Primer_filtro[¿Sensorless?],"")</f>
        <v>Si</v>
      </c>
      <c r="D5" s="8">
        <f>_xlfn.XLOOKUP(Tabla_gap[[#This Row],[Key]],Primer_filtro[Key],Primer_filtro[Low-speed],"")</f>
        <v>0</v>
      </c>
      <c r="E5" s="8" t="str">
        <f>_xlfn.XLOOKUP(Tabla_gap[[#This Row],[Key]],Primer_filtro[Key],Primer_filtro[¿Cogging?],"")</f>
        <v>Si</v>
      </c>
      <c r="F5" s="8" t="str">
        <f>_xlfn.XLOOKUP(Tabla_gap[[#This Row],[Key]],Primer_filtro[Key],Primer_filtro[Compensación?],"")</f>
        <v>Feedforward</v>
      </c>
      <c r="G5" s="8" t="str">
        <f>_xlfn.XLOOKUP(Tabla_gap[[#This Row],[Key]],Primer_filtro[Key],Primer_filtro[Método de estimación],"")</f>
        <v>EKF</v>
      </c>
      <c r="H5" s="8" t="str">
        <f>_xlfn.XLOOKUP(Tabla_gap[[#This Row],[Key]],Primer_filtro[Key],Primer_filtro[¿Presenta carga?],"")</f>
        <v>Si</v>
      </c>
      <c r="I5" s="8" t="str">
        <f>_xlfn.XLOOKUP(Tabla_gap[[#This Row],[Key]],Primer_filtro[Key],Primer_filtro[Utilidad para mi memoria],"")</f>
        <v>Modelo Stepper
Diagramas
Control de posición close-loop. No Open-loop</v>
      </c>
      <c r="J5" s="8" t="str">
        <f>_xlfn.XLOOKUP(Tabla_gap[[#This Row],[Key]],Primer_filtro[Key],Primer_filtro[Rol],"")</f>
        <v>Se parece demasiado a mi tesis</v>
      </c>
    </row>
    <row r="6" spans="1:10" hidden="1" x14ac:dyDescent="0.25">
      <c r="A6" s="8" t="str" cm="1">
        <f t="array" ref="A6">IFERROR(INDEX(_xlfn._xlws.FILTER(Primer_filtro[Key],UPPER(Primer_filtro[Gap])="SI"),ROW()-ROW(Tabla_gap[#Headers])),"")</f>
        <v>HZMPHCAI</v>
      </c>
      <c r="B6" s="8" t="str">
        <f>_xlfn.XLOOKUP(Tabla_gap[[#This Row],[Key]],Primer_filtro[Key],Primer_filtro[Tipo de motor],"")</f>
        <v>PMSM</v>
      </c>
      <c r="C6" s="8" t="str">
        <f>_xlfn.XLOOKUP(Tabla_gap[[#This Row],[Key]],Primer_filtro[Key],Primer_filtro[¿Sensorless?],"")</f>
        <v>No</v>
      </c>
      <c r="D6" s="8" t="str">
        <f>_xlfn.XLOOKUP(Tabla_gap[[#This Row],[Key]],Primer_filtro[Key],Primer_filtro[Low-speed],"")</f>
        <v>No</v>
      </c>
      <c r="E6" s="8" t="str">
        <f>_xlfn.XLOOKUP(Tabla_gap[[#This Row],[Key]],Primer_filtro[Key],Primer_filtro[¿Cogging?],"")</f>
        <v>Si</v>
      </c>
      <c r="F6" s="8" t="str">
        <f>_xlfn.XLOOKUP(Tabla_gap[[#This Row],[Key]],Primer_filtro[Key],Primer_filtro[Compensación?],"")</f>
        <v>resonant controller</v>
      </c>
      <c r="G6" s="8">
        <f>_xlfn.XLOOKUP(Tabla_gap[[#This Row],[Key]],Primer_filtro[Key],Primer_filtro[Método de estimación],"")</f>
        <v>0</v>
      </c>
      <c r="H6" s="8" t="str">
        <f>_xlfn.XLOOKUP(Tabla_gap[[#This Row],[Key]],Primer_filtro[Key],Primer_filtro[¿Presenta carga?],"")</f>
        <v>Si, no modela</v>
      </c>
      <c r="I6" s="8" t="str">
        <f>_xlfn.XLOOKUP(Tabla_gap[[#This Row],[Key]],Primer_filtro[Key],Primer_filtro[Utilidad para mi memoria],"")</f>
        <v>Usa distintos PIR tanto en velocidad como corriente</v>
      </c>
      <c r="J6" s="8" t="str">
        <f>_xlfn.XLOOKUP(Tabla_gap[[#This Row],[Key]],Primer_filtro[Key],Primer_filtro[Rol],"")</f>
        <v>Me baso en su diagrama de PR
reduce harmónicos de corriente, deadtime, y cogging</v>
      </c>
    </row>
    <row r="7" spans="1:10" ht="45" x14ac:dyDescent="0.25">
      <c r="A7" s="8" t="str" cm="1">
        <f t="array" ref="A7">IFERROR(INDEX(_xlfn._xlws.FILTER(Primer_filtro[Key],UPPER(Primer_filtro[Gap])="SI"),ROW()-ROW(Tabla_gap[#Headers])),"")</f>
        <v>8CRRB7SQ</v>
      </c>
      <c r="B7" s="8">
        <f>_xlfn.XLOOKUP(Tabla_gap[[#This Row],[Key]],Primer_filtro[Key],Primer_filtro[Tipo de motor],"")</f>
        <v>0</v>
      </c>
      <c r="C7" s="8">
        <f>_xlfn.XLOOKUP(Tabla_gap[[#This Row],[Key]],Primer_filtro[Key],Primer_filtro[¿Sensorless?],"")</f>
        <v>0</v>
      </c>
      <c r="D7" s="8">
        <f>_xlfn.XLOOKUP(Tabla_gap[[#This Row],[Key]],Primer_filtro[Key],Primer_filtro[Low-speed],"")</f>
        <v>0</v>
      </c>
      <c r="E7" s="8">
        <f>_xlfn.XLOOKUP(Tabla_gap[[#This Row],[Key]],Primer_filtro[Key],Primer_filtro[¿Cogging?],"")</f>
        <v>0</v>
      </c>
      <c r="F7" s="8">
        <f>_xlfn.XLOOKUP(Tabla_gap[[#This Row],[Key]],Primer_filtro[Key],Primer_filtro[Compensación?],"")</f>
        <v>0</v>
      </c>
      <c r="G7" s="8">
        <f>_xlfn.XLOOKUP(Tabla_gap[[#This Row],[Key]],Primer_filtro[Key],Primer_filtro[Método de estimación],"")</f>
        <v>0</v>
      </c>
      <c r="H7" s="8">
        <f>_xlfn.XLOOKUP(Tabla_gap[[#This Row],[Key]],Primer_filtro[Key],Primer_filtro[¿Presenta carga?],"")</f>
        <v>0</v>
      </c>
      <c r="I7" s="8">
        <f>_xlfn.XLOOKUP(Tabla_gap[[#This Row],[Key]],Primer_filtro[Key],Primer_filtro[Utilidad para mi memoria],"")</f>
        <v>0</v>
      </c>
      <c r="J7" s="8" t="str">
        <f>_xlfn.XLOOKUP(Tabla_gap[[#This Row],[Key]],Primer_filtro[Key],Primer_filtro[Rol],"")</f>
        <v>Aumenta el estado para observar perturbaciones sensorless</v>
      </c>
    </row>
    <row r="8" spans="1:10" ht="90" hidden="1" x14ac:dyDescent="0.25">
      <c r="A8" s="8" t="str" cm="1">
        <f t="array" ref="A8">IFERROR(INDEX(_xlfn._xlws.FILTER(Primer_filtro[Key],UPPER(Primer_filtro[Gap])="SI"),ROW()-ROW(Tabla_gap[#Headers])),"")</f>
        <v>CLQCX5JI</v>
      </c>
      <c r="B8" s="8">
        <f>_xlfn.XLOOKUP(Tabla_gap[[#This Row],[Key]],Primer_filtro[Key],Primer_filtro[Tipo de motor],"")</f>
        <v>0</v>
      </c>
      <c r="C8" s="8">
        <f>_xlfn.XLOOKUP(Tabla_gap[[#This Row],[Key]],Primer_filtro[Key],Primer_filtro[¿Sensorless?],"")</f>
        <v>0</v>
      </c>
      <c r="D8" s="8">
        <f>_xlfn.XLOOKUP(Tabla_gap[[#This Row],[Key]],Primer_filtro[Key],Primer_filtro[Low-speed],"")</f>
        <v>0</v>
      </c>
      <c r="E8" s="8">
        <f>_xlfn.XLOOKUP(Tabla_gap[[#This Row],[Key]],Primer_filtro[Key],Primer_filtro[¿Cogging?],"")</f>
        <v>0</v>
      </c>
      <c r="F8" s="8">
        <f>_xlfn.XLOOKUP(Tabla_gap[[#This Row],[Key]],Primer_filtro[Key],Primer_filtro[Compensación?],"")</f>
        <v>0</v>
      </c>
      <c r="G8" s="8">
        <f>_xlfn.XLOOKUP(Tabla_gap[[#This Row],[Key]],Primer_filtro[Key],Primer_filtro[Método de estimación],"")</f>
        <v>0</v>
      </c>
      <c r="H8" s="8">
        <f>_xlfn.XLOOKUP(Tabla_gap[[#This Row],[Key]],Primer_filtro[Key],Primer_filtro[¿Presenta carga?],"")</f>
        <v>0</v>
      </c>
      <c r="I8" s="8">
        <f>_xlfn.XLOOKUP(Tabla_gap[[#This Row],[Key]],Primer_filtro[Key],Primer_filtro[Utilidad para mi memoria],"")</f>
        <v>0</v>
      </c>
      <c r="J8" s="8" t="str">
        <f>_xlfn.XLOOKUP(Tabla_gap[[#This Row],[Key]],Primer_filtro[Key],Primer_filtro[Rol],"")</f>
        <v>Compara muchos estados, analiza observabilidad
Tablas comparativas
No considera saliencia</v>
      </c>
    </row>
    <row r="9" spans="1:10" ht="45" hidden="1" x14ac:dyDescent="0.25">
      <c r="A9" s="8" t="str" cm="1">
        <f t="array" ref="A9">IFERROR(INDEX(_xlfn._xlws.FILTER(Primer_filtro[Key],UPPER(Primer_filtro[Gap])="SI"),ROW()-ROW(Tabla_gap[#Headers])),"")</f>
        <v>JW8WFTL2</v>
      </c>
      <c r="B9" s="8">
        <f>_xlfn.XLOOKUP(Tabla_gap[[#This Row],[Key]],Primer_filtro[Key],Primer_filtro[Tipo de motor],"")</f>
        <v>0</v>
      </c>
      <c r="C9" s="8">
        <f>_xlfn.XLOOKUP(Tabla_gap[[#This Row],[Key]],Primer_filtro[Key],Primer_filtro[¿Sensorless?],"")</f>
        <v>0</v>
      </c>
      <c r="D9" s="8">
        <f>_xlfn.XLOOKUP(Tabla_gap[[#This Row],[Key]],Primer_filtro[Key],Primer_filtro[Low-speed],"")</f>
        <v>0</v>
      </c>
      <c r="E9" s="8">
        <f>_xlfn.XLOOKUP(Tabla_gap[[#This Row],[Key]],Primer_filtro[Key],Primer_filtro[¿Cogging?],"")</f>
        <v>0</v>
      </c>
      <c r="F9" s="8">
        <f>_xlfn.XLOOKUP(Tabla_gap[[#This Row],[Key]],Primer_filtro[Key],Primer_filtro[Compensación?],"")</f>
        <v>0</v>
      </c>
      <c r="G9" s="8">
        <f>_xlfn.XLOOKUP(Tabla_gap[[#This Row],[Key]],Primer_filtro[Key],Primer_filtro[Método de estimación],"")</f>
        <v>0</v>
      </c>
      <c r="H9" s="8">
        <f>_xlfn.XLOOKUP(Tabla_gap[[#This Row],[Key]],Primer_filtro[Key],Primer_filtro[¿Presenta carga?],"")</f>
        <v>0</v>
      </c>
      <c r="I9" s="8">
        <f>_xlfn.XLOOKUP(Tabla_gap[[#This Row],[Key]],Primer_filtro[Key],Primer_filtro[Utilidad para mi memoria],"")</f>
        <v>0</v>
      </c>
      <c r="J9" s="8" t="str">
        <f>_xlfn.XLOOKUP(Tabla_gap[[#This Row],[Key]],Primer_filtro[Key],Primer_filtro[Rol],"")</f>
        <v xml:space="preserve">implementa el HFI voltaje como entrada adicional, evita usar LPF para el HFI
</v>
      </c>
    </row>
    <row r="10" spans="1:10" ht="90" x14ac:dyDescent="0.25">
      <c r="A10" s="8" t="str" cm="1">
        <f t="array" ref="A10">IFERROR(INDEX(_xlfn._xlws.FILTER(Primer_filtro[Key],UPPER(Primer_filtro[Gap])="SI"),ROW()-ROW(Tabla_gap[#Headers])),"")</f>
        <v>2LG4MBDY</v>
      </c>
      <c r="B10" s="8" t="str">
        <f>_xlfn.XLOOKUP(Tabla_gap[[#This Row],[Key]],Primer_filtro[Key],Primer_filtro[Tipo de motor],"")</f>
        <v>PMSM</v>
      </c>
      <c r="C10" s="8" t="str">
        <f>_xlfn.XLOOKUP(Tabla_gap[[#This Row],[Key]],Primer_filtro[Key],Primer_filtro[¿Sensorless?],"")</f>
        <v>Si</v>
      </c>
      <c r="D10" s="8" t="str">
        <f>_xlfn.XLOOKUP(Tabla_gap[[#This Row],[Key]],Primer_filtro[Key],Primer_filtro[Low-speed],"")</f>
        <v>No</v>
      </c>
      <c r="E10" s="8" t="str">
        <f>_xlfn.XLOOKUP(Tabla_gap[[#This Row],[Key]],Primer_filtro[Key],Primer_filtro[¿Cogging?],"")</f>
        <v>No</v>
      </c>
      <c r="F10" s="8">
        <f>_xlfn.XLOOKUP(Tabla_gap[[#This Row],[Key]],Primer_filtro[Key],Primer_filtro[Compensación?],"")</f>
        <v>0</v>
      </c>
      <c r="G10" s="8" t="str">
        <f>_xlfn.XLOOKUP(Tabla_gap[[#This Row],[Key]],Primer_filtro[Key],Primer_filtro[Método de estimación],"")</f>
        <v>extendido</v>
      </c>
      <c r="H10" s="8" t="str">
        <f>_xlfn.XLOOKUP(Tabla_gap[[#This Row],[Key]],Primer_filtro[Key],Primer_filtro[¿Presenta carga?],"")</f>
        <v>Si</v>
      </c>
      <c r="I10" s="8" t="str">
        <f>_xlfn.XLOOKUP(Tabla_gap[[#This Row],[Key]],Primer_filtro[Key],Primer_filtro[Utilidad para mi memoria],"")</f>
        <v>Tabla comparativa de modelos extendidos de UKF</v>
      </c>
      <c r="J10" s="8" t="str">
        <f>_xlfn.XLOOKUP(Tabla_gap[[#This Row],[Key]],Primer_filtro[Key],Primer_filtro[Rol],"")</f>
        <v>Demostración de la derivada de Lie
Estima Pm flux linkage, Tx</v>
      </c>
    </row>
    <row r="11" spans="1:10" ht="75" x14ac:dyDescent="0.25">
      <c r="A11" s="8" t="str" cm="1">
        <f t="array" ref="A11">IFERROR(INDEX(_xlfn._xlws.FILTER(Primer_filtro[Key],UPPER(Primer_filtro[Gap])="SI"),ROW()-ROW(Tabla_gap[#Headers])),"")</f>
        <v>3AS578SJ</v>
      </c>
      <c r="B11" s="8" t="str">
        <f>_xlfn.XLOOKUP(Tabla_gap[[#This Row],[Key]],Primer_filtro[Key],Primer_filtro[Tipo de motor],"")</f>
        <v>PMSM</v>
      </c>
      <c r="C11" s="8" t="str">
        <f>_xlfn.XLOOKUP(Tabla_gap[[#This Row],[Key]],Primer_filtro[Key],Primer_filtro[¿Sensorless?],"")</f>
        <v>Si</v>
      </c>
      <c r="D11" s="8" t="str">
        <f>_xlfn.XLOOKUP(Tabla_gap[[#This Row],[Key]],Primer_filtro[Key],Primer_filtro[Low-speed],"")</f>
        <v>No</v>
      </c>
      <c r="E11" s="8" t="str">
        <f>_xlfn.XLOOKUP(Tabla_gap[[#This Row],[Key]],Primer_filtro[Key],Primer_filtro[¿Cogging?],"")</f>
        <v>No</v>
      </c>
      <c r="F11" s="8">
        <f>_xlfn.XLOOKUP(Tabla_gap[[#This Row],[Key]],Primer_filtro[Key],Primer_filtro[Compensación?],"")</f>
        <v>0</v>
      </c>
      <c r="G11" s="8" t="str">
        <f>_xlfn.XLOOKUP(Tabla_gap[[#This Row],[Key]],Primer_filtro[Key],Primer_filtro[Método de estimación],"")</f>
        <v>EKF + DOB</v>
      </c>
      <c r="H11" s="8" t="str">
        <f>_xlfn.XLOOKUP(Tabla_gap[[#This Row],[Key]],Primer_filtro[Key],Primer_filtro[¿Presenta carga?],"")</f>
        <v>Si</v>
      </c>
      <c r="I11" s="8">
        <f>_xlfn.XLOOKUP(Tabla_gap[[#This Row],[Key]],Primer_filtro[Key],Primer_filtro[Utilidad para mi memoria],"")</f>
        <v>0</v>
      </c>
      <c r="J11" s="8" t="str">
        <f>_xlfn.XLOOKUP(Tabla_gap[[#This Row],[Key]],Primer_filtro[Key],Primer_filtro[Rol],"")</f>
        <v>Estima cargas
Demuestra como la ley de control puede tender a 0
Tabla que me gusta</v>
      </c>
    </row>
    <row r="12" spans="1:10" ht="105" hidden="1" x14ac:dyDescent="0.25">
      <c r="A12" s="8" t="str" cm="1">
        <f t="array" ref="A12">IFERROR(INDEX(_xlfn._xlws.FILTER(Primer_filtro[Key],UPPER(Primer_filtro[Gap])="SI"),ROW()-ROW(Tabla_gap[#Headers])),"")</f>
        <v>59DCMGKU</v>
      </c>
      <c r="B12" s="8" t="str">
        <f>_xlfn.XLOOKUP(Tabla_gap[[#This Row],[Key]],Primer_filtro[Key],Primer_filtro[Tipo de motor],"")</f>
        <v>PMSM</v>
      </c>
      <c r="C12" s="8" t="str">
        <f>_xlfn.XLOOKUP(Tabla_gap[[#This Row],[Key]],Primer_filtro[Key],Primer_filtro[¿Sensorless?],"")</f>
        <v>Si</v>
      </c>
      <c r="D12" s="8" t="str">
        <f>_xlfn.XLOOKUP(Tabla_gap[[#This Row],[Key]],Primer_filtro[Key],Primer_filtro[Low-speed],"")</f>
        <v>No</v>
      </c>
      <c r="E12" s="8" t="str">
        <f>_xlfn.XLOOKUP(Tabla_gap[[#This Row],[Key]],Primer_filtro[Key],Primer_filtro[¿Cogging?],"")</f>
        <v>Si</v>
      </c>
      <c r="F12" s="8" t="str">
        <f>_xlfn.XLOOKUP(Tabla_gap[[#This Row],[Key]],Primer_filtro[Key],Primer_filtro[Compensación?],"")</f>
        <v>resonant controller</v>
      </c>
      <c r="G12" s="8" t="str">
        <f>_xlfn.XLOOKUP(Tabla_gap[[#This Row],[Key]],Primer_filtro[Key],Primer_filtro[Método de estimación],"")</f>
        <v>extended back-emf</v>
      </c>
      <c r="H12" s="8" t="str">
        <f>_xlfn.XLOOKUP(Tabla_gap[[#This Row],[Key]],Primer_filtro[Key],Primer_filtro[¿Presenta carga?],"")</f>
        <v>No</v>
      </c>
      <c r="I12" s="8" t="str">
        <f>_xlfn.XLOOKUP(Tabla_gap[[#This Row],[Key]],Primer_filtro[Key],Primer_filtro[Utilidad para mi memoria],"")</f>
        <v>Se acerca bastante a mi tema</v>
      </c>
      <c r="J12" s="8" t="str">
        <f>_xlfn.XLOOKUP(Tabla_gap[[#This Row],[Key]],Primer_filtro[Key],Primer_filtro[Rol],"")</f>
        <v>resonant controller</v>
      </c>
    </row>
    <row r="13" spans="1:10" ht="135" hidden="1" x14ac:dyDescent="0.25">
      <c r="A13" s="8" t="str" cm="1">
        <f t="array" ref="A13">IFERROR(INDEX(_xlfn._xlws.FILTER(Primer_filtro[Key],UPPER(Primer_filtro[Gap])="SI"),ROW()-ROW(Tabla_gap[#Headers])),"")</f>
        <v>75DBZ49D</v>
      </c>
      <c r="B13" s="8" t="str">
        <f>_xlfn.XLOOKUP(Tabla_gap[[#This Row],[Key]],Primer_filtro[Key],Primer_filtro[Tipo de motor],"")</f>
        <v>PMSM</v>
      </c>
      <c r="C13" s="8" t="str">
        <f>_xlfn.XLOOKUP(Tabla_gap[[#This Row],[Key]],Primer_filtro[Key],Primer_filtro[¿Sensorless?],"")</f>
        <v>Si</v>
      </c>
      <c r="D13" s="8" t="str">
        <f>_xlfn.XLOOKUP(Tabla_gap[[#This Row],[Key]],Primer_filtro[Key],Primer_filtro[Low-speed],"")</f>
        <v>Si</v>
      </c>
      <c r="E13" s="8" t="str">
        <f>_xlfn.XLOOKUP(Tabla_gap[[#This Row],[Key]],Primer_filtro[Key],Primer_filtro[¿Cogging?],"")</f>
        <v>No</v>
      </c>
      <c r="F13" s="8">
        <f>_xlfn.XLOOKUP(Tabla_gap[[#This Row],[Key]],Primer_filtro[Key],Primer_filtro[Compensación?],"")</f>
        <v>0</v>
      </c>
      <c r="G13" s="8" t="str">
        <f>_xlfn.XLOOKUP(Tabla_gap[[#This Row],[Key]],Primer_filtro[Key],Primer_filtro[Método de estimación],"")</f>
        <v>Observer</v>
      </c>
      <c r="H13" s="8" t="str">
        <f>_xlfn.XLOOKUP(Tabla_gap[[#This Row],[Key]],Primer_filtro[Key],Primer_filtro[¿Presenta carga?],"")</f>
        <v>Si</v>
      </c>
      <c r="I13" s="8" t="str">
        <f>_xlfn.XLOOKUP(Tabla_gap[[#This Row],[Key]],Primer_filtro[Key],Primer_filtro[Utilidad para mi memoria],"")</f>
        <v>Demostración matemática</v>
      </c>
      <c r="J13" s="8" t="str">
        <f>_xlfn.XLOOKUP(Tabla_gap[[#This Row],[Key]],Primer_filtro[Key],Primer_filtro[Rol],"")</f>
        <v>No muestra la velocidad minima.
Demuestra calculo de como calcular la velocida minima (y cómo depende del ángulo) y cómo este depende de la corriente Id y Iq</v>
      </c>
    </row>
    <row r="14" spans="1:10" ht="255" hidden="1" x14ac:dyDescent="0.25">
      <c r="A14" s="8" t="str" cm="1">
        <f t="array" ref="A14">IFERROR(INDEX(_xlfn._xlws.FILTER(Primer_filtro[Key],UPPER(Primer_filtro[Gap])="SI"),ROW()-ROW(Tabla_gap[#Headers])),"")</f>
        <v>BF96HX3B</v>
      </c>
      <c r="B14" s="8" t="str">
        <f>_xlfn.XLOOKUP(Tabla_gap[[#This Row],[Key]],Primer_filtro[Key],Primer_filtro[Tipo de motor],"")</f>
        <v>PMSM</v>
      </c>
      <c r="C14" s="8" t="str">
        <f>_xlfn.XLOOKUP(Tabla_gap[[#This Row],[Key]],Primer_filtro[Key],Primer_filtro[¿Sensorless?],"")</f>
        <v>No</v>
      </c>
      <c r="D14" s="8" t="str">
        <f>_xlfn.XLOOKUP(Tabla_gap[[#This Row],[Key]],Primer_filtro[Key],Primer_filtro[Low-speed],"")</f>
        <v>Si</v>
      </c>
      <c r="E14" s="8" t="str">
        <f>_xlfn.XLOOKUP(Tabla_gap[[#This Row],[Key]],Primer_filtro[Key],Primer_filtro[¿Cogging?],"")</f>
        <v>Si</v>
      </c>
      <c r="F14" s="8" t="str">
        <f>_xlfn.XLOOKUP(Tabla_gap[[#This Row],[Key]],Primer_filtro[Key],Primer_filtro[Compensación?],"")</f>
        <v>resonant controller</v>
      </c>
      <c r="G14" s="8">
        <f>_xlfn.XLOOKUP(Tabla_gap[[#This Row],[Key]],Primer_filtro[Key],Primer_filtro[Método de estimación],"")</f>
        <v>0</v>
      </c>
      <c r="H14" s="8" t="str">
        <f>_xlfn.XLOOKUP(Tabla_gap[[#This Row],[Key]],Primer_filtro[Key],Primer_filtro[¿Presenta carga?],"")</f>
        <v>Si, no modela</v>
      </c>
      <c r="I14" s="8" t="str">
        <f>_xlfn.XLOOKUP(Tabla_gap[[#This Row],[Key]],Primer_filtro[Key],Primer_filtro[Utilidad para mi memoria],"")</f>
        <v>Utiliza RC en voltaje</v>
      </c>
      <c r="J14" s="8" t="str">
        <f>_xlfn.XLOOKUP(Tabla_gap[[#This Row],[Key]],Primer_filtro[Key],Primer_filtro[Rol],"")</f>
        <v>Se parece a mi tesis, no es sensorless</v>
      </c>
    </row>
    <row r="15" spans="1:10" ht="45" hidden="1" x14ac:dyDescent="0.25">
      <c r="A15" s="8" t="str" cm="1">
        <f t="array" ref="A15">IFERROR(INDEX(_xlfn._xlws.FILTER(Primer_filtro[Key],UPPER(Primer_filtro[Gap])="SI"),ROW()-ROW(Tabla_gap[#Headers])),"")</f>
        <v>HACMZIE5</v>
      </c>
      <c r="B15" s="8">
        <f>_xlfn.XLOOKUP(Tabla_gap[[#This Row],[Key]],Primer_filtro[Key],Primer_filtro[Tipo de motor],"")</f>
        <v>0</v>
      </c>
      <c r="C15" s="8">
        <f>_xlfn.XLOOKUP(Tabla_gap[[#This Row],[Key]],Primer_filtro[Key],Primer_filtro[¿Sensorless?],"")</f>
        <v>0</v>
      </c>
      <c r="D15" s="8">
        <f>_xlfn.XLOOKUP(Tabla_gap[[#This Row],[Key]],Primer_filtro[Key],Primer_filtro[Low-speed],"")</f>
        <v>0</v>
      </c>
      <c r="E15" s="8">
        <f>_xlfn.XLOOKUP(Tabla_gap[[#This Row],[Key]],Primer_filtro[Key],Primer_filtro[¿Cogging?],"")</f>
        <v>0</v>
      </c>
      <c r="F15" s="8">
        <f>_xlfn.XLOOKUP(Tabla_gap[[#This Row],[Key]],Primer_filtro[Key],Primer_filtro[Compensación?],"")</f>
        <v>0</v>
      </c>
      <c r="G15" s="8">
        <f>_xlfn.XLOOKUP(Tabla_gap[[#This Row],[Key]],Primer_filtro[Key],Primer_filtro[Método de estimación],"")</f>
        <v>0</v>
      </c>
      <c r="H15" s="8">
        <f>_xlfn.XLOOKUP(Tabla_gap[[#This Row],[Key]],Primer_filtro[Key],Primer_filtro[¿Presenta carga?],"")</f>
        <v>0</v>
      </c>
      <c r="I15" s="8">
        <f>_xlfn.XLOOKUP(Tabla_gap[[#This Row],[Key]],Primer_filtro[Key],Primer_filtro[Utilidad para mi memoria],"")</f>
        <v>0</v>
      </c>
      <c r="J15" s="8" t="str">
        <f>_xlfn.XLOOKUP(Tabla_gap[[#This Row],[Key]],Primer_filtro[Key],Primer_filtro[Rol],"")</f>
        <v>Review de sensorless
vale la pena hecharle una mirada para referencias</v>
      </c>
    </row>
    <row r="16" spans="1:10" ht="120" x14ac:dyDescent="0.25">
      <c r="A16" s="8" t="str" cm="1">
        <f t="array" ref="A16">IFERROR(INDEX(_xlfn._xlws.FILTER(Primer_filtro[Key],UPPER(Primer_filtro[Gap])="SI"),ROW()-ROW(Tabla_gap[#Headers])),"")</f>
        <v>K6I2Z6B2</v>
      </c>
      <c r="B16" s="8" t="str">
        <f>_xlfn.XLOOKUP(Tabla_gap[[#This Row],[Key]],Primer_filtro[Key],Primer_filtro[Tipo de motor],"")</f>
        <v>PMSM</v>
      </c>
      <c r="C16" s="8" t="str">
        <f>_xlfn.XLOOKUP(Tabla_gap[[#This Row],[Key]],Primer_filtro[Key],Primer_filtro[¿Sensorless?],"")</f>
        <v>Si</v>
      </c>
      <c r="D16" s="8" t="str">
        <f>_xlfn.XLOOKUP(Tabla_gap[[#This Row],[Key]],Primer_filtro[Key],Primer_filtro[Low-speed],"")</f>
        <v>No</v>
      </c>
      <c r="E16" s="8" t="str">
        <f>_xlfn.XLOOKUP(Tabla_gap[[#This Row],[Key]],Primer_filtro[Key],Primer_filtro[¿Cogging?],"")</f>
        <v>No</v>
      </c>
      <c r="F16" s="8" t="str">
        <f>_xlfn.XLOOKUP(Tabla_gap[[#This Row],[Key]],Primer_filtro[Key],Primer_filtro[Compensación?],"")</f>
        <v>IPR, AQPLL,</v>
      </c>
      <c r="G16" s="8" t="str">
        <f>_xlfn.XLOOKUP(Tabla_gap[[#This Row],[Key]],Primer_filtro[Key],Primer_filtro[Método de estimación],"")</f>
        <v>extended back-emf</v>
      </c>
      <c r="H16" s="8" t="str">
        <f>_xlfn.XLOOKUP(Tabla_gap[[#This Row],[Key]],Primer_filtro[Key],Primer_filtro[¿Presenta carga?],"")</f>
        <v>Si, no modela</v>
      </c>
      <c r="I16" s="8" t="str">
        <f>_xlfn.XLOOKUP(Tabla_gap[[#This Row],[Key]],Primer_filtro[Key],Primer_filtro[Utilidad para mi memoria],"")</f>
        <v>Utiliza PR, y varias técnicas que reducen el error
No es Low-speed</v>
      </c>
      <c r="J16" s="8" t="str">
        <f>_xlfn.XLOOKUP(Tabla_gap[[#This Row],[Key]],Primer_filtro[Key],Primer_filtro[Rol],"")</f>
        <v>Hartas gráficas
ecuaciones y PLL
reduce harmónicos de otras perturbaciones</v>
      </c>
    </row>
    <row r="17" spans="1:10" ht="105" hidden="1" x14ac:dyDescent="0.25">
      <c r="A17" s="8" t="str" cm="1">
        <f t="array" ref="A17">IFERROR(INDEX(_xlfn._xlws.FILTER(Primer_filtro[Key],UPPER(Primer_filtro[Gap])="SI"),ROW()-ROW(Tabla_gap[#Headers])),"")</f>
        <v>QYWR7S5G</v>
      </c>
      <c r="B17" s="8" t="str">
        <f>_xlfn.XLOOKUP(Tabla_gap[[#This Row],[Key]],Primer_filtro[Key],Primer_filtro[Tipo de motor],"")</f>
        <v>PMSM</v>
      </c>
      <c r="C17" s="8" t="str">
        <f>_xlfn.XLOOKUP(Tabla_gap[[#This Row],[Key]],Primer_filtro[Key],Primer_filtro[¿Sensorless?],"")</f>
        <v>No</v>
      </c>
      <c r="D17" s="8" t="str">
        <f>_xlfn.XLOOKUP(Tabla_gap[[#This Row],[Key]],Primer_filtro[Key],Primer_filtro[Low-speed],"")</f>
        <v>Si</v>
      </c>
      <c r="E17" s="8" t="str">
        <f>_xlfn.XLOOKUP(Tabla_gap[[#This Row],[Key]],Primer_filtro[Key],Primer_filtro[¿Cogging?],"")</f>
        <v>Si</v>
      </c>
      <c r="F17" s="8" t="str">
        <f>_xlfn.XLOOKUP(Tabla_gap[[#This Row],[Key]],Primer_filtro[Key],Primer_filtro[Compensación?],"")</f>
        <v>resonant controller</v>
      </c>
      <c r="G17" s="8">
        <f>_xlfn.XLOOKUP(Tabla_gap[[#This Row],[Key]],Primer_filtro[Key],Primer_filtro[Método de estimación],"")</f>
        <v>0</v>
      </c>
      <c r="H17" s="8" t="str">
        <f>_xlfn.XLOOKUP(Tabla_gap[[#This Row],[Key]],Primer_filtro[Key],Primer_filtro[¿Presenta carga?],"")</f>
        <v>Si, no modela</v>
      </c>
      <c r="I17" s="8" t="str">
        <f>_xlfn.XLOOKUP(Tabla_gap[[#This Row],[Key]],Primer_filtro[Key],Primer_filtro[Utilidad para mi memoria],"")</f>
        <v>Se acerca bastante a mi tema</v>
      </c>
      <c r="J17" s="8" t="str">
        <f>_xlfn.XLOOKUP(Tabla_gap[[#This Row],[Key]],Primer_filtro[Key],Primer_filtro[Rol],"")</f>
        <v>tiene bastantes ecuaciones que me servirian
tiene bastantes gráficas comparativas</v>
      </c>
    </row>
    <row r="18" spans="1:10" ht="45" x14ac:dyDescent="0.25">
      <c r="A18" s="8" t="str" cm="1">
        <f t="array" ref="A18">IFERROR(INDEX(_xlfn._xlws.FILTER(Primer_filtro[Key],UPPER(Primer_filtro[Gap])="SI"),ROW()-ROW(Tabla_gap[#Headers])),"")</f>
        <v>TJ53AIRB</v>
      </c>
      <c r="B18" s="8" t="str">
        <f>_xlfn.XLOOKUP(Tabla_gap[[#This Row],[Key]],Primer_filtro[Key],Primer_filtro[Tipo de motor],"")</f>
        <v>PMSM</v>
      </c>
      <c r="C18" s="8" t="str">
        <f>_xlfn.XLOOKUP(Tabla_gap[[#This Row],[Key]],Primer_filtro[Key],Primer_filtro[¿Sensorless?],"")</f>
        <v>Si</v>
      </c>
      <c r="D18" s="8">
        <f>_xlfn.XLOOKUP(Tabla_gap[[#This Row],[Key]],Primer_filtro[Key],Primer_filtro[Low-speed],"")</f>
        <v>0</v>
      </c>
      <c r="E18" s="8" t="str">
        <f>_xlfn.XLOOKUP(Tabla_gap[[#This Row],[Key]],Primer_filtro[Key],Primer_filtro[¿Cogging?],"")</f>
        <v>No</v>
      </c>
      <c r="F18" s="8" t="str">
        <f>_xlfn.XLOOKUP(Tabla_gap[[#This Row],[Key]],Primer_filtro[Key],Primer_filtro[Compensación?],"")</f>
        <v>No</v>
      </c>
      <c r="G18" s="8" t="str">
        <f>_xlfn.XLOOKUP(Tabla_gap[[#This Row],[Key]],Primer_filtro[Key],Primer_filtro[Método de estimación],"")</f>
        <v xml:space="preserve"> EKF +HFI</v>
      </c>
      <c r="H18" s="8" t="str">
        <f>_xlfn.XLOOKUP(Tabla_gap[[#This Row],[Key]],Primer_filtro[Key],Primer_filtro[¿Presenta carga?],"")</f>
        <v>Si</v>
      </c>
      <c r="I18" s="8" t="str">
        <f>_xlfn.XLOOKUP(Tabla_gap[[#This Row],[Key]],Primer_filtro[Key],Primer_filtro[Utilidad para mi memoria],"")</f>
        <v>Buena estrategia de HFI</v>
      </c>
      <c r="J18" s="8" t="str">
        <f>_xlfn.XLOOKUP(Tabla_gap[[#This Row],[Key]],Primer_filtro[Key],Primer_filtro[Rol],"")</f>
        <v>Estructura del HFI que utilizo</v>
      </c>
    </row>
    <row r="19" spans="1:10" ht="45" hidden="1" x14ac:dyDescent="0.25">
      <c r="A19" s="8" t="str" cm="1">
        <f t="array" ref="A19">IFERROR(INDEX(_xlfn._xlws.FILTER(Primer_filtro[Key],UPPER(Primer_filtro[Gap])="SI"),ROW()-ROW(Tabla_gap[#Headers])),"")</f>
        <v>X5L8JIAF</v>
      </c>
      <c r="B19" s="8" t="str">
        <f>_xlfn.XLOOKUP(Tabla_gap[[#This Row],[Key]],Primer_filtro[Key],Primer_filtro[Tipo de motor],"")</f>
        <v>PMSM</v>
      </c>
      <c r="C19" s="8" t="str">
        <f>_xlfn.XLOOKUP(Tabla_gap[[#This Row],[Key]],Primer_filtro[Key],Primer_filtro[¿Sensorless?],"")</f>
        <v>No</v>
      </c>
      <c r="D19" s="8" t="str">
        <f>_xlfn.XLOOKUP(Tabla_gap[[#This Row],[Key]],Primer_filtro[Key],Primer_filtro[Low-speed],"")</f>
        <v>Si</v>
      </c>
      <c r="E19" s="8" t="str">
        <f>_xlfn.XLOOKUP(Tabla_gap[[#This Row],[Key]],Primer_filtro[Key],Primer_filtro[¿Cogging?],"")</f>
        <v>Si</v>
      </c>
      <c r="F19" s="8" t="str">
        <f>_xlfn.XLOOKUP(Tabla_gap[[#This Row],[Key]],Primer_filtro[Key],Primer_filtro[Compensación?],"")</f>
        <v>PR</v>
      </c>
      <c r="G19" s="8" t="str">
        <f>_xlfn.XLOOKUP(Tabla_gap[[#This Row],[Key]],Primer_filtro[Key],Primer_filtro[Método de estimación],"")</f>
        <v>EKF</v>
      </c>
      <c r="H19" s="8" t="str">
        <f>_xlfn.XLOOKUP(Tabla_gap[[#This Row],[Key]],Primer_filtro[Key],Primer_filtro[¿Presenta carga?],"")</f>
        <v>Si</v>
      </c>
      <c r="I19" s="8" t="str">
        <f>_xlfn.XLOOKUP(Tabla_gap[[#This Row],[Key]],Primer_filtro[Key],Primer_filtro[Utilidad para mi memoria],"")</f>
        <v xml:space="preserve">PR </v>
      </c>
      <c r="J19" s="8" t="str">
        <f>_xlfn.XLOOKUP(Tabla_gap[[#This Row],[Key]],Primer_filtro[Key],Primer_filtro[Rol],"")</f>
        <v>Aporta con PR frente a cogging
Realiza un análisis minimo de sampling error</v>
      </c>
    </row>
    <row r="20" spans="1:10" ht="45" x14ac:dyDescent="0.25">
      <c r="A20" s="8" t="str" cm="1">
        <f t="array" ref="A20">IFERROR(INDEX(_xlfn._xlws.FILTER(Primer_filtro[Key],UPPER(Primer_filtro[Gap])="SI"),ROW()-ROW(Tabla_gap[#Headers])),"")</f>
        <v>3UB4NH4S</v>
      </c>
      <c r="B20" s="8">
        <f>_xlfn.XLOOKUP(Tabla_gap[[#This Row],[Key]],Primer_filtro[Key],Primer_filtro[Tipo de motor],"")</f>
        <v>0</v>
      </c>
      <c r="C20" s="8">
        <f>_xlfn.XLOOKUP(Tabla_gap[[#This Row],[Key]],Primer_filtro[Key],Primer_filtro[¿Sensorless?],"")</f>
        <v>0</v>
      </c>
      <c r="D20" s="8">
        <f>_xlfn.XLOOKUP(Tabla_gap[[#This Row],[Key]],Primer_filtro[Key],Primer_filtro[Low-speed],"")</f>
        <v>0</v>
      </c>
      <c r="E20" s="8">
        <f>_xlfn.XLOOKUP(Tabla_gap[[#This Row],[Key]],Primer_filtro[Key],Primer_filtro[¿Cogging?],"")</f>
        <v>0</v>
      </c>
      <c r="F20" s="8">
        <f>_xlfn.XLOOKUP(Tabla_gap[[#This Row],[Key]],Primer_filtro[Key],Primer_filtro[Compensación?],"")</f>
        <v>0</v>
      </c>
      <c r="G20" s="8">
        <f>_xlfn.XLOOKUP(Tabla_gap[[#This Row],[Key]],Primer_filtro[Key],Primer_filtro[Método de estimación],"")</f>
        <v>0</v>
      </c>
      <c r="H20" s="8">
        <f>_xlfn.XLOOKUP(Tabla_gap[[#This Row],[Key]],Primer_filtro[Key],Primer_filtro[¿Presenta carga?],"")</f>
        <v>0</v>
      </c>
      <c r="I20" s="8">
        <f>_xlfn.XLOOKUP(Tabla_gap[[#This Row],[Key]],Primer_filtro[Key],Primer_filtro[Utilidad para mi memoria],"")</f>
        <v>0</v>
      </c>
      <c r="J20" s="8" t="str">
        <f>_xlfn.XLOOKUP(Tabla_gap[[#This Row],[Key]],Primer_filtro[Key],Primer_filtro[Rol],"")</f>
        <v>Propone alguna solución para la velocidad instantánea</v>
      </c>
    </row>
    <row r="21" spans="1:10" ht="30" x14ac:dyDescent="0.25">
      <c r="A21" s="8" t="str" cm="1">
        <f t="array" ref="A21">IFERROR(INDEX(_xlfn._xlws.FILTER(Primer_filtro[Key],UPPER(Primer_filtro[Gap])="SI"),ROW()-ROW(Tabla_gap[#Headers])),"")</f>
        <v>62GKKTZI</v>
      </c>
      <c r="B21" s="8" t="str">
        <f>_xlfn.XLOOKUP(Tabla_gap[[#This Row],[Key]],Primer_filtro[Key],Primer_filtro[Tipo de motor],"")</f>
        <v>PMSM</v>
      </c>
      <c r="C21" s="8">
        <f>_xlfn.XLOOKUP(Tabla_gap[[#This Row],[Key]],Primer_filtro[Key],Primer_filtro[¿Sensorless?],"")</f>
        <v>0</v>
      </c>
      <c r="D21" s="8">
        <f>_xlfn.XLOOKUP(Tabla_gap[[#This Row],[Key]],Primer_filtro[Key],Primer_filtro[Low-speed],"")</f>
        <v>0</v>
      </c>
      <c r="E21" s="8">
        <f>_xlfn.XLOOKUP(Tabla_gap[[#This Row],[Key]],Primer_filtro[Key],Primer_filtro[¿Cogging?],"")</f>
        <v>0</v>
      </c>
      <c r="F21" s="8">
        <f>_xlfn.XLOOKUP(Tabla_gap[[#This Row],[Key]],Primer_filtro[Key],Primer_filtro[Compensación?],"")</f>
        <v>0</v>
      </c>
      <c r="G21" s="8">
        <f>_xlfn.XLOOKUP(Tabla_gap[[#This Row],[Key]],Primer_filtro[Key],Primer_filtro[Método de estimación],"")</f>
        <v>0</v>
      </c>
      <c r="H21" s="8">
        <f>_xlfn.XLOOKUP(Tabla_gap[[#This Row],[Key]],Primer_filtro[Key],Primer_filtro[¿Presenta carga?],"")</f>
        <v>0</v>
      </c>
      <c r="I21" s="8">
        <f>_xlfn.XLOOKUP(Tabla_gap[[#This Row],[Key]],Primer_filtro[Key],Primer_filtro[Utilidad para mi memoria],"")</f>
        <v>0</v>
      </c>
      <c r="J21" s="8" t="str">
        <f>_xlfn.XLOOKUP(Tabla_gap[[#This Row],[Key]],Primer_filtro[Key],Primer_filtro[Rol],"")</f>
        <v>review de observadores de perturbaciones</v>
      </c>
    </row>
    <row r="22" spans="1:10" ht="90" hidden="1" x14ac:dyDescent="0.25">
      <c r="A22" s="8" t="str" cm="1">
        <f t="array" ref="A22">IFERROR(INDEX(_xlfn._xlws.FILTER(Primer_filtro[Key],UPPER(Primer_filtro[Gap])="SI"),ROW()-ROW(Tabla_gap[#Headers])),"")</f>
        <v>AQ7LMA27</v>
      </c>
      <c r="B22" s="8">
        <f>_xlfn.XLOOKUP(Tabla_gap[[#This Row],[Key]],Primer_filtro[Key],Primer_filtro[Tipo de motor],"")</f>
        <v>0</v>
      </c>
      <c r="C22" s="8">
        <f>_xlfn.XLOOKUP(Tabla_gap[[#This Row],[Key]],Primer_filtro[Key],Primer_filtro[¿Sensorless?],"")</f>
        <v>0</v>
      </c>
      <c r="D22" s="8">
        <f>_xlfn.XLOOKUP(Tabla_gap[[#This Row],[Key]],Primer_filtro[Key],Primer_filtro[Low-speed],"")</f>
        <v>0</v>
      </c>
      <c r="E22" s="8">
        <f>_xlfn.XLOOKUP(Tabla_gap[[#This Row],[Key]],Primer_filtro[Key],Primer_filtro[¿Cogging?],"")</f>
        <v>0</v>
      </c>
      <c r="F22" s="8">
        <f>_xlfn.XLOOKUP(Tabla_gap[[#This Row],[Key]],Primer_filtro[Key],Primer_filtro[Compensación?],"")</f>
        <v>0</v>
      </c>
      <c r="G22" s="8">
        <f>_xlfn.XLOOKUP(Tabla_gap[[#This Row],[Key]],Primer_filtro[Key],Primer_filtro[Método de estimación],"")</f>
        <v>0</v>
      </c>
      <c r="H22" s="8">
        <f>_xlfn.XLOOKUP(Tabla_gap[[#This Row],[Key]],Primer_filtro[Key],Primer_filtro[¿Presenta carga?],"")</f>
        <v>0</v>
      </c>
      <c r="I22" s="8">
        <f>_xlfn.XLOOKUP(Tabla_gap[[#This Row],[Key]],Primer_filtro[Key],Primer_filtro[Utilidad para mi memoria],"")</f>
        <v>0</v>
      </c>
      <c r="J22" s="8" t="str">
        <f>_xlfn.XLOOKUP(Tabla_gap[[#This Row],[Key]],Primer_filtro[Key],Primer_filtro[Rol],"")</f>
        <v>Modela/compensa cogging, no funciona a baja velocidad</v>
      </c>
    </row>
    <row r="23" spans="1:10" ht="105" hidden="1" x14ac:dyDescent="0.25">
      <c r="A23" s="8" t="str" cm="1">
        <f t="array" ref="A23">IFERROR(INDEX(_xlfn._xlws.FILTER(Primer_filtro[Key],UPPER(Primer_filtro[Gap])="SI"),ROW()-ROW(Tabla_gap[#Headers])),"")</f>
        <v>6AKV5JLJ</v>
      </c>
      <c r="B23" s="8" t="str">
        <f>_xlfn.XLOOKUP(Tabla_gap[[#This Row],[Key]],Primer_filtro[Key],Primer_filtro[Tipo de motor],"")</f>
        <v>PMSM</v>
      </c>
      <c r="C23" s="8" t="str">
        <f>_xlfn.XLOOKUP(Tabla_gap[[#This Row],[Key]],Primer_filtro[Key],Primer_filtro[¿Sensorless?],"")</f>
        <v>No</v>
      </c>
      <c r="D23" s="8">
        <f>_xlfn.XLOOKUP(Tabla_gap[[#This Row],[Key]],Primer_filtro[Key],Primer_filtro[Low-speed],"")</f>
        <v>0</v>
      </c>
      <c r="E23" s="8" t="str">
        <f>_xlfn.XLOOKUP(Tabla_gap[[#This Row],[Key]],Primer_filtro[Key],Primer_filtro[¿Cogging?],"")</f>
        <v>Si</v>
      </c>
      <c r="F23" s="8">
        <f>_xlfn.XLOOKUP(Tabla_gap[[#This Row],[Key]],Primer_filtro[Key],Primer_filtro[Compensación?],"")</f>
        <v>0</v>
      </c>
      <c r="G23" s="8">
        <f>_xlfn.XLOOKUP(Tabla_gap[[#This Row],[Key]],Primer_filtro[Key],Primer_filtro[Método de estimación],"")</f>
        <v>0</v>
      </c>
      <c r="H23" s="8">
        <f>_xlfn.XLOOKUP(Tabla_gap[[#This Row],[Key]],Primer_filtro[Key],Primer_filtro[¿Presenta carga?],"")</f>
        <v>0</v>
      </c>
      <c r="I23" s="8">
        <f>_xlfn.XLOOKUP(Tabla_gap[[#This Row],[Key]],Primer_filtro[Key],Primer_filtro[Utilidad para mi memoria],"")</f>
        <v>0</v>
      </c>
      <c r="J23" s="8" t="str">
        <f>_xlfn.XLOOKUP(Tabla_gap[[#This Row],[Key]],Primer_filtro[Key],Primer_filtro[Rol],"")</f>
        <v>Usa encoder</v>
      </c>
    </row>
    <row r="24" spans="1:10" ht="30" hidden="1" x14ac:dyDescent="0.25">
      <c r="A24" s="8" t="str" cm="1">
        <f t="array" ref="A24">IFERROR(INDEX(_xlfn._xlws.FILTER(Primer_filtro[Key],UPPER(Primer_filtro[Gap])="SI"),ROW()-ROW(Tabla_gap[#Headers])),"")</f>
        <v>PYTMLDP8</v>
      </c>
      <c r="B24" s="8" t="str">
        <f>_xlfn.XLOOKUP(Tabla_gap[[#This Row],[Key]],Primer_filtro[Key],Primer_filtro[Tipo de motor],"")</f>
        <v>PMSM</v>
      </c>
      <c r="C24" s="8" t="str">
        <f>_xlfn.XLOOKUP(Tabla_gap[[#This Row],[Key]],Primer_filtro[Key],Primer_filtro[¿Sensorless?],"")</f>
        <v>Si</v>
      </c>
      <c r="D24" s="8" t="str">
        <f>_xlfn.XLOOKUP(Tabla_gap[[#This Row],[Key]],Primer_filtro[Key],Primer_filtro[Low-speed],"")</f>
        <v>Si</v>
      </c>
      <c r="E24" s="8" t="str">
        <f>_xlfn.XLOOKUP(Tabla_gap[[#This Row],[Key]],Primer_filtro[Key],Primer_filtro[¿Cogging?],"")</f>
        <v>Si</v>
      </c>
      <c r="F24" s="8" t="str">
        <f>_xlfn.XLOOKUP(Tabla_gap[[#This Row],[Key]],Primer_filtro[Key],Primer_filtro[Compensación?],"")</f>
        <v>No</v>
      </c>
      <c r="G24" s="8" t="str">
        <f>_xlfn.XLOOKUP(Tabla_gap[[#This Row],[Key]],Primer_filtro[Key],Primer_filtro[Método de estimación],"")</f>
        <v>EKF+HFI+PLL</v>
      </c>
      <c r="H24" s="8" t="str">
        <f>_xlfn.XLOOKUP(Tabla_gap[[#This Row],[Key]],Primer_filtro[Key],Primer_filtro[¿Presenta carga?],"")</f>
        <v>Si</v>
      </c>
      <c r="I24" s="8" t="str">
        <f>_xlfn.XLOOKUP(Tabla_gap[[#This Row],[Key]],Primer_filtro[Key],Primer_filtro[Utilidad para mi memoria],"")</f>
        <v>Pll</v>
      </c>
      <c r="J24" s="8" t="str">
        <f>_xlfn.XLOOKUP(Tabla_gap[[#This Row],[Key]],Primer_filtro[Key],Primer_filtro[Rol],"")</f>
        <v>Se puede referenciar los distintos tipos de HFI
Análisis de sensibilidad</v>
      </c>
    </row>
    <row r="25" spans="1:10" ht="45" x14ac:dyDescent="0.25">
      <c r="A25" s="8" t="str" cm="1">
        <f t="array" ref="A25">IFERROR(INDEX(_xlfn._xlws.FILTER(Primer_filtro[Key],UPPER(Primer_filtro[Gap])="SI"),ROW()-ROW(Tabla_gap[#Headers])),"")</f>
        <v>5Z35LY93</v>
      </c>
      <c r="B25" s="8" t="str">
        <f>_xlfn.XLOOKUP(Tabla_gap[[#This Row],[Key]],Primer_filtro[Key],Primer_filtro[Tipo de motor],"")</f>
        <v>PMSM</v>
      </c>
      <c r="C25" s="8" t="str">
        <f>_xlfn.XLOOKUP(Tabla_gap[[#This Row],[Key]],Primer_filtro[Key],Primer_filtro[¿Sensorless?],"")</f>
        <v>No</v>
      </c>
      <c r="D25" s="8">
        <f>_xlfn.XLOOKUP(Tabla_gap[[#This Row],[Key]],Primer_filtro[Key],Primer_filtro[Low-speed],"")</f>
        <v>0</v>
      </c>
      <c r="E25" s="8" t="str">
        <f>_xlfn.XLOOKUP(Tabla_gap[[#This Row],[Key]],Primer_filtro[Key],Primer_filtro[¿Cogging?],"")</f>
        <v>Si</v>
      </c>
      <c r="F25" s="8" t="str">
        <f>_xlfn.XLOOKUP(Tabla_gap[[#This Row],[Key]],Primer_filtro[Key],Primer_filtro[Compensación?],"")</f>
        <v>Virtual equilibrium</v>
      </c>
      <c r="G25" s="8">
        <f>_xlfn.XLOOKUP(Tabla_gap[[#This Row],[Key]],Primer_filtro[Key],Primer_filtro[Método de estimación],"")</f>
        <v>0</v>
      </c>
      <c r="H25" s="8" t="str">
        <f>_xlfn.XLOOKUP(Tabla_gap[[#This Row],[Key]],Primer_filtro[Key],Primer_filtro[¿Presenta carga?],"")</f>
        <v>Si</v>
      </c>
      <c r="I25" s="8" t="str">
        <f>_xlfn.XLOOKUP(Tabla_gap[[#This Row],[Key]],Primer_filtro[Key],Primer_filtro[Utilidad para mi memoria],"")</f>
        <v>necesita mucha corriente</v>
      </c>
      <c r="J25" s="8" t="str">
        <f>_xlfn.XLOOKUP(Tabla_gap[[#This Row],[Key]],Primer_filtro[Key],Primer_filtro[Rol],"")</f>
        <v>Sirve como referencia de otro tipo de control para reducir cogging</v>
      </c>
    </row>
    <row r="26" spans="1:10" ht="120" hidden="1" x14ac:dyDescent="0.25">
      <c r="A26" s="8" t="str" cm="1">
        <f t="array" ref="A26">IFERROR(INDEX(_xlfn._xlws.FILTER(Primer_filtro[Key],UPPER(Primer_filtro[Gap])="SI"),ROW()-ROW(Tabla_gap[#Headers])),"")</f>
        <v>AQL453KA</v>
      </c>
      <c r="B26" s="8" t="str">
        <f>_xlfn.XLOOKUP(Tabla_gap[[#This Row],[Key]],Primer_filtro[Key],Primer_filtro[Tipo de motor],"")</f>
        <v>PMSM</v>
      </c>
      <c r="C26" s="8" t="str">
        <f>_xlfn.XLOOKUP(Tabla_gap[[#This Row],[Key]],Primer_filtro[Key],Primer_filtro[¿Sensorless?],"")</f>
        <v>Si</v>
      </c>
      <c r="D26" s="8">
        <f>_xlfn.XLOOKUP(Tabla_gap[[#This Row],[Key]],Primer_filtro[Key],Primer_filtro[Low-speed],"")</f>
        <v>0</v>
      </c>
      <c r="E26" s="8" t="str">
        <f>_xlfn.XLOOKUP(Tabla_gap[[#This Row],[Key]],Primer_filtro[Key],Primer_filtro[¿Cogging?],"")</f>
        <v>No</v>
      </c>
      <c r="F26" s="8">
        <f>_xlfn.XLOOKUP(Tabla_gap[[#This Row],[Key]],Primer_filtro[Key],Primer_filtro[Compensación?],"")</f>
        <v>0</v>
      </c>
      <c r="G26" s="8" t="str">
        <f>_xlfn.XLOOKUP(Tabla_gap[[#This Row],[Key]],Primer_filtro[Key],Primer_filtro[Método de estimación],"")</f>
        <v>HFI+PLL + Hybrid estimator</v>
      </c>
      <c r="H26" s="8" t="str">
        <f>_xlfn.XLOOKUP(Tabla_gap[[#This Row],[Key]],Primer_filtro[Key],Primer_filtro[¿Presenta carga?],"")</f>
        <v>No modela</v>
      </c>
      <c r="I26" s="8" t="str">
        <f>_xlfn.XLOOKUP(Tabla_gap[[#This Row],[Key]],Primer_filtro[Key],Primer_filtro[Utilidad para mi memoria],"")</f>
        <v>PLL</v>
      </c>
      <c r="J26" s="8" t="str">
        <f>_xlfn.XLOOKUP(Tabla_gap[[#This Row],[Key]],Primer_filtro[Key],Primer_filtro[Rol],"")</f>
        <v>Sólo muestra algo de HFI</v>
      </c>
    </row>
    <row r="27" spans="1:10" ht="120" hidden="1" x14ac:dyDescent="0.25">
      <c r="A27" s="8" t="str" cm="1">
        <f t="array" ref="A27">IFERROR(INDEX(_xlfn._xlws.FILTER(Primer_filtro[Key],UPPER(Primer_filtro[Gap])="SI"),ROW()-ROW(Tabla_gap[#Headers])),"")</f>
        <v>L8L8X8IK</v>
      </c>
      <c r="B27" s="8" t="str">
        <f>_xlfn.XLOOKUP(Tabla_gap[[#This Row],[Key]],Primer_filtro[Key],Primer_filtro[Tipo de motor],"")</f>
        <v>PMSM</v>
      </c>
      <c r="C27" s="8" t="str">
        <f>_xlfn.XLOOKUP(Tabla_gap[[#This Row],[Key]],Primer_filtro[Key],Primer_filtro[¿Sensorless?],"")</f>
        <v>No</v>
      </c>
      <c r="D27" s="8">
        <f>_xlfn.XLOOKUP(Tabla_gap[[#This Row],[Key]],Primer_filtro[Key],Primer_filtro[Low-speed],"")</f>
        <v>0</v>
      </c>
      <c r="E27" s="8" t="str">
        <f>_xlfn.XLOOKUP(Tabla_gap[[#This Row],[Key]],Primer_filtro[Key],Primer_filtro[¿Cogging?],"")</f>
        <v>Si</v>
      </c>
      <c r="F27" s="8">
        <f>_xlfn.XLOOKUP(Tabla_gap[[#This Row],[Key]],Primer_filtro[Key],Primer_filtro[Compensación?],"")</f>
        <v>0</v>
      </c>
      <c r="G27" s="8" t="str">
        <f>_xlfn.XLOOKUP(Tabla_gap[[#This Row],[Key]],Primer_filtro[Key],Primer_filtro[Método de estimación],"")</f>
        <v>Observer</v>
      </c>
      <c r="H27" s="8">
        <f>_xlfn.XLOOKUP(Tabla_gap[[#This Row],[Key]],Primer_filtro[Key],Primer_filtro[¿Presenta carga?],"")</f>
        <v>0</v>
      </c>
      <c r="I27" s="8">
        <f>_xlfn.XLOOKUP(Tabla_gap[[#This Row],[Key]],Primer_filtro[Key],Primer_filtro[Utilidad para mi memoria],"")</f>
        <v>0</v>
      </c>
      <c r="J27" s="8">
        <f>_xlfn.XLOOKUP(Tabla_gap[[#This Row],[Key]],Primer_filtro[Key],Primer_filtro[Rol],"")</f>
        <v>0</v>
      </c>
    </row>
    <row r="28" spans="1:10" ht="60" x14ac:dyDescent="0.25">
      <c r="A28" s="8" t="str" cm="1">
        <f t="array" ref="A28">IFERROR(INDEX(_xlfn._xlws.FILTER(Primer_filtro[Key],UPPER(Primer_filtro[Gap])="SI"),ROW()-ROW(Tabla_gap[#Headers])),"")</f>
        <v>MTMK56PE</v>
      </c>
      <c r="B28" s="8" t="str">
        <f>_xlfn.XLOOKUP(Tabla_gap[[#This Row],[Key]],Primer_filtro[Key],Primer_filtro[Tipo de motor],"")</f>
        <v>Stepper</v>
      </c>
      <c r="C28" s="8" t="str">
        <f>_xlfn.XLOOKUP(Tabla_gap[[#This Row],[Key]],Primer_filtro[Key],Primer_filtro[¿Sensorless?],"")</f>
        <v>Si</v>
      </c>
      <c r="D28" s="8">
        <f>_xlfn.XLOOKUP(Tabla_gap[[#This Row],[Key]],Primer_filtro[Key],Primer_filtro[Low-speed],"")</f>
        <v>0</v>
      </c>
      <c r="E28" s="8" t="str">
        <f>_xlfn.XLOOKUP(Tabla_gap[[#This Row],[Key]],Primer_filtro[Key],Primer_filtro[¿Cogging?],"")</f>
        <v>no</v>
      </c>
      <c r="F28" s="8">
        <f>_xlfn.XLOOKUP(Tabla_gap[[#This Row],[Key]],Primer_filtro[Key],Primer_filtro[Compensación?],"")</f>
        <v>0</v>
      </c>
      <c r="G28" s="8" t="str">
        <f>_xlfn.XLOOKUP(Tabla_gap[[#This Row],[Key]],Primer_filtro[Key],Primer_filtro[Método de estimación],"")</f>
        <v>Load angle estimator</v>
      </c>
      <c r="H28" s="8" t="str">
        <f>_xlfn.XLOOKUP(Tabla_gap[[#This Row],[Key]],Primer_filtro[Key],Primer_filtro[¿Presenta carga?],"")</f>
        <v>Si, la observa</v>
      </c>
      <c r="I28" s="8" t="str">
        <f>_xlfn.XLOOKUP(Tabla_gap[[#This Row],[Key]],Primer_filtro[Key],Primer_filtro[Utilidad para mi memoria],"")</f>
        <v>comparación stepper</v>
      </c>
      <c r="J28" s="8" t="str">
        <f>_xlfn.XLOOKUP(Tabla_gap[[#This Row],[Key]],Primer_filtro[Key],Primer_filtro[Rol],"")</f>
        <v>Habla sobre steppers y un observador
Calculos de algunas ganancias Kp y Ti</v>
      </c>
    </row>
    <row r="29" spans="1:10" ht="30" hidden="1" x14ac:dyDescent="0.25">
      <c r="A29" s="8" t="str" cm="1">
        <f t="array" ref="A29">IFERROR(INDEX(_xlfn._xlws.FILTER(Primer_filtro[Key],UPPER(Primer_filtro[Gap])="SI"),ROW()-ROW(Tabla_gap[#Headers])),"")</f>
        <v>NZ8FHWPC</v>
      </c>
      <c r="B29" s="8" t="str">
        <f>_xlfn.XLOOKUP(Tabla_gap[[#This Row],[Key]],Primer_filtro[Key],Primer_filtro[Tipo de motor],"")</f>
        <v>PMSM</v>
      </c>
      <c r="C29" s="8" t="str">
        <f>_xlfn.XLOOKUP(Tabla_gap[[#This Row],[Key]],Primer_filtro[Key],Primer_filtro[¿Sensorless?],"")</f>
        <v>Si</v>
      </c>
      <c r="D29" s="8" t="str">
        <f>_xlfn.XLOOKUP(Tabla_gap[[#This Row],[Key]],Primer_filtro[Key],Primer_filtro[Low-speed],"")</f>
        <v>Si</v>
      </c>
      <c r="E29" s="8" t="str">
        <f>_xlfn.XLOOKUP(Tabla_gap[[#This Row],[Key]],Primer_filtro[Key],Primer_filtro[¿Cogging?],"")</f>
        <v>No</v>
      </c>
      <c r="F29" s="8">
        <f>_xlfn.XLOOKUP(Tabla_gap[[#This Row],[Key]],Primer_filtro[Key],Primer_filtro[Compensación?],"")</f>
        <v>0</v>
      </c>
      <c r="G29" s="8" t="str">
        <f>_xlfn.XLOOKUP(Tabla_gap[[#This Row],[Key]],Primer_filtro[Key],Primer_filtro[Método de estimación],"")</f>
        <v>observer</v>
      </c>
      <c r="H29" s="8" t="str">
        <f>_xlfn.XLOOKUP(Tabla_gap[[#This Row],[Key]],Primer_filtro[Key],Primer_filtro[¿Presenta carga?],"")</f>
        <v>Si</v>
      </c>
      <c r="I29" s="8">
        <f>_xlfn.XLOOKUP(Tabla_gap[[#This Row],[Key]],Primer_filtro[Key],Primer_filtro[Utilidad para mi memoria],"")</f>
        <v>0</v>
      </c>
      <c r="J29" s="8" t="str">
        <f>_xlfn.XLOOKUP(Tabla_gap[[#This Row],[Key]],Primer_filtro[Key],Primer_filtro[Rol],"")</f>
        <v>Análisis de estabilidad del error?</v>
      </c>
    </row>
    <row r="30" spans="1:10" ht="105" hidden="1" x14ac:dyDescent="0.25">
      <c r="A30" s="8" t="str" cm="1">
        <f t="array" ref="A30">IFERROR(INDEX(_xlfn._xlws.FILTER(Primer_filtro[Key],UPPER(Primer_filtro[Gap])="SI"),ROW()-ROW(Tabla_gap[#Headers])),"")</f>
        <v>P7DVJCBQ</v>
      </c>
      <c r="B30" s="8" t="str">
        <f>_xlfn.XLOOKUP(Tabla_gap[[#This Row],[Key]],Primer_filtro[Key],Primer_filtro[Tipo de motor],"")</f>
        <v>PSMSM</v>
      </c>
      <c r="C30" s="8" t="str">
        <f>_xlfn.XLOOKUP(Tabla_gap[[#This Row],[Key]],Primer_filtro[Key],Primer_filtro[¿Sensorless?],"")</f>
        <v>No</v>
      </c>
      <c r="D30" s="8">
        <f>_xlfn.XLOOKUP(Tabla_gap[[#This Row],[Key]],Primer_filtro[Key],Primer_filtro[Low-speed],"")</f>
        <v>0</v>
      </c>
      <c r="E30" s="8">
        <f>_xlfn.XLOOKUP(Tabla_gap[[#This Row],[Key]],Primer_filtro[Key],Primer_filtro[¿Cogging?],"")</f>
        <v>0</v>
      </c>
      <c r="F30" s="8">
        <f>_xlfn.XLOOKUP(Tabla_gap[[#This Row],[Key]],Primer_filtro[Key],Primer_filtro[Compensación?],"")</f>
        <v>0</v>
      </c>
      <c r="G30" s="8" t="str">
        <f>_xlfn.XLOOKUP(Tabla_gap[[#This Row],[Key]],Primer_filtro[Key],Primer_filtro[Método de estimación],"")</f>
        <v>Observer</v>
      </c>
      <c r="H30" s="8">
        <f>_xlfn.XLOOKUP(Tabla_gap[[#This Row],[Key]],Primer_filtro[Key],Primer_filtro[¿Presenta carga?],"")</f>
        <v>0</v>
      </c>
      <c r="I30" s="8">
        <f>_xlfn.XLOOKUP(Tabla_gap[[#This Row],[Key]],Primer_filtro[Key],Primer_filtro[Utilidad para mi memoria],"")</f>
        <v>0</v>
      </c>
      <c r="J30" s="8">
        <f>_xlfn.XLOOKUP(Tabla_gap[[#This Row],[Key]],Primer_filtro[Key],Primer_filtro[Rol],"")</f>
        <v>0</v>
      </c>
    </row>
    <row r="31" spans="1:10" ht="90" hidden="1" x14ac:dyDescent="0.25">
      <c r="A31" s="8" t="str" cm="1">
        <f t="array" ref="A31">IFERROR(INDEX(_xlfn._xlws.FILTER(Primer_filtro[Key],UPPER(Primer_filtro[Gap])="SI"),ROW()-ROW(Tabla_gap[#Headers])),"")</f>
        <v>XGFE4Q25</v>
      </c>
      <c r="B31" s="8" t="str">
        <f>_xlfn.XLOOKUP(Tabla_gap[[#This Row],[Key]],Primer_filtro[Key],Primer_filtro[Tipo de motor],"")</f>
        <v>PMSM</v>
      </c>
      <c r="C31" s="8" t="str">
        <f>_xlfn.XLOOKUP(Tabla_gap[[#This Row],[Key]],Primer_filtro[Key],Primer_filtro[¿Sensorless?],"")</f>
        <v>Si</v>
      </c>
      <c r="D31" s="8">
        <f>_xlfn.XLOOKUP(Tabla_gap[[#This Row],[Key]],Primer_filtro[Key],Primer_filtro[Low-speed],"")</f>
        <v>0</v>
      </c>
      <c r="E31" s="8" t="str">
        <f>_xlfn.XLOOKUP(Tabla_gap[[#This Row],[Key]],Primer_filtro[Key],Primer_filtro[¿Cogging?],"")</f>
        <v>No</v>
      </c>
      <c r="F31" s="8">
        <f>_xlfn.XLOOKUP(Tabla_gap[[#This Row],[Key]],Primer_filtro[Key],Primer_filtro[Compensación?],"")</f>
        <v>0</v>
      </c>
      <c r="G31" s="8" t="str">
        <f>_xlfn.XLOOKUP(Tabla_gap[[#This Row],[Key]],Primer_filtro[Key],Primer_filtro[Método de estimación],"")</f>
        <v>Flux observer</v>
      </c>
      <c r="H31" s="8" t="str">
        <f>_xlfn.XLOOKUP(Tabla_gap[[#This Row],[Key]],Primer_filtro[Key],Primer_filtro[¿Presenta carga?],"")</f>
        <v>Si, no modela</v>
      </c>
      <c r="I31" s="8" t="str">
        <f>_xlfn.XLOOKUP(Tabla_gap[[#This Row],[Key]],Primer_filtro[Key],Primer_filtro[Utilidad para mi memoria],"")</f>
        <v>Otro metodo?
Demostraciones matemáticas</v>
      </c>
      <c r="J31" s="8" t="str">
        <f>_xlfn.XLOOKUP(Tabla_gap[[#This Row],[Key]],Primer_filtro[Key],Primer_filtro[Rol],"")</f>
        <v>más analisis de observabilidad (Jacobiano)</v>
      </c>
    </row>
    <row r="32" spans="1:10" ht="75" hidden="1" x14ac:dyDescent="0.25">
      <c r="A32" s="8" t="str" cm="1">
        <f t="array" ref="A32">IFERROR(INDEX(_xlfn._xlws.FILTER(Primer_filtro[Key],UPPER(Primer_filtro[Gap])="SI"),ROW()-ROW(Tabla_gap[#Headers])),"")</f>
        <v>ZAIMTBV2</v>
      </c>
      <c r="B32" s="8" t="str">
        <f>_xlfn.XLOOKUP(Tabla_gap[[#This Row],[Key]],Primer_filtro[Key],Primer_filtro[Tipo de motor],"")</f>
        <v>PMSM</v>
      </c>
      <c r="C32" s="8" t="str">
        <f>_xlfn.XLOOKUP(Tabla_gap[[#This Row],[Key]],Primer_filtro[Key],Primer_filtro[¿Sensorless?],"")</f>
        <v>Si</v>
      </c>
      <c r="D32" s="8" t="str">
        <f>_xlfn.XLOOKUP(Tabla_gap[[#This Row],[Key]],Primer_filtro[Key],Primer_filtro[Low-speed],"")</f>
        <v>Si</v>
      </c>
      <c r="E32" s="8" t="str">
        <f>_xlfn.XLOOKUP(Tabla_gap[[#This Row],[Key]],Primer_filtro[Key],Primer_filtro[¿Cogging?],"")</f>
        <v>No</v>
      </c>
      <c r="F32" s="8">
        <f>_xlfn.XLOOKUP(Tabla_gap[[#This Row],[Key]],Primer_filtro[Key],Primer_filtro[Compensación?],"")</f>
        <v>0</v>
      </c>
      <c r="G32" s="8" t="str">
        <f>_xlfn.XLOOKUP(Tabla_gap[[#This Row],[Key]],Primer_filtro[Key],Primer_filtro[Método de estimación],"")</f>
        <v>HFI + observer</v>
      </c>
      <c r="H32" s="8" t="str">
        <f>_xlfn.XLOOKUP(Tabla_gap[[#This Row],[Key]],Primer_filtro[Key],Primer_filtro[¿Presenta carga?],"")</f>
        <v>Si, no modela</v>
      </c>
      <c r="I32" s="8">
        <f>_xlfn.XLOOKUP(Tabla_gap[[#This Row],[Key]],Primer_filtro[Key],Primer_filtro[Utilidad para mi memoria],"")</f>
        <v>0</v>
      </c>
      <c r="J32" s="8" t="str">
        <f>_xlfn.XLOOKUP(Tabla_gap[[#This Row],[Key]],Primer_filtro[Key],Primer_filtro[Rol],"")</f>
        <v>Usa HFI
Estructura de distintos modos de sensorless control of PMSM</v>
      </c>
    </row>
    <row r="33" spans="1:10" ht="120" hidden="1" x14ac:dyDescent="0.25">
      <c r="A33" s="8" t="str" cm="1">
        <f t="array" ref="A33">IFERROR(INDEX(_xlfn._xlws.FILTER(Primer_filtro[Key],UPPER(Primer_filtro[Gap])="SI"),ROW()-ROW(Tabla_gap[#Headers])),"")</f>
        <v>ZHDQWY7E</v>
      </c>
      <c r="B33" s="8" t="str">
        <f>_xlfn.XLOOKUP(Tabla_gap[[#This Row],[Key]],Primer_filtro[Key],Primer_filtro[Tipo de motor],"")</f>
        <v>PMSM</v>
      </c>
      <c r="C33" s="8" t="str">
        <f>_xlfn.XLOOKUP(Tabla_gap[[#This Row],[Key]],Primer_filtro[Key],Primer_filtro[¿Sensorless?],"")</f>
        <v>Si</v>
      </c>
      <c r="D33" s="8" t="str">
        <f>_xlfn.XLOOKUP(Tabla_gap[[#This Row],[Key]],Primer_filtro[Key],Primer_filtro[Low-speed],"")</f>
        <v>Si</v>
      </c>
      <c r="E33" s="8" t="str">
        <f>_xlfn.XLOOKUP(Tabla_gap[[#This Row],[Key]],Primer_filtro[Key],Primer_filtro[¿Cogging?],"")</f>
        <v>Si</v>
      </c>
      <c r="F33" s="8" t="str">
        <f>_xlfn.XLOOKUP(Tabla_gap[[#This Row],[Key]],Primer_filtro[Key],Primer_filtro[Compensación?],"")</f>
        <v>LUT</v>
      </c>
      <c r="G33" s="8" t="str">
        <f>_xlfn.XLOOKUP(Tabla_gap[[#This Row],[Key]],Primer_filtro[Key],Primer_filtro[Método de estimación],"")</f>
        <v>back-EMF observer</v>
      </c>
      <c r="H33" s="8" t="str">
        <f>_xlfn.XLOOKUP(Tabla_gap[[#This Row],[Key]],Primer_filtro[Key],Primer_filtro[¿Presenta carga?],"")</f>
        <v>No</v>
      </c>
      <c r="I33" s="8" t="str">
        <f>_xlfn.XLOOKUP(Tabla_gap[[#This Row],[Key]],Primer_filtro[Key],Primer_filtro[Utilidad para mi memoria],"")</f>
        <v>PLL de Te?</v>
      </c>
      <c r="J33" s="8" t="str">
        <f>_xlfn.XLOOKUP(Tabla_gap[[#This Row],[Key]],Primer_filtro[Key],Primer_filtro[Rol],"")</f>
        <v>Menciona el cogging, intenta compensarlo mediante LUT</v>
      </c>
    </row>
    <row r="34" spans="1:10" ht="105" hidden="1" x14ac:dyDescent="0.25">
      <c r="A34" s="8" t="str" cm="1">
        <f t="array" ref="A34">IFERROR(INDEX(_xlfn._xlws.FILTER(Primer_filtro[Key],UPPER(Primer_filtro[Gap])="SI"),ROW()-ROW(Tabla_gap[#Headers])),"")</f>
        <v>27DUUHK6</v>
      </c>
      <c r="B34" s="8">
        <f>_xlfn.XLOOKUP(Tabla_gap[[#This Row],[Key]],Primer_filtro[Key],Primer_filtro[Tipo de motor],"")</f>
        <v>0</v>
      </c>
      <c r="C34" s="8">
        <f>_xlfn.XLOOKUP(Tabla_gap[[#This Row],[Key]],Primer_filtro[Key],Primer_filtro[¿Sensorless?],"")</f>
        <v>0</v>
      </c>
      <c r="D34" s="8">
        <f>_xlfn.XLOOKUP(Tabla_gap[[#This Row],[Key]],Primer_filtro[Key],Primer_filtro[Low-speed],"")</f>
        <v>0</v>
      </c>
      <c r="E34" s="8">
        <f>_xlfn.XLOOKUP(Tabla_gap[[#This Row],[Key]],Primer_filtro[Key],Primer_filtro[¿Cogging?],"")</f>
        <v>0</v>
      </c>
      <c r="F34" s="8">
        <f>_xlfn.XLOOKUP(Tabla_gap[[#This Row],[Key]],Primer_filtro[Key],Primer_filtro[Compensación?],"")</f>
        <v>0</v>
      </c>
      <c r="G34" s="8">
        <f>_xlfn.XLOOKUP(Tabla_gap[[#This Row],[Key]],Primer_filtro[Key],Primer_filtro[Método de estimación],"")</f>
        <v>0</v>
      </c>
      <c r="H34" s="8">
        <f>_xlfn.XLOOKUP(Tabla_gap[[#This Row],[Key]],Primer_filtro[Key],Primer_filtro[¿Presenta carga?],"")</f>
        <v>0</v>
      </c>
      <c r="I34" s="8">
        <f>_xlfn.XLOOKUP(Tabla_gap[[#This Row],[Key]],Primer_filtro[Key],Primer_filtro[Utilidad para mi memoria],"")</f>
        <v>0</v>
      </c>
      <c r="J34" s="8" t="str">
        <f>_xlfn.XLOOKUP(Tabla_gap[[#This Row],[Key]],Primer_filtro[Key],Primer_filtro[Rol],"")</f>
        <v>HFI</v>
      </c>
    </row>
    <row r="35" spans="1:10" hidden="1" x14ac:dyDescent="0.25">
      <c r="A35" s="8" t="str" cm="1">
        <f t="array" ref="A35">IFERROR(INDEX(_xlfn._xlws.FILTER(Primer_filtro[Key],UPPER(Primer_filtro[Gap])="SI"),ROW()-ROW(Tabla_gap[#Headers])),"")</f>
        <v>4QGG7YRS</v>
      </c>
      <c r="B35" s="8" t="str">
        <f>_xlfn.XLOOKUP(Tabla_gap[[#This Row],[Key]],Primer_filtro[Key],Primer_filtro[Tipo de motor],"")</f>
        <v>PMSM</v>
      </c>
      <c r="C35" s="8" t="str">
        <f>_xlfn.XLOOKUP(Tabla_gap[[#This Row],[Key]],Primer_filtro[Key],Primer_filtro[¿Sensorless?],"")</f>
        <v>Si</v>
      </c>
      <c r="D35" s="8" t="str">
        <f>_xlfn.XLOOKUP(Tabla_gap[[#This Row],[Key]],Primer_filtro[Key],Primer_filtro[Low-speed],"")</f>
        <v>No</v>
      </c>
      <c r="E35" s="8">
        <f>_xlfn.XLOOKUP(Tabla_gap[[#This Row],[Key]],Primer_filtro[Key],Primer_filtro[¿Cogging?],"")</f>
        <v>0</v>
      </c>
      <c r="F35" s="8">
        <f>_xlfn.XLOOKUP(Tabla_gap[[#This Row],[Key]],Primer_filtro[Key],Primer_filtro[Compensación?],"")</f>
        <v>0</v>
      </c>
      <c r="G35" s="8" t="str">
        <f>_xlfn.XLOOKUP(Tabla_gap[[#This Row],[Key]],Primer_filtro[Key],Primer_filtro[Método de estimación],"")</f>
        <v>EKF</v>
      </c>
      <c r="H35" s="8">
        <f>_xlfn.XLOOKUP(Tabla_gap[[#This Row],[Key]],Primer_filtro[Key],Primer_filtro[¿Presenta carga?],"")</f>
        <v>0</v>
      </c>
      <c r="I35" s="8">
        <f>_xlfn.XLOOKUP(Tabla_gap[[#This Row],[Key]],Primer_filtro[Key],Primer_filtro[Utilidad para mi memoria],"")</f>
        <v>0</v>
      </c>
      <c r="J35" s="8" t="str">
        <f>_xlfn.XLOOKUP(Tabla_gap[[#This Row],[Key]],Primer_filtro[Key],Primer_filtro[Rol],"")</f>
        <v xml:space="preserve">Intenta demostrar que es localmente no-observable a velocidad 0
</v>
      </c>
    </row>
    <row r="36" spans="1:10" ht="30" x14ac:dyDescent="0.25">
      <c r="A36" s="8" t="str" cm="1">
        <f t="array" ref="A36">IFERROR(INDEX(_xlfn._xlws.FILTER(Primer_filtro[Key],UPPER(Primer_filtro[Gap])="SI"),ROW()-ROW(Tabla_gap[#Headers])),"")</f>
        <v>4Z4STFVN</v>
      </c>
      <c r="B36" s="8" t="str">
        <f>_xlfn.XLOOKUP(Tabla_gap[[#This Row],[Key]],Primer_filtro[Key],Primer_filtro[Tipo de motor],"")</f>
        <v>PMSM</v>
      </c>
      <c r="C36" s="8" t="str">
        <f>_xlfn.XLOOKUP(Tabla_gap[[#This Row],[Key]],Primer_filtro[Key],Primer_filtro[¿Sensorless?],"")</f>
        <v>Si</v>
      </c>
      <c r="D36" s="8" t="str">
        <f>_xlfn.XLOOKUP(Tabla_gap[[#This Row],[Key]],Primer_filtro[Key],Primer_filtro[Low-speed],"")</f>
        <v>No</v>
      </c>
      <c r="E36" s="8" t="str">
        <f>_xlfn.XLOOKUP(Tabla_gap[[#This Row],[Key]],Primer_filtro[Key],Primer_filtro[¿Cogging?],"")</f>
        <v>No</v>
      </c>
      <c r="F36" s="8">
        <f>_xlfn.XLOOKUP(Tabla_gap[[#This Row],[Key]],Primer_filtro[Key],Primer_filtro[Compensación?],"")</f>
        <v>0</v>
      </c>
      <c r="G36" s="8" t="str">
        <f>_xlfn.XLOOKUP(Tabla_gap[[#This Row],[Key]],Primer_filtro[Key],Primer_filtro[Método de estimación],"")</f>
        <v>Observer</v>
      </c>
      <c r="H36" s="8">
        <f>_xlfn.XLOOKUP(Tabla_gap[[#This Row],[Key]],Primer_filtro[Key],Primer_filtro[¿Presenta carga?],"")</f>
        <v>0</v>
      </c>
      <c r="I36" s="8" t="str">
        <f>_xlfn.XLOOKUP(Tabla_gap[[#This Row],[Key]],Primer_filtro[Key],Primer_filtro[Utilidad para mi memoria],"")</f>
        <v>no mucha</v>
      </c>
      <c r="J36" s="8" t="str">
        <f>_xlfn.XLOOKUP(Tabla_gap[[#This Row],[Key]],Primer_filtro[Key],Primer_filtro[Rol],"")</f>
        <v>define un área pequeña de baja observabilidad</v>
      </c>
    </row>
    <row r="37" spans="1:10" ht="45" x14ac:dyDescent="0.25">
      <c r="A37" s="8" t="str" cm="1">
        <f t="array" ref="A37">IFERROR(INDEX(_xlfn._xlws.FILTER(Primer_filtro[Key],UPPER(Primer_filtro[Gap])="SI"),ROW()-ROW(Tabla_gap[#Headers])),"")</f>
        <v>6T8GNZUN</v>
      </c>
      <c r="B37" s="8" t="str">
        <f>_xlfn.XLOOKUP(Tabla_gap[[#This Row],[Key]],Primer_filtro[Key],Primer_filtro[Tipo de motor],"")</f>
        <v>PMSM</v>
      </c>
      <c r="C37" s="8" t="str">
        <f>_xlfn.XLOOKUP(Tabla_gap[[#This Row],[Key]],Primer_filtro[Key],Primer_filtro[¿Sensorless?],"")</f>
        <v>Si</v>
      </c>
      <c r="D37" s="8">
        <f>_xlfn.XLOOKUP(Tabla_gap[[#This Row],[Key]],Primer_filtro[Key],Primer_filtro[Low-speed],"")</f>
        <v>0</v>
      </c>
      <c r="E37" s="8" t="str">
        <f>_xlfn.XLOOKUP(Tabla_gap[[#This Row],[Key]],Primer_filtro[Key],Primer_filtro[¿Cogging?],"")</f>
        <v>Si</v>
      </c>
      <c r="F37" s="8" t="str">
        <f>_xlfn.XLOOKUP(Tabla_gap[[#This Row],[Key]],Primer_filtro[Key],Primer_filtro[Compensación?],"")</f>
        <v>no</v>
      </c>
      <c r="G37" s="8" t="str">
        <f>_xlfn.XLOOKUP(Tabla_gap[[#This Row],[Key]],Primer_filtro[Key],Primer_filtro[Método de estimación],"")</f>
        <v>Hybrid position observer</v>
      </c>
      <c r="H37" s="8" t="str">
        <f>_xlfn.XLOOKUP(Tabla_gap[[#This Row],[Key]],Primer_filtro[Key],Primer_filtro[¿Presenta carga?],"")</f>
        <v>no</v>
      </c>
      <c r="I37" s="8" t="str">
        <f>_xlfn.XLOOKUP(Tabla_gap[[#This Row],[Key]],Primer_filtro[Key],Primer_filtro[Utilidad para mi memoria],"")</f>
        <v>gráficas</v>
      </c>
      <c r="J37" s="8" t="str">
        <f>_xlfn.XLOOKUP(Tabla_gap[[#This Row],[Key]],Primer_filtro[Key],Primer_filtro[Rol],"")</f>
        <v>Estructura referencial de gráfica de corrientes</v>
      </c>
    </row>
    <row r="38" spans="1:10" ht="60" x14ac:dyDescent="0.25">
      <c r="A38" s="8" t="str" cm="1">
        <f t="array" ref="A38">IFERROR(INDEX(_xlfn._xlws.FILTER(Primer_filtro[Key],UPPER(Primer_filtro[Gap])="SI"),ROW()-ROW(Tabla_gap[#Headers])),"")</f>
        <v>CQRK3FPB</v>
      </c>
      <c r="B38" s="8" t="str">
        <f>_xlfn.XLOOKUP(Tabla_gap[[#This Row],[Key]],Primer_filtro[Key],Primer_filtro[Tipo de motor],"")</f>
        <v>PMSM</v>
      </c>
      <c r="C38" s="8" t="str">
        <f>_xlfn.XLOOKUP(Tabla_gap[[#This Row],[Key]],Primer_filtro[Key],Primer_filtro[¿Sensorless?],"")</f>
        <v>Si</v>
      </c>
      <c r="D38" s="8" t="str">
        <f>_xlfn.XLOOKUP(Tabla_gap[[#This Row],[Key]],Primer_filtro[Key],Primer_filtro[Low-speed],"")</f>
        <v>Si</v>
      </c>
      <c r="E38" s="8" t="str">
        <f>_xlfn.XLOOKUP(Tabla_gap[[#This Row],[Key]],Primer_filtro[Key],Primer_filtro[¿Cogging?],"")</f>
        <v>Si</v>
      </c>
      <c r="F38" s="8" t="str">
        <f>_xlfn.XLOOKUP(Tabla_gap[[#This Row],[Key]],Primer_filtro[Key],Primer_filtro[Compensación?],"")</f>
        <v>Mapa</v>
      </c>
      <c r="G38" s="8" t="str">
        <f>_xlfn.XLOOKUP(Tabla_gap[[#This Row],[Key]],Primer_filtro[Key],Primer_filtro[Método de estimación],"")</f>
        <v xml:space="preserve">HFI </v>
      </c>
      <c r="H38" s="8" t="str">
        <f>_xlfn.XLOOKUP(Tabla_gap[[#This Row],[Key]],Primer_filtro[Key],Primer_filtro[¿Presenta carga?],"")</f>
        <v>No modela</v>
      </c>
      <c r="I38" s="8">
        <f>_xlfn.XLOOKUP(Tabla_gap[[#This Row],[Key]],Primer_filtro[Key],Primer_filtro[Utilidad para mi memoria],"")</f>
        <v>0</v>
      </c>
      <c r="J38" s="8" t="str">
        <f>_xlfn.XLOOKUP(Tabla_gap[[#This Row],[Key]],Primer_filtro[Key],Primer_filtro[Rol],"")</f>
        <v>Presenta algunas definiciones de HFI
usa cogging pero mapeado</v>
      </c>
    </row>
    <row r="39" spans="1:10" x14ac:dyDescent="0.25">
      <c r="A39" s="8" t="str" cm="1">
        <f t="array" ref="A39">IFERROR(INDEX(_xlfn._xlws.FILTER(Primer_filtro[Key],UPPER(Primer_filtro[Gap])="SI"),ROW()-ROW(Tabla_gap[#Headers])),"")</f>
        <v>F4D6ZWHC</v>
      </c>
      <c r="B39" s="8" t="str">
        <f>_xlfn.XLOOKUP(Tabla_gap[[#This Row],[Key]],Primer_filtro[Key],Primer_filtro[Tipo de motor],"")</f>
        <v>PMSM</v>
      </c>
      <c r="C39" s="8" t="str">
        <f>_xlfn.XLOOKUP(Tabla_gap[[#This Row],[Key]],Primer_filtro[Key],Primer_filtro[¿Sensorless?],"")</f>
        <v>No</v>
      </c>
      <c r="D39" s="8" t="str">
        <f>_xlfn.XLOOKUP(Tabla_gap[[#This Row],[Key]],Primer_filtro[Key],Primer_filtro[Low-speed],"")</f>
        <v>No</v>
      </c>
      <c r="E39" s="8" t="str">
        <f>_xlfn.XLOOKUP(Tabla_gap[[#This Row],[Key]],Primer_filtro[Key],Primer_filtro[¿Cogging?],"")</f>
        <v>Si</v>
      </c>
      <c r="F39" s="8" t="str">
        <f>_xlfn.XLOOKUP(Tabla_gap[[#This Row],[Key]],Primer_filtro[Key],Primer_filtro[Compensación?],"")</f>
        <v>LUT</v>
      </c>
      <c r="G39" s="8">
        <f>_xlfn.XLOOKUP(Tabla_gap[[#This Row],[Key]],Primer_filtro[Key],Primer_filtro[Método de estimación],"")</f>
        <v>0</v>
      </c>
      <c r="H39" s="8" t="str">
        <f>_xlfn.XLOOKUP(Tabla_gap[[#This Row],[Key]],Primer_filtro[Key],Primer_filtro[¿Presenta carga?],"")</f>
        <v>No</v>
      </c>
      <c r="I39" s="8">
        <f>_xlfn.XLOOKUP(Tabla_gap[[#This Row],[Key]],Primer_filtro[Key],Primer_filtro[Utilidad para mi memoria],"")</f>
        <v>0</v>
      </c>
      <c r="J39" s="8" t="str">
        <f>_xlfn.XLOOKUP(Tabla_gap[[#This Row],[Key]],Primer_filtro[Key],Primer_filtro[Rol],"")</f>
        <v>Solo LUT cogging</v>
      </c>
    </row>
    <row r="40" spans="1:10" ht="45" x14ac:dyDescent="0.25">
      <c r="A40" s="8" t="str" cm="1">
        <f t="array" ref="A40">IFERROR(INDEX(_xlfn._xlws.FILTER(Primer_filtro[Key],UPPER(Primer_filtro[Gap])="SI"),ROW()-ROW(Tabla_gap[#Headers])),"")</f>
        <v>FTGUHH3X</v>
      </c>
      <c r="B40" s="8" t="str">
        <f>_xlfn.XLOOKUP(Tabla_gap[[#This Row],[Key]],Primer_filtro[Key],Primer_filtro[Tipo de motor],"")</f>
        <v>PMSM</v>
      </c>
      <c r="C40" s="8" t="str">
        <f>_xlfn.XLOOKUP(Tabla_gap[[#This Row],[Key]],Primer_filtro[Key],Primer_filtro[¿Sensorless?],"")</f>
        <v>no</v>
      </c>
      <c r="D40" s="8">
        <f>_xlfn.XLOOKUP(Tabla_gap[[#This Row],[Key]],Primer_filtro[Key],Primer_filtro[Low-speed],"")</f>
        <v>0</v>
      </c>
      <c r="E40" s="8" t="str">
        <f>_xlfn.XLOOKUP(Tabla_gap[[#This Row],[Key]],Primer_filtro[Key],Primer_filtro[¿Cogging?],"")</f>
        <v>no</v>
      </c>
      <c r="F40" s="8">
        <f>_xlfn.XLOOKUP(Tabla_gap[[#This Row],[Key]],Primer_filtro[Key],Primer_filtro[Compensación?],"")</f>
        <v>0</v>
      </c>
      <c r="G40" s="8" t="str">
        <f>_xlfn.XLOOKUP(Tabla_gap[[#This Row],[Key]],Primer_filtro[Key],Primer_filtro[Método de estimación],"")</f>
        <v>potencia activa y reactiva</v>
      </c>
      <c r="H40" s="8">
        <f>_xlfn.XLOOKUP(Tabla_gap[[#This Row],[Key]],Primer_filtro[Key],Primer_filtro[¿Presenta carga?],"")</f>
        <v>0</v>
      </c>
      <c r="I40" s="8" t="str">
        <f>_xlfn.XLOOKUP(Tabla_gap[[#This Row],[Key]],Primer_filtro[Key],Primer_filtro[Utilidad para mi memoria],"")</f>
        <v>Nada</v>
      </c>
      <c r="J40" s="8" t="str">
        <f>_xlfn.XLOOKUP(Tabla_gap[[#This Row],[Key]],Primer_filtro[Key],Primer_filtro[Rol],"")</f>
        <v>Usa potencia activa y reactiva para controlar y compensar</v>
      </c>
    </row>
    <row r="41" spans="1:10" ht="60" x14ac:dyDescent="0.25">
      <c r="A41" s="8" t="str" cm="1">
        <f t="array" ref="A41">IFERROR(INDEX(_xlfn._xlws.FILTER(Primer_filtro[Key],UPPER(Primer_filtro[Gap])="SI"),ROW()-ROW(Tabla_gap[#Headers])),"")</f>
        <v>GK8Q88RJ</v>
      </c>
      <c r="B41" s="8" t="str">
        <f>_xlfn.XLOOKUP(Tabla_gap[[#This Row],[Key]],Primer_filtro[Key],Primer_filtro[Tipo de motor],"")</f>
        <v>PMSM</v>
      </c>
      <c r="C41" s="8" t="str">
        <f>_xlfn.XLOOKUP(Tabla_gap[[#This Row],[Key]],Primer_filtro[Key],Primer_filtro[¿Sensorless?],"")</f>
        <v>Si</v>
      </c>
      <c r="D41" s="8">
        <f>_xlfn.XLOOKUP(Tabla_gap[[#This Row],[Key]],Primer_filtro[Key],Primer_filtro[Low-speed],"")</f>
        <v>0</v>
      </c>
      <c r="E41" s="8" t="str">
        <f>_xlfn.XLOOKUP(Tabla_gap[[#This Row],[Key]],Primer_filtro[Key],Primer_filtro[¿Cogging?],"")</f>
        <v>Si</v>
      </c>
      <c r="F41" s="8" t="str">
        <f>_xlfn.XLOOKUP(Tabla_gap[[#This Row],[Key]],Primer_filtro[Key],Primer_filtro[Compensación?],"")</f>
        <v>Si</v>
      </c>
      <c r="G41" s="8" t="str">
        <f>_xlfn.XLOOKUP(Tabla_gap[[#This Row],[Key]],Primer_filtro[Key],Primer_filtro[Método de estimación],"")</f>
        <v>Signal processing &amp; observer</v>
      </c>
      <c r="H41" s="8" t="str">
        <f>_xlfn.XLOOKUP(Tabla_gap[[#This Row],[Key]],Primer_filtro[Key],Primer_filtro[¿Presenta carga?],"")</f>
        <v>Si</v>
      </c>
      <c r="I41" s="8">
        <f>_xlfn.XLOOKUP(Tabla_gap[[#This Row],[Key]],Primer_filtro[Key],Primer_filtro[Utilidad para mi memoria],"")</f>
        <v>0</v>
      </c>
      <c r="J41" s="8" t="str">
        <f>_xlfn.XLOOKUP(Tabla_gap[[#This Row],[Key]],Primer_filtro[Key],Primer_filtro[Rol],"")</f>
        <v>Usa LF y HF para compensar cogging y sensorless.
No explica como*</v>
      </c>
    </row>
    <row r="42" spans="1:10" ht="30" x14ac:dyDescent="0.25">
      <c r="A42" s="8" t="str" cm="1">
        <f t="array" ref="A42">IFERROR(INDEX(_xlfn._xlws.FILTER(Primer_filtro[Key],UPPER(Primer_filtro[Gap])="SI"),ROW()-ROW(Tabla_gap[#Headers])),"")</f>
        <v>I4STCLIY</v>
      </c>
      <c r="B42" s="8" t="str">
        <f>_xlfn.XLOOKUP(Tabla_gap[[#This Row],[Key]],Primer_filtro[Key],Primer_filtro[Tipo de motor],"")</f>
        <v>PSMSM</v>
      </c>
      <c r="C42" s="8" t="str">
        <f>_xlfn.XLOOKUP(Tabla_gap[[#This Row],[Key]],Primer_filtro[Key],Primer_filtro[¿Sensorless?],"")</f>
        <v>Si</v>
      </c>
      <c r="D42" s="8" t="str">
        <f>_xlfn.XLOOKUP(Tabla_gap[[#This Row],[Key]],Primer_filtro[Key],Primer_filtro[Low-speed],"")</f>
        <v>No</v>
      </c>
      <c r="E42" s="8">
        <f>_xlfn.XLOOKUP(Tabla_gap[[#This Row],[Key]],Primer_filtro[Key],Primer_filtro[¿Cogging?],"")</f>
        <v>0</v>
      </c>
      <c r="F42" s="8">
        <f>_xlfn.XLOOKUP(Tabla_gap[[#This Row],[Key]],Primer_filtro[Key],Primer_filtro[Compensación?],"")</f>
        <v>0</v>
      </c>
      <c r="G42" s="8" t="str">
        <f>_xlfn.XLOOKUP(Tabla_gap[[#This Row],[Key]],Primer_filtro[Key],Primer_filtro[Método de estimación],"")</f>
        <v>back-EMF observer</v>
      </c>
      <c r="H42" s="8">
        <f>_xlfn.XLOOKUP(Tabla_gap[[#This Row],[Key]],Primer_filtro[Key],Primer_filtro[¿Presenta carga?],"")</f>
        <v>0</v>
      </c>
      <c r="I42" s="8">
        <f>_xlfn.XLOOKUP(Tabla_gap[[#This Row],[Key]],Primer_filtro[Key],Primer_filtro[Utilidad para mi memoria],"")</f>
        <v>0</v>
      </c>
      <c r="J42" s="8" t="str">
        <f>_xlfn.XLOOKUP(Tabla_gap[[#This Row],[Key]],Primer_filtro[Key],Primer_filtro[Rol],"")</f>
        <v>No presenta cogging</v>
      </c>
    </row>
    <row r="43" spans="1:10" ht="45" x14ac:dyDescent="0.25">
      <c r="A43" s="8" t="str" cm="1">
        <f t="array" ref="A43">IFERROR(INDEX(_xlfn._xlws.FILTER(Primer_filtro[Key],UPPER(Primer_filtro[Gap])="SI"),ROW()-ROW(Tabla_gap[#Headers])),"")</f>
        <v>IAGHG22Q</v>
      </c>
      <c r="B43" s="8" t="str">
        <f>_xlfn.XLOOKUP(Tabla_gap[[#This Row],[Key]],Primer_filtro[Key],Primer_filtro[Tipo de motor],"")</f>
        <v>PMSM</v>
      </c>
      <c r="C43" s="8">
        <f>_xlfn.XLOOKUP(Tabla_gap[[#This Row],[Key]],Primer_filtro[Key],Primer_filtro[¿Sensorless?],"")</f>
        <v>0</v>
      </c>
      <c r="D43" s="8">
        <f>_xlfn.XLOOKUP(Tabla_gap[[#This Row],[Key]],Primer_filtro[Key],Primer_filtro[Low-speed],"")</f>
        <v>0</v>
      </c>
      <c r="E43" s="8">
        <f>_xlfn.XLOOKUP(Tabla_gap[[#This Row],[Key]],Primer_filtro[Key],Primer_filtro[¿Cogging?],"")</f>
        <v>0</v>
      </c>
      <c r="F43" s="8">
        <f>_xlfn.XLOOKUP(Tabla_gap[[#This Row],[Key]],Primer_filtro[Key],Primer_filtro[Compensación?],"")</f>
        <v>0</v>
      </c>
      <c r="G43" s="8">
        <f>_xlfn.XLOOKUP(Tabla_gap[[#This Row],[Key]],Primer_filtro[Key],Primer_filtro[Método de estimación],"")</f>
        <v>0</v>
      </c>
      <c r="H43" s="8">
        <f>_xlfn.XLOOKUP(Tabla_gap[[#This Row],[Key]],Primer_filtro[Key],Primer_filtro[¿Presenta carga?],"")</f>
        <v>0</v>
      </c>
      <c r="I43" s="8" t="str">
        <f>_xlfn.XLOOKUP(Tabla_gap[[#This Row],[Key]],Primer_filtro[Key],Primer_filtro[Utilidad para mi memoria],"")</f>
        <v>iterative learninc control</v>
      </c>
      <c r="J43" s="8" t="str">
        <f>_xlfn.XLOOKUP(Tabla_gap[[#This Row],[Key]],Primer_filtro[Key],Primer_filtro[Rol],"")</f>
        <v>iterative learning</v>
      </c>
    </row>
    <row r="44" spans="1:10" ht="45" x14ac:dyDescent="0.25">
      <c r="A44" s="8" t="str" cm="1">
        <f t="array" ref="A44">IFERROR(INDEX(_xlfn._xlws.FILTER(Primer_filtro[Key],UPPER(Primer_filtro[Gap])="SI"),ROW()-ROW(Tabla_gap[#Headers])),"")</f>
        <v>JXEXLBNJ</v>
      </c>
      <c r="B44" s="8">
        <f>_xlfn.XLOOKUP(Tabla_gap[[#This Row],[Key]],Primer_filtro[Key],Primer_filtro[Tipo de motor],"")</f>
        <v>0</v>
      </c>
      <c r="C44" s="8">
        <f>_xlfn.XLOOKUP(Tabla_gap[[#This Row],[Key]],Primer_filtro[Key],Primer_filtro[¿Sensorless?],"")</f>
        <v>0</v>
      </c>
      <c r="D44" s="8">
        <f>_xlfn.XLOOKUP(Tabla_gap[[#This Row],[Key]],Primer_filtro[Key],Primer_filtro[Low-speed],"")</f>
        <v>0</v>
      </c>
      <c r="E44" s="8">
        <f>_xlfn.XLOOKUP(Tabla_gap[[#This Row],[Key]],Primer_filtro[Key],Primer_filtro[¿Cogging?],"")</f>
        <v>0</v>
      </c>
      <c r="F44" s="8">
        <f>_xlfn.XLOOKUP(Tabla_gap[[#This Row],[Key]],Primer_filtro[Key],Primer_filtro[Compensación?],"")</f>
        <v>0</v>
      </c>
      <c r="G44" s="8">
        <f>_xlfn.XLOOKUP(Tabla_gap[[#This Row],[Key]],Primer_filtro[Key],Primer_filtro[Método de estimación],"")</f>
        <v>0</v>
      </c>
      <c r="H44" s="8">
        <f>_xlfn.XLOOKUP(Tabla_gap[[#This Row],[Key]],Primer_filtro[Key],Primer_filtro[¿Presenta carga?],"")</f>
        <v>0</v>
      </c>
      <c r="I44" s="8">
        <f>_xlfn.XLOOKUP(Tabla_gap[[#This Row],[Key]],Primer_filtro[Key],Primer_filtro[Utilidad para mi memoria],"")</f>
        <v>0</v>
      </c>
      <c r="J44" s="8" t="str">
        <f>_xlfn.XLOOKUP(Tabla_gap[[#This Row],[Key]],Primer_filtro[Key],Primer_filtro[Rol],"")</f>
        <v>Usa un método alternativo para corregir velocidad</v>
      </c>
    </row>
    <row r="45" spans="1:10" ht="45" x14ac:dyDescent="0.25">
      <c r="A45" s="8" t="str" cm="1">
        <f t="array" ref="A45">IFERROR(INDEX(_xlfn._xlws.FILTER(Primer_filtro[Key],UPPER(Primer_filtro[Gap])="SI"),ROW()-ROW(Tabla_gap[#Headers])),"")</f>
        <v>QHVIXUIX</v>
      </c>
      <c r="B45" s="8">
        <f>_xlfn.XLOOKUP(Tabla_gap[[#This Row],[Key]],Primer_filtro[Key],Primer_filtro[Tipo de motor],"")</f>
        <v>0</v>
      </c>
      <c r="C45" s="8">
        <f>_xlfn.XLOOKUP(Tabla_gap[[#This Row],[Key]],Primer_filtro[Key],Primer_filtro[¿Sensorless?],"")</f>
        <v>0</v>
      </c>
      <c r="D45" s="8">
        <f>_xlfn.XLOOKUP(Tabla_gap[[#This Row],[Key]],Primer_filtro[Key],Primer_filtro[Low-speed],"")</f>
        <v>0</v>
      </c>
      <c r="E45" s="8">
        <f>_xlfn.XLOOKUP(Tabla_gap[[#This Row],[Key]],Primer_filtro[Key],Primer_filtro[¿Cogging?],"")</f>
        <v>0</v>
      </c>
      <c r="F45" s="8">
        <f>_xlfn.XLOOKUP(Tabla_gap[[#This Row],[Key]],Primer_filtro[Key],Primer_filtro[Compensación?],"")</f>
        <v>0</v>
      </c>
      <c r="G45" s="8">
        <f>_xlfn.XLOOKUP(Tabla_gap[[#This Row],[Key]],Primer_filtro[Key],Primer_filtro[Método de estimación],"")</f>
        <v>0</v>
      </c>
      <c r="H45" s="8">
        <f>_xlfn.XLOOKUP(Tabla_gap[[#This Row],[Key]],Primer_filtro[Key],Primer_filtro[¿Presenta carga?],"")</f>
        <v>0</v>
      </c>
      <c r="I45" s="8">
        <f>_xlfn.XLOOKUP(Tabla_gap[[#This Row],[Key]],Primer_filtro[Key],Primer_filtro[Utilidad para mi memoria],"")</f>
        <v>0</v>
      </c>
      <c r="J45" s="8" t="str">
        <f>_xlfn.XLOOKUP(Tabla_gap[[#This Row],[Key]],Primer_filtro[Key],Primer_filtro[Rol],"")</f>
        <v>Observa carga y velocidad
Usa fuzzy logic</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C317A-B778-4619-8132-4410225D911D}">
  <dimension ref="A1:J35"/>
  <sheetViews>
    <sheetView topLeftCell="A22" workbookViewId="0">
      <selection activeCell="J29" sqref="J29:J35"/>
    </sheetView>
  </sheetViews>
  <sheetFormatPr baseColWidth="10" defaultRowHeight="15" x14ac:dyDescent="0.25"/>
  <cols>
    <col min="1" max="1" width="40.42578125" style="8" customWidth="1"/>
    <col min="2" max="2" width="12.28515625" style="8" customWidth="1"/>
    <col min="3" max="16384" width="11.42578125" style="8"/>
  </cols>
  <sheetData>
    <row r="1" spans="1:10" ht="30" x14ac:dyDescent="0.25">
      <c r="A1" s="8" t="s">
        <v>0</v>
      </c>
      <c r="B1" s="8" t="s">
        <v>510</v>
      </c>
      <c r="C1" s="8" t="s">
        <v>665</v>
      </c>
      <c r="D1" s="8" t="s">
        <v>666</v>
      </c>
      <c r="E1" s="8" t="s">
        <v>349</v>
      </c>
      <c r="F1" s="8" t="s">
        <v>667</v>
      </c>
      <c r="G1" s="8" t="s">
        <v>668</v>
      </c>
      <c r="H1" s="8" t="s">
        <v>669</v>
      </c>
      <c r="I1" s="8" t="s">
        <v>973</v>
      </c>
      <c r="J1" s="8" t="s">
        <v>672</v>
      </c>
    </row>
    <row r="2" spans="1:10" ht="135" x14ac:dyDescent="0.25">
      <c r="A2" s="8" t="str" cm="1">
        <f t="array" ref="A2">IFERROR(INDEX(_xlfn._xlws.FILTER(Primer_filtro[Key],UPPER(Primer_filtro[Matematica])="SI"),ROW()-ROW(Tabla_gap6[#Headers])),"")</f>
        <v>8ZPQX5EM</v>
      </c>
      <c r="B2" s="8" t="str">
        <f>_xlfn.XLOOKUP(Tabla_gap6[[#This Row],[Key]],Primer_filtro[Key],Primer_filtro[Tipo de motor],"")</f>
        <v>Stepper</v>
      </c>
      <c r="C2" s="8" t="str">
        <f>_xlfn.XLOOKUP(Tabla_gap6[[#This Row],[Key]],Primer_filtro[Key],Primer_filtro[¿Sensorless?],"")</f>
        <v>No</v>
      </c>
      <c r="D2" s="8" t="str">
        <f>_xlfn.XLOOKUP(Tabla_gap6[[#This Row],[Key]],Primer_filtro[Key],Primer_filtro[Low-speed],"")</f>
        <v>Si</v>
      </c>
      <c r="E2" s="8" t="str">
        <f>_xlfn.XLOOKUP(Tabla_gap6[[#This Row],[Key]],Primer_filtro[Key],Primer_filtro[¿Cogging?],"")</f>
        <v>si</v>
      </c>
      <c r="F2" s="8" t="str">
        <f>_xlfn.XLOOKUP(Tabla_gap6[[#This Row],[Key]],Primer_filtro[Key],Primer_filtro[Compensación?],"")</f>
        <v>resonant controller</v>
      </c>
      <c r="G2" s="8">
        <f>_xlfn.XLOOKUP(Tabla_gap6[[#This Row],[Key]],Primer_filtro[Key],Primer_filtro[Método de estimación],"")</f>
        <v>0</v>
      </c>
      <c r="H2" s="8" t="str">
        <f>_xlfn.XLOOKUP(Tabla_gap6[[#This Row],[Key]],Primer_filtro[Key],Primer_filtro[¿Presenta carga?],"")</f>
        <v>Si, no modela</v>
      </c>
      <c r="I2" s="8" t="str">
        <f>_xlfn.XLOOKUP(Tabla_gap6[[#This Row],[Key]],Primer_filtro[Key],Primer_filtro[Utilidad para mi memoria],"")</f>
        <v>Analisis THD
resonant controller
analisis db
comparación de PR para distintos J</v>
      </c>
      <c r="J2" s="8" t="str">
        <f>_xlfn.XLOOKUP(Tabla_gap6[[#This Row],[Key]],Primer_filtro[Key],Primer_filtro[Rol],"")</f>
        <v>Aporta con RI controller
Aporta con THD análisis</v>
      </c>
    </row>
    <row r="3" spans="1:10" ht="75" x14ac:dyDescent="0.25">
      <c r="A3" s="8" t="str" cm="1">
        <f t="array" ref="A3">IFERROR(INDEX(_xlfn._xlws.FILTER(Primer_filtro[Key],UPPER(Primer_filtro[Matematica])="SI"),ROW()-ROW(Tabla_gap6[#Headers])),"")</f>
        <v>F28DY3B6</v>
      </c>
      <c r="B3" s="8" t="str">
        <f>_xlfn.XLOOKUP(Tabla_gap6[[#This Row],[Key]],Primer_filtro[Key],Primer_filtro[Tipo de motor],"")</f>
        <v>PMSM</v>
      </c>
      <c r="C3" s="8" t="str">
        <f>_xlfn.XLOOKUP(Tabla_gap6[[#This Row],[Key]],Primer_filtro[Key],Primer_filtro[¿Sensorless?],"")</f>
        <v>No</v>
      </c>
      <c r="D3" s="8">
        <f>_xlfn.XLOOKUP(Tabla_gap6[[#This Row],[Key]],Primer_filtro[Key],Primer_filtro[Low-speed],"")</f>
        <v>0</v>
      </c>
      <c r="E3" s="8">
        <f>_xlfn.XLOOKUP(Tabla_gap6[[#This Row],[Key]],Primer_filtro[Key],Primer_filtro[¿Cogging?],"")</f>
        <v>0</v>
      </c>
      <c r="F3" s="8" t="str">
        <f>_xlfn.XLOOKUP(Tabla_gap6[[#This Row],[Key]],Primer_filtro[Key],Primer_filtro[Compensación?],"")</f>
        <v>Harmónicos? Polos zeros?</v>
      </c>
      <c r="G3" s="8" t="str">
        <f>_xlfn.XLOOKUP(Tabla_gap6[[#This Row],[Key]],Primer_filtro[Key],Primer_filtro[Método de estimación],"")</f>
        <v>ESO</v>
      </c>
      <c r="H3" s="8">
        <f>_xlfn.XLOOKUP(Tabla_gap6[[#This Row],[Key]],Primer_filtro[Key],Primer_filtro[¿Presenta carga?],"")</f>
        <v>0</v>
      </c>
      <c r="I3" s="8">
        <f>_xlfn.XLOOKUP(Tabla_gap6[[#This Row],[Key]],Primer_filtro[Key],Primer_filtro[Utilidad para mi memoria],"")</f>
        <v>0</v>
      </c>
      <c r="J3" s="8" t="str">
        <f>_xlfn.XLOOKUP(Tabla_gap6[[#This Row],[Key]],Primer_filtro[Key],Primer_filtro[Rol],"")</f>
        <v>Utilidad de estados extendidos, no es sensorless</v>
      </c>
    </row>
    <row r="4" spans="1:10" ht="150" x14ac:dyDescent="0.25">
      <c r="A4" s="8" t="str" cm="1">
        <f t="array" ref="A4">IFERROR(INDEX(_xlfn._xlws.FILTER(Primer_filtro[Key],UPPER(Primer_filtro[Matematica])="SI"),ROW()-ROW(Tabla_gap6[#Headers])),"")</f>
        <v>F86QFM92</v>
      </c>
      <c r="B4" s="8" t="str">
        <f>_xlfn.XLOOKUP(Tabla_gap6[[#This Row],[Key]],Primer_filtro[Key],Primer_filtro[Tipo de motor],"")</f>
        <v>PMSM</v>
      </c>
      <c r="C4" s="8" t="str">
        <f>_xlfn.XLOOKUP(Tabla_gap6[[#This Row],[Key]],Primer_filtro[Key],Primer_filtro[¿Sensorless?],"")</f>
        <v>Si</v>
      </c>
      <c r="D4" s="8" t="str">
        <f>_xlfn.XLOOKUP(Tabla_gap6[[#This Row],[Key]],Primer_filtro[Key],Primer_filtro[Low-speed],"")</f>
        <v>Si</v>
      </c>
      <c r="E4" s="8">
        <f>_xlfn.XLOOKUP(Tabla_gap6[[#This Row],[Key]],Primer_filtro[Key],Primer_filtro[¿Cogging?],"")</f>
        <v>0</v>
      </c>
      <c r="F4" s="8">
        <f>_xlfn.XLOOKUP(Tabla_gap6[[#This Row],[Key]],Primer_filtro[Key],Primer_filtro[Compensación?],"")</f>
        <v>0</v>
      </c>
      <c r="G4" s="8" t="str">
        <f>_xlfn.XLOOKUP(Tabla_gap6[[#This Row],[Key]],Primer_filtro[Key],Primer_filtro[Método de estimación],"")</f>
        <v>Observador</v>
      </c>
      <c r="H4" s="8" t="str">
        <f>_xlfn.XLOOKUP(Tabla_gap6[[#This Row],[Key]],Primer_filtro[Key],Primer_filtro[¿Presenta carga?],"")</f>
        <v>Si</v>
      </c>
      <c r="I4" s="8">
        <f>_xlfn.XLOOKUP(Tabla_gap6[[#This Row],[Key]],Primer_filtro[Key],Primer_filtro[Utilidad para mi memoria],"")</f>
        <v>0</v>
      </c>
      <c r="J4" s="8" t="str">
        <f>_xlfn.XLOOKUP(Tabla_gap6[[#This Row],[Key]],Primer_filtro[Key],Primer_filtro[Rol],"")</f>
        <v>Thesis que se acerca bastante a la mia. Reduce el ripple de FEM. Propone reducir el ripple de cogging.
Muy buena estructura</v>
      </c>
    </row>
    <row r="5" spans="1:10" ht="150" x14ac:dyDescent="0.25">
      <c r="A5" s="8" t="str" cm="1">
        <f t="array" ref="A5">IFERROR(INDEX(_xlfn._xlws.FILTER(Primer_filtro[Key],UPPER(Primer_filtro[Matematica])="SI"),ROW()-ROW(Tabla_gap6[#Headers])),"")</f>
        <v>HZMPHCAI</v>
      </c>
      <c r="B5" s="8" t="str">
        <f>_xlfn.XLOOKUP(Tabla_gap6[[#This Row],[Key]],Primer_filtro[Key],Primer_filtro[Tipo de motor],"")</f>
        <v>PMSM</v>
      </c>
      <c r="C5" s="8" t="str">
        <f>_xlfn.XLOOKUP(Tabla_gap6[[#This Row],[Key]],Primer_filtro[Key],Primer_filtro[¿Sensorless?],"")</f>
        <v>No</v>
      </c>
      <c r="D5" s="8" t="str">
        <f>_xlfn.XLOOKUP(Tabla_gap6[[#This Row],[Key]],Primer_filtro[Key],Primer_filtro[Low-speed],"")</f>
        <v>No</v>
      </c>
      <c r="E5" s="8" t="str">
        <f>_xlfn.XLOOKUP(Tabla_gap6[[#This Row],[Key]],Primer_filtro[Key],Primer_filtro[¿Cogging?],"")</f>
        <v>Si</v>
      </c>
      <c r="F5" s="8" t="str">
        <f>_xlfn.XLOOKUP(Tabla_gap6[[#This Row],[Key]],Primer_filtro[Key],Primer_filtro[Compensación?],"")</f>
        <v>resonant controller</v>
      </c>
      <c r="G5" s="8">
        <f>_xlfn.XLOOKUP(Tabla_gap6[[#This Row],[Key]],Primer_filtro[Key],Primer_filtro[Método de estimación],"")</f>
        <v>0</v>
      </c>
      <c r="H5" s="8" t="str">
        <f>_xlfn.XLOOKUP(Tabla_gap6[[#This Row],[Key]],Primer_filtro[Key],Primer_filtro[¿Presenta carga?],"")</f>
        <v>Si, no modela</v>
      </c>
      <c r="I5" s="8" t="str">
        <f>_xlfn.XLOOKUP(Tabla_gap6[[#This Row],[Key]],Primer_filtro[Key],Primer_filtro[Utilidad para mi memoria],"")</f>
        <v>Usa distintos PIR tanto en velocidad como corriente</v>
      </c>
      <c r="J5" s="8" t="str">
        <f>_xlfn.XLOOKUP(Tabla_gap6[[#This Row],[Key]],Primer_filtro[Key],Primer_filtro[Rol],"")</f>
        <v>Me baso en su diagrama de PR
reduce harmónicos de corriente, deadtime, y cogging</v>
      </c>
    </row>
    <row r="6" spans="1:10" ht="105" x14ac:dyDescent="0.25">
      <c r="A6" s="8" t="str" cm="1">
        <f t="array" ref="A6">IFERROR(INDEX(_xlfn._xlws.FILTER(Primer_filtro[Key],UPPER(Primer_filtro[Matematica])="SI"),ROW()-ROW(Tabla_gap6[#Headers])),"")</f>
        <v>8CRRB7SQ</v>
      </c>
      <c r="B6" s="8">
        <f>_xlfn.XLOOKUP(Tabla_gap6[[#This Row],[Key]],Primer_filtro[Key],Primer_filtro[Tipo de motor],"")</f>
        <v>0</v>
      </c>
      <c r="C6" s="8">
        <f>_xlfn.XLOOKUP(Tabla_gap6[[#This Row],[Key]],Primer_filtro[Key],Primer_filtro[¿Sensorless?],"")</f>
        <v>0</v>
      </c>
      <c r="D6" s="8">
        <f>_xlfn.XLOOKUP(Tabla_gap6[[#This Row],[Key]],Primer_filtro[Key],Primer_filtro[Low-speed],"")</f>
        <v>0</v>
      </c>
      <c r="E6" s="8">
        <f>_xlfn.XLOOKUP(Tabla_gap6[[#This Row],[Key]],Primer_filtro[Key],Primer_filtro[¿Cogging?],"")</f>
        <v>0</v>
      </c>
      <c r="F6" s="8">
        <f>_xlfn.XLOOKUP(Tabla_gap6[[#This Row],[Key]],Primer_filtro[Key],Primer_filtro[Compensación?],"")</f>
        <v>0</v>
      </c>
      <c r="G6" s="8">
        <f>_xlfn.XLOOKUP(Tabla_gap6[[#This Row],[Key]],Primer_filtro[Key],Primer_filtro[Método de estimación],"")</f>
        <v>0</v>
      </c>
      <c r="H6" s="8">
        <f>_xlfn.XLOOKUP(Tabla_gap6[[#This Row],[Key]],Primer_filtro[Key],Primer_filtro[¿Presenta carga?],"")</f>
        <v>0</v>
      </c>
      <c r="I6" s="8">
        <f>_xlfn.XLOOKUP(Tabla_gap6[[#This Row],[Key]],Primer_filtro[Key],Primer_filtro[Utilidad para mi memoria],"")</f>
        <v>0</v>
      </c>
      <c r="J6" s="8" t="str">
        <f>_xlfn.XLOOKUP(Tabla_gap6[[#This Row],[Key]],Primer_filtro[Key],Primer_filtro[Rol],"")</f>
        <v>Aumenta el estado para observar perturbaciones sensorless</v>
      </c>
    </row>
    <row r="7" spans="1:10" ht="120" x14ac:dyDescent="0.25">
      <c r="A7" s="8" t="str" cm="1">
        <f t="array" ref="A7">IFERROR(INDEX(_xlfn._xlws.FILTER(Primer_filtro[Key],UPPER(Primer_filtro[Matematica])="SI"),ROW()-ROW(Tabla_gap6[#Headers])),"")</f>
        <v>CLQCX5JI</v>
      </c>
      <c r="B7" s="8">
        <f>_xlfn.XLOOKUP(Tabla_gap6[[#This Row],[Key]],Primer_filtro[Key],Primer_filtro[Tipo de motor],"")</f>
        <v>0</v>
      </c>
      <c r="C7" s="8">
        <f>_xlfn.XLOOKUP(Tabla_gap6[[#This Row],[Key]],Primer_filtro[Key],Primer_filtro[¿Sensorless?],"")</f>
        <v>0</v>
      </c>
      <c r="D7" s="8">
        <f>_xlfn.XLOOKUP(Tabla_gap6[[#This Row],[Key]],Primer_filtro[Key],Primer_filtro[Low-speed],"")</f>
        <v>0</v>
      </c>
      <c r="E7" s="8">
        <f>_xlfn.XLOOKUP(Tabla_gap6[[#This Row],[Key]],Primer_filtro[Key],Primer_filtro[¿Cogging?],"")</f>
        <v>0</v>
      </c>
      <c r="F7" s="8">
        <f>_xlfn.XLOOKUP(Tabla_gap6[[#This Row],[Key]],Primer_filtro[Key],Primer_filtro[Compensación?],"")</f>
        <v>0</v>
      </c>
      <c r="G7" s="8">
        <f>_xlfn.XLOOKUP(Tabla_gap6[[#This Row],[Key]],Primer_filtro[Key],Primer_filtro[Método de estimación],"")</f>
        <v>0</v>
      </c>
      <c r="H7" s="8">
        <f>_xlfn.XLOOKUP(Tabla_gap6[[#This Row],[Key]],Primer_filtro[Key],Primer_filtro[¿Presenta carga?],"")</f>
        <v>0</v>
      </c>
      <c r="I7" s="8">
        <f>_xlfn.XLOOKUP(Tabla_gap6[[#This Row],[Key]],Primer_filtro[Key],Primer_filtro[Utilidad para mi memoria],"")</f>
        <v>0</v>
      </c>
      <c r="J7" s="8" t="str">
        <f>_xlfn.XLOOKUP(Tabla_gap6[[#This Row],[Key]],Primer_filtro[Key],Primer_filtro[Rol],"")</f>
        <v>Compara muchos estados, analiza observabilidad
Tablas comparativas
No considera saliencia</v>
      </c>
    </row>
    <row r="8" spans="1:10" ht="255" x14ac:dyDescent="0.25">
      <c r="A8" s="8" t="str" cm="1">
        <f t="array" ref="A8">IFERROR(INDEX(_xlfn._xlws.FILTER(Primer_filtro[Key],UPPER(Primer_filtro[Matematica])="SI"),ROW()-ROW(Tabla_gap6[#Headers])),"")</f>
        <v>JW8WFTL2</v>
      </c>
      <c r="B8" s="8">
        <f>_xlfn.XLOOKUP(Tabla_gap6[[#This Row],[Key]],Primer_filtro[Key],Primer_filtro[Tipo de motor],"")</f>
        <v>0</v>
      </c>
      <c r="C8" s="8">
        <f>_xlfn.XLOOKUP(Tabla_gap6[[#This Row],[Key]],Primer_filtro[Key],Primer_filtro[¿Sensorless?],"")</f>
        <v>0</v>
      </c>
      <c r="D8" s="8">
        <f>_xlfn.XLOOKUP(Tabla_gap6[[#This Row],[Key]],Primer_filtro[Key],Primer_filtro[Low-speed],"")</f>
        <v>0</v>
      </c>
      <c r="E8" s="8">
        <f>_xlfn.XLOOKUP(Tabla_gap6[[#This Row],[Key]],Primer_filtro[Key],Primer_filtro[¿Cogging?],"")</f>
        <v>0</v>
      </c>
      <c r="F8" s="8">
        <f>_xlfn.XLOOKUP(Tabla_gap6[[#This Row],[Key]],Primer_filtro[Key],Primer_filtro[Compensación?],"")</f>
        <v>0</v>
      </c>
      <c r="G8" s="8">
        <f>_xlfn.XLOOKUP(Tabla_gap6[[#This Row],[Key]],Primer_filtro[Key],Primer_filtro[Método de estimación],"")</f>
        <v>0</v>
      </c>
      <c r="H8" s="8">
        <f>_xlfn.XLOOKUP(Tabla_gap6[[#This Row],[Key]],Primer_filtro[Key],Primer_filtro[¿Presenta carga?],"")</f>
        <v>0</v>
      </c>
      <c r="I8" s="8">
        <f>_xlfn.XLOOKUP(Tabla_gap6[[#This Row],[Key]],Primer_filtro[Key],Primer_filtro[Utilidad para mi memoria],"")</f>
        <v>0</v>
      </c>
      <c r="J8" s="8" t="str">
        <f>_xlfn.XLOOKUP(Tabla_gap6[[#This Row],[Key]],Primer_filtro[Key],Primer_filtro[Rol],"")</f>
        <v xml:space="preserve">implementa el HFI voltaje como entrada adicional, evita usar LPF para el HFI
</v>
      </c>
    </row>
    <row r="9" spans="1:10" ht="105" x14ac:dyDescent="0.25">
      <c r="A9" s="8" t="str" cm="1">
        <f t="array" ref="A9">IFERROR(INDEX(_xlfn._xlws.FILTER(Primer_filtro[Key],UPPER(Primer_filtro[Matematica])="SI"),ROW()-ROW(Tabla_gap6[#Headers])),"")</f>
        <v>2LG4MBDY</v>
      </c>
      <c r="B9" s="8" t="str">
        <f>_xlfn.XLOOKUP(Tabla_gap6[[#This Row],[Key]],Primer_filtro[Key],Primer_filtro[Tipo de motor],"")</f>
        <v>PMSM</v>
      </c>
      <c r="C9" s="8" t="str">
        <f>_xlfn.XLOOKUP(Tabla_gap6[[#This Row],[Key]],Primer_filtro[Key],Primer_filtro[¿Sensorless?],"")</f>
        <v>Si</v>
      </c>
      <c r="D9" s="8" t="str">
        <f>_xlfn.XLOOKUP(Tabla_gap6[[#This Row],[Key]],Primer_filtro[Key],Primer_filtro[Low-speed],"")</f>
        <v>No</v>
      </c>
      <c r="E9" s="8" t="str">
        <f>_xlfn.XLOOKUP(Tabla_gap6[[#This Row],[Key]],Primer_filtro[Key],Primer_filtro[¿Cogging?],"")</f>
        <v>No</v>
      </c>
      <c r="F9" s="8">
        <f>_xlfn.XLOOKUP(Tabla_gap6[[#This Row],[Key]],Primer_filtro[Key],Primer_filtro[Compensación?],"")</f>
        <v>0</v>
      </c>
      <c r="G9" s="8" t="str">
        <f>_xlfn.XLOOKUP(Tabla_gap6[[#This Row],[Key]],Primer_filtro[Key],Primer_filtro[Método de estimación],"")</f>
        <v>extendido</v>
      </c>
      <c r="H9" s="8" t="str">
        <f>_xlfn.XLOOKUP(Tabla_gap6[[#This Row],[Key]],Primer_filtro[Key],Primer_filtro[¿Presenta carga?],"")</f>
        <v>Si</v>
      </c>
      <c r="I9" s="8" t="str">
        <f>_xlfn.XLOOKUP(Tabla_gap6[[#This Row],[Key]],Primer_filtro[Key],Primer_filtro[Utilidad para mi memoria],"")</f>
        <v>Tabla comparativa de modelos extendidos de UKF</v>
      </c>
      <c r="J9" s="8" t="str">
        <f>_xlfn.XLOOKUP(Tabla_gap6[[#This Row],[Key]],Primer_filtro[Key],Primer_filtro[Rol],"")</f>
        <v>Demostración de la derivada de Lie
Estima Pm flux linkage, Tx</v>
      </c>
    </row>
    <row r="10" spans="1:10" ht="195" x14ac:dyDescent="0.25">
      <c r="A10" s="8" t="str" cm="1">
        <f t="array" ref="A10">IFERROR(INDEX(_xlfn._xlws.FILTER(Primer_filtro[Key],UPPER(Primer_filtro[Matematica])="SI"),ROW()-ROW(Tabla_gap6[#Headers])),"")</f>
        <v>3AS578SJ</v>
      </c>
      <c r="B10" s="8" t="str">
        <f>_xlfn.XLOOKUP(Tabla_gap6[[#This Row],[Key]],Primer_filtro[Key],Primer_filtro[Tipo de motor],"")</f>
        <v>PMSM</v>
      </c>
      <c r="C10" s="8" t="str">
        <f>_xlfn.XLOOKUP(Tabla_gap6[[#This Row],[Key]],Primer_filtro[Key],Primer_filtro[¿Sensorless?],"")</f>
        <v>Si</v>
      </c>
      <c r="D10" s="8" t="str">
        <f>_xlfn.XLOOKUP(Tabla_gap6[[#This Row],[Key]],Primer_filtro[Key],Primer_filtro[Low-speed],"")</f>
        <v>No</v>
      </c>
      <c r="E10" s="8" t="str">
        <f>_xlfn.XLOOKUP(Tabla_gap6[[#This Row],[Key]],Primer_filtro[Key],Primer_filtro[¿Cogging?],"")</f>
        <v>No</v>
      </c>
      <c r="F10" s="8">
        <f>_xlfn.XLOOKUP(Tabla_gap6[[#This Row],[Key]],Primer_filtro[Key],Primer_filtro[Compensación?],"")</f>
        <v>0</v>
      </c>
      <c r="G10" s="8" t="str">
        <f>_xlfn.XLOOKUP(Tabla_gap6[[#This Row],[Key]],Primer_filtro[Key],Primer_filtro[Método de estimación],"")</f>
        <v>EKF + DOB</v>
      </c>
      <c r="H10" s="8" t="str">
        <f>_xlfn.XLOOKUP(Tabla_gap6[[#This Row],[Key]],Primer_filtro[Key],Primer_filtro[¿Presenta carga?],"")</f>
        <v>Si</v>
      </c>
      <c r="I10" s="8">
        <f>_xlfn.XLOOKUP(Tabla_gap6[[#This Row],[Key]],Primer_filtro[Key],Primer_filtro[Utilidad para mi memoria],"")</f>
        <v>0</v>
      </c>
      <c r="J10" s="8" t="str">
        <f>_xlfn.XLOOKUP(Tabla_gap6[[#This Row],[Key]],Primer_filtro[Key],Primer_filtro[Rol],"")</f>
        <v>Estima cargas
Demuestra como la ley de control puede tender a 0
Tabla que me gusta</v>
      </c>
    </row>
    <row r="11" spans="1:10" ht="195" x14ac:dyDescent="0.25">
      <c r="A11" s="8" t="str" cm="1">
        <f t="array" ref="A11">IFERROR(INDEX(_xlfn._xlws.FILTER(Primer_filtro[Key],UPPER(Primer_filtro[Matematica])="SI"),ROW()-ROW(Tabla_gap6[#Headers])),"")</f>
        <v>59DCMGKU</v>
      </c>
      <c r="B11" s="8" t="str">
        <f>_xlfn.XLOOKUP(Tabla_gap6[[#This Row],[Key]],Primer_filtro[Key],Primer_filtro[Tipo de motor],"")</f>
        <v>PMSM</v>
      </c>
      <c r="C11" s="8" t="str">
        <f>_xlfn.XLOOKUP(Tabla_gap6[[#This Row],[Key]],Primer_filtro[Key],Primer_filtro[¿Sensorless?],"")</f>
        <v>Si</v>
      </c>
      <c r="D11" s="8" t="str">
        <f>_xlfn.XLOOKUP(Tabla_gap6[[#This Row],[Key]],Primer_filtro[Key],Primer_filtro[Low-speed],"")</f>
        <v>No</v>
      </c>
      <c r="E11" s="8" t="str">
        <f>_xlfn.XLOOKUP(Tabla_gap6[[#This Row],[Key]],Primer_filtro[Key],Primer_filtro[¿Cogging?],"")</f>
        <v>Si</v>
      </c>
      <c r="F11" s="8" t="str">
        <f>_xlfn.XLOOKUP(Tabla_gap6[[#This Row],[Key]],Primer_filtro[Key],Primer_filtro[Compensación?],"")</f>
        <v>resonant controller</v>
      </c>
      <c r="G11" s="8" t="str">
        <f>_xlfn.XLOOKUP(Tabla_gap6[[#This Row],[Key]],Primer_filtro[Key],Primer_filtro[Método de estimación],"")</f>
        <v>extended back-emf</v>
      </c>
      <c r="H11" s="8" t="str">
        <f>_xlfn.XLOOKUP(Tabla_gap6[[#This Row],[Key]],Primer_filtro[Key],Primer_filtro[¿Presenta carga?],"")</f>
        <v>No</v>
      </c>
      <c r="I11" s="8" t="str">
        <f>_xlfn.XLOOKUP(Tabla_gap6[[#This Row],[Key]],Primer_filtro[Key],Primer_filtro[Utilidad para mi memoria],"")</f>
        <v>Se acerca bastante a mi tema</v>
      </c>
      <c r="J11" s="8" t="str">
        <f>_xlfn.XLOOKUP(Tabla_gap6[[#This Row],[Key]],Primer_filtro[Key],Primer_filtro[Rol],"")</f>
        <v>resonant controller</v>
      </c>
    </row>
    <row r="12" spans="1:10" ht="255" x14ac:dyDescent="0.25">
      <c r="A12" s="8" t="str" cm="1">
        <f t="array" ref="A12">IFERROR(INDEX(_xlfn._xlws.FILTER(Primer_filtro[Key],UPPER(Primer_filtro[Matematica])="SI"),ROW()-ROW(Tabla_gap6[#Headers])),"")</f>
        <v>75DBZ49D</v>
      </c>
      <c r="B12" s="8" t="str">
        <f>_xlfn.XLOOKUP(Tabla_gap6[[#This Row],[Key]],Primer_filtro[Key],Primer_filtro[Tipo de motor],"")</f>
        <v>PMSM</v>
      </c>
      <c r="C12" s="8" t="str">
        <f>_xlfn.XLOOKUP(Tabla_gap6[[#This Row],[Key]],Primer_filtro[Key],Primer_filtro[¿Sensorless?],"")</f>
        <v>Si</v>
      </c>
      <c r="D12" s="8" t="str">
        <f>_xlfn.XLOOKUP(Tabla_gap6[[#This Row],[Key]],Primer_filtro[Key],Primer_filtro[Low-speed],"")</f>
        <v>Si</v>
      </c>
      <c r="E12" s="8" t="str">
        <f>_xlfn.XLOOKUP(Tabla_gap6[[#This Row],[Key]],Primer_filtro[Key],Primer_filtro[¿Cogging?],"")</f>
        <v>No</v>
      </c>
      <c r="F12" s="8">
        <f>_xlfn.XLOOKUP(Tabla_gap6[[#This Row],[Key]],Primer_filtro[Key],Primer_filtro[Compensación?],"")</f>
        <v>0</v>
      </c>
      <c r="G12" s="8" t="str">
        <f>_xlfn.XLOOKUP(Tabla_gap6[[#This Row],[Key]],Primer_filtro[Key],Primer_filtro[Método de estimación],"")</f>
        <v>Observer</v>
      </c>
      <c r="H12" s="8" t="str">
        <f>_xlfn.XLOOKUP(Tabla_gap6[[#This Row],[Key]],Primer_filtro[Key],Primer_filtro[¿Presenta carga?],"")</f>
        <v>Si</v>
      </c>
      <c r="I12" s="8" t="str">
        <f>_xlfn.XLOOKUP(Tabla_gap6[[#This Row],[Key]],Primer_filtro[Key],Primer_filtro[Utilidad para mi memoria],"")</f>
        <v>Demostración matemática</v>
      </c>
      <c r="J12" s="8" t="str">
        <f>_xlfn.XLOOKUP(Tabla_gap6[[#This Row],[Key]],Primer_filtro[Key],Primer_filtro[Rol],"")</f>
        <v>No muestra la velocidad minima.
Demuestra calculo de como calcular la velocida minima (y cómo depende del ángulo) y cómo este depende de la corriente Id y Iq</v>
      </c>
    </row>
    <row r="13" spans="1:10" ht="150" x14ac:dyDescent="0.25">
      <c r="A13" s="8" t="str" cm="1">
        <f t="array" ref="A13">IFERROR(INDEX(_xlfn._xlws.FILTER(Primer_filtro[Key],UPPER(Primer_filtro[Matematica])="SI"),ROW()-ROW(Tabla_gap6[#Headers])),"")</f>
        <v>BF96HX3B</v>
      </c>
      <c r="B13" s="8" t="str">
        <f>_xlfn.XLOOKUP(Tabla_gap6[[#This Row],[Key]],Primer_filtro[Key],Primer_filtro[Tipo de motor],"")</f>
        <v>PMSM</v>
      </c>
      <c r="C13" s="8" t="str">
        <f>_xlfn.XLOOKUP(Tabla_gap6[[#This Row],[Key]],Primer_filtro[Key],Primer_filtro[¿Sensorless?],"")</f>
        <v>No</v>
      </c>
      <c r="D13" s="8" t="str">
        <f>_xlfn.XLOOKUP(Tabla_gap6[[#This Row],[Key]],Primer_filtro[Key],Primer_filtro[Low-speed],"")</f>
        <v>Si</v>
      </c>
      <c r="E13" s="8" t="str">
        <f>_xlfn.XLOOKUP(Tabla_gap6[[#This Row],[Key]],Primer_filtro[Key],Primer_filtro[¿Cogging?],"")</f>
        <v>Si</v>
      </c>
      <c r="F13" s="8" t="str">
        <f>_xlfn.XLOOKUP(Tabla_gap6[[#This Row],[Key]],Primer_filtro[Key],Primer_filtro[Compensación?],"")</f>
        <v>resonant controller</v>
      </c>
      <c r="G13" s="8">
        <f>_xlfn.XLOOKUP(Tabla_gap6[[#This Row],[Key]],Primer_filtro[Key],Primer_filtro[Método de estimación],"")</f>
        <v>0</v>
      </c>
      <c r="H13" s="8" t="str">
        <f>_xlfn.XLOOKUP(Tabla_gap6[[#This Row],[Key]],Primer_filtro[Key],Primer_filtro[¿Presenta carga?],"")</f>
        <v>Si, no modela</v>
      </c>
      <c r="I13" s="8" t="str">
        <f>_xlfn.XLOOKUP(Tabla_gap6[[#This Row],[Key]],Primer_filtro[Key],Primer_filtro[Utilidad para mi memoria],"")</f>
        <v>Utiliza RC en voltaje</v>
      </c>
      <c r="J13" s="8" t="str">
        <f>_xlfn.XLOOKUP(Tabla_gap6[[#This Row],[Key]],Primer_filtro[Key],Primer_filtro[Rol],"")</f>
        <v>Se parece a mi tesis, no es sensorless</v>
      </c>
    </row>
    <row r="14" spans="1:10" ht="150" x14ac:dyDescent="0.25">
      <c r="A14" s="8" t="str" cm="1">
        <f t="array" ref="A14">IFERROR(INDEX(_xlfn._xlws.FILTER(Primer_filtro[Key],UPPER(Primer_filtro[Matematica])="SI"),ROW()-ROW(Tabla_gap6[#Headers])),"")</f>
        <v>HTF38LLW</v>
      </c>
      <c r="B14" s="8">
        <f>_xlfn.XLOOKUP(Tabla_gap6[[#This Row],[Key]],Primer_filtro[Key],Primer_filtro[Tipo de motor],"")</f>
        <v>0</v>
      </c>
      <c r="C14" s="8">
        <f>_xlfn.XLOOKUP(Tabla_gap6[[#This Row],[Key]],Primer_filtro[Key],Primer_filtro[¿Sensorless?],"")</f>
        <v>0</v>
      </c>
      <c r="D14" s="8">
        <f>_xlfn.XLOOKUP(Tabla_gap6[[#This Row],[Key]],Primer_filtro[Key],Primer_filtro[Low-speed],"")</f>
        <v>0</v>
      </c>
      <c r="E14" s="8">
        <f>_xlfn.XLOOKUP(Tabla_gap6[[#This Row],[Key]],Primer_filtro[Key],Primer_filtro[¿Cogging?],"")</f>
        <v>0</v>
      </c>
      <c r="F14" s="8">
        <f>_xlfn.XLOOKUP(Tabla_gap6[[#This Row],[Key]],Primer_filtro[Key],Primer_filtro[Compensación?],"")</f>
        <v>0</v>
      </c>
      <c r="G14" s="8">
        <f>_xlfn.XLOOKUP(Tabla_gap6[[#This Row],[Key]],Primer_filtro[Key],Primer_filtro[Método de estimación],"")</f>
        <v>0</v>
      </c>
      <c r="H14" s="8">
        <f>_xlfn.XLOOKUP(Tabla_gap6[[#This Row],[Key]],Primer_filtro[Key],Primer_filtro[¿Presenta carga?],"")</f>
        <v>0</v>
      </c>
      <c r="I14" s="8">
        <f>_xlfn.XLOOKUP(Tabla_gap6[[#This Row],[Key]],Primer_filtro[Key],Primer_filtro[Utilidad para mi memoria],"")</f>
        <v>0</v>
      </c>
      <c r="J14" s="8" t="str">
        <f>_xlfn.XLOOKUP(Tabla_gap6[[#This Row],[Key]],Primer_filtro[Key],Primer_filtro[Rol],"")</f>
        <v>Mi santo grial de mi EKF</v>
      </c>
    </row>
    <row r="15" spans="1:10" ht="135" x14ac:dyDescent="0.25">
      <c r="A15" s="8" t="str" cm="1">
        <f t="array" ref="A15">IFERROR(INDEX(_xlfn._xlws.FILTER(Primer_filtro[Key],UPPER(Primer_filtro[Matematica])="SI"),ROW()-ROW(Tabla_gap6[#Headers])),"")</f>
        <v>K6I2Z6B2</v>
      </c>
      <c r="B15" s="8" t="str">
        <f>_xlfn.XLOOKUP(Tabla_gap6[[#This Row],[Key]],Primer_filtro[Key],Primer_filtro[Tipo de motor],"")</f>
        <v>PMSM</v>
      </c>
      <c r="C15" s="8" t="str">
        <f>_xlfn.XLOOKUP(Tabla_gap6[[#This Row],[Key]],Primer_filtro[Key],Primer_filtro[¿Sensorless?],"")</f>
        <v>Si</v>
      </c>
      <c r="D15" s="8" t="str">
        <f>_xlfn.XLOOKUP(Tabla_gap6[[#This Row],[Key]],Primer_filtro[Key],Primer_filtro[Low-speed],"")</f>
        <v>No</v>
      </c>
      <c r="E15" s="8" t="str">
        <f>_xlfn.XLOOKUP(Tabla_gap6[[#This Row],[Key]],Primer_filtro[Key],Primer_filtro[¿Cogging?],"")</f>
        <v>No</v>
      </c>
      <c r="F15" s="8" t="str">
        <f>_xlfn.XLOOKUP(Tabla_gap6[[#This Row],[Key]],Primer_filtro[Key],Primer_filtro[Compensación?],"")</f>
        <v>IPR, AQPLL,</v>
      </c>
      <c r="G15" s="8" t="str">
        <f>_xlfn.XLOOKUP(Tabla_gap6[[#This Row],[Key]],Primer_filtro[Key],Primer_filtro[Método de estimación],"")</f>
        <v>extended back-emf</v>
      </c>
      <c r="H15" s="8" t="str">
        <f>_xlfn.XLOOKUP(Tabla_gap6[[#This Row],[Key]],Primer_filtro[Key],Primer_filtro[¿Presenta carga?],"")</f>
        <v>Si, no modela</v>
      </c>
      <c r="I15" s="8" t="str">
        <f>_xlfn.XLOOKUP(Tabla_gap6[[#This Row],[Key]],Primer_filtro[Key],Primer_filtro[Utilidad para mi memoria],"")</f>
        <v>Utiliza PR, y varias técnicas que reducen el error
No es Low-speed</v>
      </c>
      <c r="J15" s="8" t="str">
        <f>_xlfn.XLOOKUP(Tabla_gap6[[#This Row],[Key]],Primer_filtro[Key],Primer_filtro[Rol],"")</f>
        <v>Hartas gráficas
ecuaciones y PLL
reduce harmónicos de otras perturbaciones</v>
      </c>
    </row>
    <row r="16" spans="1:10" ht="150" x14ac:dyDescent="0.25">
      <c r="A16" s="8" t="str" cm="1">
        <f t="array" ref="A16">IFERROR(INDEX(_xlfn._xlws.FILTER(Primer_filtro[Key],UPPER(Primer_filtro[Matematica])="SI"),ROW()-ROW(Tabla_gap6[#Headers])),"")</f>
        <v>QYWR7S5G</v>
      </c>
      <c r="B16" s="8" t="str">
        <f>_xlfn.XLOOKUP(Tabla_gap6[[#This Row],[Key]],Primer_filtro[Key],Primer_filtro[Tipo de motor],"")</f>
        <v>PMSM</v>
      </c>
      <c r="C16" s="8" t="str">
        <f>_xlfn.XLOOKUP(Tabla_gap6[[#This Row],[Key]],Primer_filtro[Key],Primer_filtro[¿Sensorless?],"")</f>
        <v>No</v>
      </c>
      <c r="D16" s="8" t="str">
        <f>_xlfn.XLOOKUP(Tabla_gap6[[#This Row],[Key]],Primer_filtro[Key],Primer_filtro[Low-speed],"")</f>
        <v>Si</v>
      </c>
      <c r="E16" s="8" t="str">
        <f>_xlfn.XLOOKUP(Tabla_gap6[[#This Row],[Key]],Primer_filtro[Key],Primer_filtro[¿Cogging?],"")</f>
        <v>Si</v>
      </c>
      <c r="F16" s="8" t="str">
        <f>_xlfn.XLOOKUP(Tabla_gap6[[#This Row],[Key]],Primer_filtro[Key],Primer_filtro[Compensación?],"")</f>
        <v>resonant controller</v>
      </c>
      <c r="G16" s="8">
        <f>_xlfn.XLOOKUP(Tabla_gap6[[#This Row],[Key]],Primer_filtro[Key],Primer_filtro[Método de estimación],"")</f>
        <v>0</v>
      </c>
      <c r="H16" s="8" t="str">
        <f>_xlfn.XLOOKUP(Tabla_gap6[[#This Row],[Key]],Primer_filtro[Key],Primer_filtro[¿Presenta carga?],"")</f>
        <v>Si, no modela</v>
      </c>
      <c r="I16" s="8" t="str">
        <f>_xlfn.XLOOKUP(Tabla_gap6[[#This Row],[Key]],Primer_filtro[Key],Primer_filtro[Utilidad para mi memoria],"")</f>
        <v>Se acerca bastante a mi tema</v>
      </c>
      <c r="J16" s="8" t="str">
        <f>_xlfn.XLOOKUP(Tabla_gap6[[#This Row],[Key]],Primer_filtro[Key],Primer_filtro[Rol],"")</f>
        <v>tiene bastantes ecuaciones que me servirian
tiene bastantes gráficas comparativas</v>
      </c>
    </row>
    <row r="17" spans="1:10" ht="195" x14ac:dyDescent="0.25">
      <c r="A17" s="8" t="str" cm="1">
        <f t="array" ref="A17">IFERROR(INDEX(_xlfn._xlws.FILTER(Primer_filtro[Key],UPPER(Primer_filtro[Matematica])="SI"),ROW()-ROW(Tabla_gap6[#Headers])),"")</f>
        <v>TJ53AIRB</v>
      </c>
      <c r="B17" s="8" t="str">
        <f>_xlfn.XLOOKUP(Tabla_gap6[[#This Row],[Key]],Primer_filtro[Key],Primer_filtro[Tipo de motor],"")</f>
        <v>PMSM</v>
      </c>
      <c r="C17" s="8" t="str">
        <f>_xlfn.XLOOKUP(Tabla_gap6[[#This Row],[Key]],Primer_filtro[Key],Primer_filtro[¿Sensorless?],"")</f>
        <v>Si</v>
      </c>
      <c r="D17" s="8">
        <f>_xlfn.XLOOKUP(Tabla_gap6[[#This Row],[Key]],Primer_filtro[Key],Primer_filtro[Low-speed],"")</f>
        <v>0</v>
      </c>
      <c r="E17" s="8" t="str">
        <f>_xlfn.XLOOKUP(Tabla_gap6[[#This Row],[Key]],Primer_filtro[Key],Primer_filtro[¿Cogging?],"")</f>
        <v>No</v>
      </c>
      <c r="F17" s="8" t="str">
        <f>_xlfn.XLOOKUP(Tabla_gap6[[#This Row],[Key]],Primer_filtro[Key],Primer_filtro[Compensación?],"")</f>
        <v>No</v>
      </c>
      <c r="G17" s="8" t="str">
        <f>_xlfn.XLOOKUP(Tabla_gap6[[#This Row],[Key]],Primer_filtro[Key],Primer_filtro[Método de estimación],"")</f>
        <v xml:space="preserve"> EKF +HFI</v>
      </c>
      <c r="H17" s="8" t="str">
        <f>_xlfn.XLOOKUP(Tabla_gap6[[#This Row],[Key]],Primer_filtro[Key],Primer_filtro[¿Presenta carga?],"")</f>
        <v>Si</v>
      </c>
      <c r="I17" s="8" t="str">
        <f>_xlfn.XLOOKUP(Tabla_gap6[[#This Row],[Key]],Primer_filtro[Key],Primer_filtro[Utilidad para mi memoria],"")</f>
        <v>Buena estrategia de HFI</v>
      </c>
      <c r="J17" s="8" t="str">
        <f>_xlfn.XLOOKUP(Tabla_gap6[[#This Row],[Key]],Primer_filtro[Key],Primer_filtro[Rol],"")</f>
        <v>Estructura del HFI que utilizo</v>
      </c>
    </row>
    <row r="18" spans="1:10" ht="75" x14ac:dyDescent="0.25">
      <c r="A18" s="8" t="str" cm="1">
        <f t="array" ref="A18">IFERROR(INDEX(_xlfn._xlws.FILTER(Primer_filtro[Key],UPPER(Primer_filtro[Matematica])="SI"),ROW()-ROW(Tabla_gap6[#Headers])),"")</f>
        <v>W2TEGQU7</v>
      </c>
      <c r="B18" s="8">
        <f>_xlfn.XLOOKUP(Tabla_gap6[[#This Row],[Key]],Primer_filtro[Key],Primer_filtro[Tipo de motor],"")</f>
        <v>0</v>
      </c>
      <c r="C18" s="8">
        <f>_xlfn.XLOOKUP(Tabla_gap6[[#This Row],[Key]],Primer_filtro[Key],Primer_filtro[¿Sensorless?],"")</f>
        <v>0</v>
      </c>
      <c r="D18" s="8">
        <f>_xlfn.XLOOKUP(Tabla_gap6[[#This Row],[Key]],Primer_filtro[Key],Primer_filtro[Low-speed],"")</f>
        <v>0</v>
      </c>
      <c r="E18" s="8">
        <f>_xlfn.XLOOKUP(Tabla_gap6[[#This Row],[Key]],Primer_filtro[Key],Primer_filtro[¿Cogging?],"")</f>
        <v>0</v>
      </c>
      <c r="F18" s="8">
        <f>_xlfn.XLOOKUP(Tabla_gap6[[#This Row],[Key]],Primer_filtro[Key],Primer_filtro[Compensación?],"")</f>
        <v>0</v>
      </c>
      <c r="G18" s="8">
        <f>_xlfn.XLOOKUP(Tabla_gap6[[#This Row],[Key]],Primer_filtro[Key],Primer_filtro[Método de estimación],"")</f>
        <v>0</v>
      </c>
      <c r="H18" s="8">
        <f>_xlfn.XLOOKUP(Tabla_gap6[[#This Row],[Key]],Primer_filtro[Key],Primer_filtro[¿Presenta carga?],"")</f>
        <v>0</v>
      </c>
      <c r="I18" s="8">
        <f>_xlfn.XLOOKUP(Tabla_gap6[[#This Row],[Key]],Primer_filtro[Key],Primer_filtro[Utilidad para mi memoria],"")</f>
        <v>0</v>
      </c>
      <c r="J18" s="8" t="str">
        <f>_xlfn.XLOOKUP(Tabla_gap6[[#This Row],[Key]],Primer_filtro[Key],Primer_filtro[Rol],"")</f>
        <v>Demuestra que la observabilidad no depende solo de la velocidad</v>
      </c>
    </row>
    <row r="19" spans="1:10" ht="120" x14ac:dyDescent="0.25">
      <c r="A19" s="8" t="str" cm="1">
        <f t="array" ref="A19">IFERROR(INDEX(_xlfn._xlws.FILTER(Primer_filtro[Key],UPPER(Primer_filtro[Matematica])="SI"),ROW()-ROW(Tabla_gap6[#Headers])),"")</f>
        <v>X5L8JIAF</v>
      </c>
      <c r="B19" s="8" t="str">
        <f>_xlfn.XLOOKUP(Tabla_gap6[[#This Row],[Key]],Primer_filtro[Key],Primer_filtro[Tipo de motor],"")</f>
        <v>PMSM</v>
      </c>
      <c r="C19" s="8" t="str">
        <f>_xlfn.XLOOKUP(Tabla_gap6[[#This Row],[Key]],Primer_filtro[Key],Primer_filtro[¿Sensorless?],"")</f>
        <v>No</v>
      </c>
      <c r="D19" s="8" t="str">
        <f>_xlfn.XLOOKUP(Tabla_gap6[[#This Row],[Key]],Primer_filtro[Key],Primer_filtro[Low-speed],"")</f>
        <v>Si</v>
      </c>
      <c r="E19" s="8" t="str">
        <f>_xlfn.XLOOKUP(Tabla_gap6[[#This Row],[Key]],Primer_filtro[Key],Primer_filtro[¿Cogging?],"")</f>
        <v>Si</v>
      </c>
      <c r="F19" s="8" t="str">
        <f>_xlfn.XLOOKUP(Tabla_gap6[[#This Row],[Key]],Primer_filtro[Key],Primer_filtro[Compensación?],"")</f>
        <v>PR</v>
      </c>
      <c r="G19" s="8" t="str">
        <f>_xlfn.XLOOKUP(Tabla_gap6[[#This Row],[Key]],Primer_filtro[Key],Primer_filtro[Método de estimación],"")</f>
        <v>EKF</v>
      </c>
      <c r="H19" s="8" t="str">
        <f>_xlfn.XLOOKUP(Tabla_gap6[[#This Row],[Key]],Primer_filtro[Key],Primer_filtro[¿Presenta carga?],"")</f>
        <v>Si</v>
      </c>
      <c r="I19" s="8" t="str">
        <f>_xlfn.XLOOKUP(Tabla_gap6[[#This Row],[Key]],Primer_filtro[Key],Primer_filtro[Utilidad para mi memoria],"")</f>
        <v xml:space="preserve">PR </v>
      </c>
      <c r="J19" s="8" t="str">
        <f>_xlfn.XLOOKUP(Tabla_gap6[[#This Row],[Key]],Primer_filtro[Key],Primer_filtro[Rol],"")</f>
        <v>Aporta con PR frente a cogging
Realiza un análisis minimo de sampling error</v>
      </c>
    </row>
    <row r="20" spans="1:10" ht="195" x14ac:dyDescent="0.25">
      <c r="A20" s="8" t="str" cm="1">
        <f t="array" ref="A20">IFERROR(INDEX(_xlfn._xlws.FILTER(Primer_filtro[Key],UPPER(Primer_filtro[Matematica])="SI"),ROW()-ROW(Tabla_gap6[#Headers])),"")</f>
        <v>ZEJEKV9F</v>
      </c>
      <c r="B20" s="8">
        <f>_xlfn.XLOOKUP(Tabla_gap6[[#This Row],[Key]],Primer_filtro[Key],Primer_filtro[Tipo de motor],"")</f>
        <v>0</v>
      </c>
      <c r="C20" s="8">
        <f>_xlfn.XLOOKUP(Tabla_gap6[[#This Row],[Key]],Primer_filtro[Key],Primer_filtro[¿Sensorless?],"")</f>
        <v>0</v>
      </c>
      <c r="D20" s="8">
        <f>_xlfn.XLOOKUP(Tabla_gap6[[#This Row],[Key]],Primer_filtro[Key],Primer_filtro[Low-speed],"")</f>
        <v>0</v>
      </c>
      <c r="E20" s="8">
        <f>_xlfn.XLOOKUP(Tabla_gap6[[#This Row],[Key]],Primer_filtro[Key],Primer_filtro[¿Cogging?],"")</f>
        <v>0</v>
      </c>
      <c r="F20" s="8">
        <f>_xlfn.XLOOKUP(Tabla_gap6[[#This Row],[Key]],Primer_filtro[Key],Primer_filtro[Compensación?],"")</f>
        <v>0</v>
      </c>
      <c r="G20" s="8">
        <f>_xlfn.XLOOKUP(Tabla_gap6[[#This Row],[Key]],Primer_filtro[Key],Primer_filtro[Método de estimación],"")</f>
        <v>0</v>
      </c>
      <c r="H20" s="8">
        <f>_xlfn.XLOOKUP(Tabla_gap6[[#This Row],[Key]],Primer_filtro[Key],Primer_filtro[¿Presenta carga?],"")</f>
        <v>0</v>
      </c>
      <c r="I20" s="8">
        <f>_xlfn.XLOOKUP(Tabla_gap6[[#This Row],[Key]],Primer_filtro[Key],Primer_filtro[Utilidad para mi memoria],"")</f>
        <v>0</v>
      </c>
      <c r="J20" s="8" t="str">
        <f>_xlfn.XLOOKUP(Tabla_gap6[[#This Row],[Key]],Primer_filtro[Key],Primer_filtro[Rol],"")</f>
        <v>paper favorito que demuestra que mientras haya derivadas en Id y Iq (con saliencia) existirá observabilidad</v>
      </c>
    </row>
    <row r="21" spans="1:10" ht="90" x14ac:dyDescent="0.25">
      <c r="A21" s="8" t="str" cm="1">
        <f t="array" ref="A21">IFERROR(INDEX(_xlfn._xlws.FILTER(Primer_filtro[Key],UPPER(Primer_filtro[Matematica])="SI"),ROW()-ROW(Tabla_gap6[#Headers])),"")</f>
        <v>3GPPPQWG</v>
      </c>
      <c r="B21" s="8" t="str">
        <f>_xlfn.XLOOKUP(Tabla_gap6[[#This Row],[Key]],Primer_filtro[Key],Primer_filtro[Tipo de motor],"")</f>
        <v>PMSM</v>
      </c>
      <c r="C21" s="8">
        <f>_xlfn.XLOOKUP(Tabla_gap6[[#This Row],[Key]],Primer_filtro[Key],Primer_filtro[¿Sensorless?],"")</f>
        <v>0</v>
      </c>
      <c r="D21" s="8">
        <f>_xlfn.XLOOKUP(Tabla_gap6[[#This Row],[Key]],Primer_filtro[Key],Primer_filtro[Low-speed],"")</f>
        <v>0</v>
      </c>
      <c r="E21" s="8">
        <f>_xlfn.XLOOKUP(Tabla_gap6[[#This Row],[Key]],Primer_filtro[Key],Primer_filtro[¿Cogging?],"")</f>
        <v>0</v>
      </c>
      <c r="F21" s="8">
        <f>_xlfn.XLOOKUP(Tabla_gap6[[#This Row],[Key]],Primer_filtro[Key],Primer_filtro[Compensación?],"")</f>
        <v>0</v>
      </c>
      <c r="G21" s="8">
        <f>_xlfn.XLOOKUP(Tabla_gap6[[#This Row],[Key]],Primer_filtro[Key],Primer_filtro[Método de estimación],"")</f>
        <v>0</v>
      </c>
      <c r="H21" s="8">
        <f>_xlfn.XLOOKUP(Tabla_gap6[[#This Row],[Key]],Primer_filtro[Key],Primer_filtro[¿Presenta carga?],"")</f>
        <v>0</v>
      </c>
      <c r="I21" s="8" t="str">
        <f>_xlfn.XLOOKUP(Tabla_gap6[[#This Row],[Key]],Primer_filtro[Key],Primer_filtro[Utilidad para mi memoria],"")</f>
        <v>Valores de matrices de EKF</v>
      </c>
      <c r="J21" s="8" t="str">
        <f>_xlfn.XLOOKUP(Tabla_gap6[[#This Row],[Key]],Primer_filtro[Key],Primer_filtro[Rol],"")</f>
        <v>Tunneo de PMSM</v>
      </c>
    </row>
    <row r="22" spans="1:10" ht="135" x14ac:dyDescent="0.25">
      <c r="A22" s="8" t="str" cm="1">
        <f t="array" ref="A22">IFERROR(INDEX(_xlfn._xlws.FILTER(Primer_filtro[Key],UPPER(Primer_filtro[Matematica])="SI"),ROW()-ROW(Tabla_gap6[#Headers])),"")</f>
        <v>3KVXWD64</v>
      </c>
      <c r="B22" s="8" t="str">
        <f>_xlfn.XLOOKUP(Tabla_gap6[[#This Row],[Key]],Primer_filtro[Key],Primer_filtro[Tipo de motor],"")</f>
        <v>PMSM</v>
      </c>
      <c r="C22" s="8">
        <f>_xlfn.XLOOKUP(Tabla_gap6[[#This Row],[Key]],Primer_filtro[Key],Primer_filtro[¿Sensorless?],"")</f>
        <v>0</v>
      </c>
      <c r="D22" s="8">
        <f>_xlfn.XLOOKUP(Tabla_gap6[[#This Row],[Key]],Primer_filtro[Key],Primer_filtro[Low-speed],"")</f>
        <v>0</v>
      </c>
      <c r="E22" s="8">
        <f>_xlfn.XLOOKUP(Tabla_gap6[[#This Row],[Key]],Primer_filtro[Key],Primer_filtro[¿Cogging?],"")</f>
        <v>0</v>
      </c>
      <c r="F22" s="8">
        <f>_xlfn.XLOOKUP(Tabla_gap6[[#This Row],[Key]],Primer_filtro[Key],Primer_filtro[Compensación?],"")</f>
        <v>0</v>
      </c>
      <c r="G22" s="8">
        <f>_xlfn.XLOOKUP(Tabla_gap6[[#This Row],[Key]],Primer_filtro[Key],Primer_filtro[Método de estimación],"")</f>
        <v>0</v>
      </c>
      <c r="H22" s="8">
        <f>_xlfn.XLOOKUP(Tabla_gap6[[#This Row],[Key]],Primer_filtro[Key],Primer_filtro[¿Presenta carga?],"")</f>
        <v>0</v>
      </c>
      <c r="I22" s="8" t="str">
        <f>_xlfn.XLOOKUP(Tabla_gap6[[#This Row],[Key]],Primer_filtro[Key],Primer_filtro[Utilidad para mi memoria],"")</f>
        <v>Valores de matrices de EKF</v>
      </c>
      <c r="J22" s="8" t="str">
        <f>_xlfn.XLOOKUP(Tabla_gap6[[#This Row],[Key]],Primer_filtro[Key],Primer_filtro[Rol],"")</f>
        <v>Tunneo de PMSM</v>
      </c>
    </row>
    <row r="23" spans="1:10" ht="45" x14ac:dyDescent="0.25">
      <c r="A23" s="8" t="str" cm="1">
        <f t="array" ref="A23">IFERROR(INDEX(_xlfn._xlws.FILTER(Primer_filtro[Key],UPPER(Primer_filtro[Matematica])="SI"),ROW()-ROW(Tabla_gap6[#Headers])),"")</f>
        <v>AQ7LMA27</v>
      </c>
      <c r="B23" s="8">
        <f>_xlfn.XLOOKUP(Tabla_gap6[[#This Row],[Key]],Primer_filtro[Key],Primer_filtro[Tipo de motor],"")</f>
        <v>0</v>
      </c>
      <c r="C23" s="8">
        <f>_xlfn.XLOOKUP(Tabla_gap6[[#This Row],[Key]],Primer_filtro[Key],Primer_filtro[¿Sensorless?],"")</f>
        <v>0</v>
      </c>
      <c r="D23" s="8">
        <f>_xlfn.XLOOKUP(Tabla_gap6[[#This Row],[Key]],Primer_filtro[Key],Primer_filtro[Low-speed],"")</f>
        <v>0</v>
      </c>
      <c r="E23" s="8">
        <f>_xlfn.XLOOKUP(Tabla_gap6[[#This Row],[Key]],Primer_filtro[Key],Primer_filtro[¿Cogging?],"")</f>
        <v>0</v>
      </c>
      <c r="F23" s="8">
        <f>_xlfn.XLOOKUP(Tabla_gap6[[#This Row],[Key]],Primer_filtro[Key],Primer_filtro[Compensación?],"")</f>
        <v>0</v>
      </c>
      <c r="G23" s="8">
        <f>_xlfn.XLOOKUP(Tabla_gap6[[#This Row],[Key]],Primer_filtro[Key],Primer_filtro[Método de estimación],"")</f>
        <v>0</v>
      </c>
      <c r="H23" s="8">
        <f>_xlfn.XLOOKUP(Tabla_gap6[[#This Row],[Key]],Primer_filtro[Key],Primer_filtro[¿Presenta carga?],"")</f>
        <v>0</v>
      </c>
      <c r="I23" s="8">
        <f>_xlfn.XLOOKUP(Tabla_gap6[[#This Row],[Key]],Primer_filtro[Key],Primer_filtro[Utilidad para mi memoria],"")</f>
        <v>0</v>
      </c>
      <c r="J23" s="8" t="str">
        <f>_xlfn.XLOOKUP(Tabla_gap6[[#This Row],[Key]],Primer_filtro[Key],Primer_filtro[Rol],"")</f>
        <v>Modela/compensa cogging, no funciona a baja velocidad</v>
      </c>
    </row>
    <row r="24" spans="1:10" ht="75" x14ac:dyDescent="0.25">
      <c r="A24" s="8" t="str" cm="1">
        <f t="array" ref="A24">IFERROR(INDEX(_xlfn._xlws.FILTER(Primer_filtro[Key],UPPER(Primer_filtro[Matematica])="SI"),ROW()-ROW(Tabla_gap6[#Headers])),"")</f>
        <v>7UX7ZU2M</v>
      </c>
      <c r="B24" s="8" t="str">
        <f>_xlfn.XLOOKUP(Tabla_gap6[[#This Row],[Key]],Primer_filtro[Key],Primer_filtro[Tipo de motor],"")</f>
        <v>Stepper</v>
      </c>
      <c r="C24" s="8">
        <f>_xlfn.XLOOKUP(Tabla_gap6[[#This Row],[Key]],Primer_filtro[Key],Primer_filtro[¿Sensorless?],"")</f>
        <v>0</v>
      </c>
      <c r="D24" s="8">
        <f>_xlfn.XLOOKUP(Tabla_gap6[[#This Row],[Key]],Primer_filtro[Key],Primer_filtro[Low-speed],"")</f>
        <v>0</v>
      </c>
      <c r="E24" s="8">
        <f>_xlfn.XLOOKUP(Tabla_gap6[[#This Row],[Key]],Primer_filtro[Key],Primer_filtro[¿Cogging?],"")</f>
        <v>0</v>
      </c>
      <c r="F24" s="8">
        <f>_xlfn.XLOOKUP(Tabla_gap6[[#This Row],[Key]],Primer_filtro[Key],Primer_filtro[Compensación?],"")</f>
        <v>0</v>
      </c>
      <c r="G24" s="8">
        <f>_xlfn.XLOOKUP(Tabla_gap6[[#This Row],[Key]],Primer_filtro[Key],Primer_filtro[Método de estimación],"")</f>
        <v>0</v>
      </c>
      <c r="H24" s="8">
        <f>_xlfn.XLOOKUP(Tabla_gap6[[#This Row],[Key]],Primer_filtro[Key],Primer_filtro[¿Presenta carga?],"")</f>
        <v>0</v>
      </c>
      <c r="I24" s="8" t="str">
        <f>_xlfn.XLOOKUP(Tabla_gap6[[#This Row],[Key]],Primer_filtro[Key],Primer_filtro[Utilidad para mi memoria],"")</f>
        <v>Ecuaciones y gráficas</v>
      </c>
      <c r="J24" s="8" t="str">
        <f>_xlfn.XLOOKUP(Tabla_gap6[[#This Row],[Key]],Primer_filtro[Key],Primer_filtro[Rol],"")</f>
        <v>Aporta con gráficas de como se comporta un motor</v>
      </c>
    </row>
    <row r="25" spans="1:10" ht="135" x14ac:dyDescent="0.25">
      <c r="A25" s="8" t="str" cm="1">
        <f t="array" ref="A25">IFERROR(INDEX(_xlfn._xlws.FILTER(Primer_filtro[Key],UPPER(Primer_filtro[Matematica])="SI"),ROW()-ROW(Tabla_gap6[#Headers])),"")</f>
        <v>ACUGHL8Z</v>
      </c>
      <c r="B25" s="8">
        <f>_xlfn.XLOOKUP(Tabla_gap6[[#This Row],[Key]],Primer_filtro[Key],Primer_filtro[Tipo de motor],"")</f>
        <v>0</v>
      </c>
      <c r="C25" s="8">
        <f>_xlfn.XLOOKUP(Tabla_gap6[[#This Row],[Key]],Primer_filtro[Key],Primer_filtro[¿Sensorless?],"")</f>
        <v>0</v>
      </c>
      <c r="D25" s="8">
        <f>_xlfn.XLOOKUP(Tabla_gap6[[#This Row],[Key]],Primer_filtro[Key],Primer_filtro[Low-speed],"")</f>
        <v>0</v>
      </c>
      <c r="E25" s="8">
        <f>_xlfn.XLOOKUP(Tabla_gap6[[#This Row],[Key]],Primer_filtro[Key],Primer_filtro[¿Cogging?],"")</f>
        <v>0</v>
      </c>
      <c r="F25" s="8">
        <f>_xlfn.XLOOKUP(Tabla_gap6[[#This Row],[Key]],Primer_filtro[Key],Primer_filtro[Compensación?],"")</f>
        <v>0</v>
      </c>
      <c r="G25" s="8">
        <f>_xlfn.XLOOKUP(Tabla_gap6[[#This Row],[Key]],Primer_filtro[Key],Primer_filtro[Método de estimación],"")</f>
        <v>0</v>
      </c>
      <c r="H25" s="8">
        <f>_xlfn.XLOOKUP(Tabla_gap6[[#This Row],[Key]],Primer_filtro[Key],Primer_filtro[¿Presenta carga?],"")</f>
        <v>0</v>
      </c>
      <c r="I25" s="8">
        <f>_xlfn.XLOOKUP(Tabla_gap6[[#This Row],[Key]],Primer_filtro[Key],Primer_filtro[Utilidad para mi memoria],"")</f>
        <v>0</v>
      </c>
      <c r="J25" s="8" t="str">
        <f>_xlfn.XLOOKUP(Tabla_gap6[[#This Row],[Key]],Primer_filtro[Key],Primer_filtro[Rol],"")</f>
        <v>Observabilidad considerando el HFI</v>
      </c>
    </row>
    <row r="26" spans="1:10" ht="120" x14ac:dyDescent="0.25">
      <c r="A26" s="8" t="str" cm="1">
        <f t="array" ref="A26">IFERROR(INDEX(_xlfn._xlws.FILTER(Primer_filtro[Key],UPPER(Primer_filtro[Matematica])="SI"),ROW()-ROW(Tabla_gap6[#Headers])),"")</f>
        <v>PYTMLDP8</v>
      </c>
      <c r="B26" s="8" t="str">
        <f>_xlfn.XLOOKUP(Tabla_gap6[[#This Row],[Key]],Primer_filtro[Key],Primer_filtro[Tipo de motor],"")</f>
        <v>PMSM</v>
      </c>
      <c r="C26" s="8" t="str">
        <f>_xlfn.XLOOKUP(Tabla_gap6[[#This Row],[Key]],Primer_filtro[Key],Primer_filtro[¿Sensorless?],"")</f>
        <v>Si</v>
      </c>
      <c r="D26" s="8" t="str">
        <f>_xlfn.XLOOKUP(Tabla_gap6[[#This Row],[Key]],Primer_filtro[Key],Primer_filtro[Low-speed],"")</f>
        <v>Si</v>
      </c>
      <c r="E26" s="8" t="str">
        <f>_xlfn.XLOOKUP(Tabla_gap6[[#This Row],[Key]],Primer_filtro[Key],Primer_filtro[¿Cogging?],"")</f>
        <v>Si</v>
      </c>
      <c r="F26" s="8" t="str">
        <f>_xlfn.XLOOKUP(Tabla_gap6[[#This Row],[Key]],Primer_filtro[Key],Primer_filtro[Compensación?],"")</f>
        <v>No</v>
      </c>
      <c r="G26" s="8" t="str">
        <f>_xlfn.XLOOKUP(Tabla_gap6[[#This Row],[Key]],Primer_filtro[Key],Primer_filtro[Método de estimación],"")</f>
        <v>EKF+HFI+PLL</v>
      </c>
      <c r="H26" s="8" t="str">
        <f>_xlfn.XLOOKUP(Tabla_gap6[[#This Row],[Key]],Primer_filtro[Key],Primer_filtro[¿Presenta carga?],"")</f>
        <v>Si</v>
      </c>
      <c r="I26" s="8" t="str">
        <f>_xlfn.XLOOKUP(Tabla_gap6[[#This Row],[Key]],Primer_filtro[Key],Primer_filtro[Utilidad para mi memoria],"")</f>
        <v>Pll</v>
      </c>
      <c r="J26" s="8" t="str">
        <f>_xlfn.XLOOKUP(Tabla_gap6[[#This Row],[Key]],Primer_filtro[Key],Primer_filtro[Rol],"")</f>
        <v>Se puede referenciar los distintos tipos de HFI
Análisis de sensibilidad</v>
      </c>
    </row>
    <row r="27" spans="1:10" x14ac:dyDescent="0.25">
      <c r="A27" s="8" cm="1">
        <f t="array" ref="A27">IFERROR(INDEX(_xlfn._xlws.FILTER(Primer_filtro[Key],UPPER(Primer_filtro[Matematica])="SI"),ROW()-ROW(Tabla_gap6[#Headers])),"")</f>
        <v>0</v>
      </c>
      <c r="B27" s="8" t="str">
        <f>_xlfn.XLOOKUP(Tabla_gap6[[#This Row],[Key]],Primer_filtro[Key],Primer_filtro[Tipo de motor],"")</f>
        <v/>
      </c>
      <c r="C27" s="8" t="str">
        <f>_xlfn.XLOOKUP(Tabla_gap6[[#This Row],[Key]],Primer_filtro[Key],Primer_filtro[¿Sensorless?],"")</f>
        <v/>
      </c>
      <c r="D27" s="8" t="str">
        <f>_xlfn.XLOOKUP(Tabla_gap6[[#This Row],[Key]],Primer_filtro[Key],Primer_filtro[Low-speed],"")</f>
        <v/>
      </c>
      <c r="E27" s="8" t="str">
        <f>_xlfn.XLOOKUP(Tabla_gap6[[#This Row],[Key]],Primer_filtro[Key],Primer_filtro[¿Cogging?],"")</f>
        <v/>
      </c>
      <c r="F27" s="8" t="str">
        <f>_xlfn.XLOOKUP(Tabla_gap6[[#This Row],[Key]],Primer_filtro[Key],Primer_filtro[Compensación?],"")</f>
        <v/>
      </c>
      <c r="G27" s="8" t="str">
        <f>_xlfn.XLOOKUP(Tabla_gap6[[#This Row],[Key]],Primer_filtro[Key],Primer_filtro[Método de estimación],"")</f>
        <v/>
      </c>
      <c r="H27" s="8" t="str">
        <f>_xlfn.XLOOKUP(Tabla_gap6[[#This Row],[Key]],Primer_filtro[Key],Primer_filtro[¿Presenta carga?],"")</f>
        <v/>
      </c>
      <c r="I27" s="8" t="str">
        <f>_xlfn.XLOOKUP(Tabla_gap6[[#This Row],[Key]],Primer_filtro[Key],Primer_filtro[Utilidad para mi memoria],"")</f>
        <v/>
      </c>
      <c r="J27" s="8" t="str">
        <f>_xlfn.XLOOKUP(Tabla_gap6[[#This Row],[Key]],Primer_filtro[Key],Primer_filtro[Rol],"")</f>
        <v/>
      </c>
    </row>
    <row r="28" spans="1:10" ht="45" x14ac:dyDescent="0.25">
      <c r="A28" s="8" t="str" cm="1">
        <f t="array" ref="A28">IFERROR(INDEX(_xlfn._xlws.FILTER(Primer_filtro[Key],UPPER(Primer_filtro[Matematica])="SI"),ROW()-ROW(Tabla_gap6[#Headers])),"")</f>
        <v>7ZQKQW2S</v>
      </c>
      <c r="B28" s="8">
        <f>_xlfn.XLOOKUP(Tabla_gap6[[#This Row],[Key]],Primer_filtro[Key],Primer_filtro[Tipo de motor],"")</f>
        <v>0</v>
      </c>
      <c r="C28" s="8">
        <f>_xlfn.XLOOKUP(Tabla_gap6[[#This Row],[Key]],Primer_filtro[Key],Primer_filtro[¿Sensorless?],"")</f>
        <v>0</v>
      </c>
      <c r="D28" s="8">
        <f>_xlfn.XLOOKUP(Tabla_gap6[[#This Row],[Key]],Primer_filtro[Key],Primer_filtro[Low-speed],"")</f>
        <v>0</v>
      </c>
      <c r="E28" s="8">
        <f>_xlfn.XLOOKUP(Tabla_gap6[[#This Row],[Key]],Primer_filtro[Key],Primer_filtro[¿Cogging?],"")</f>
        <v>0</v>
      </c>
      <c r="F28" s="8">
        <f>_xlfn.XLOOKUP(Tabla_gap6[[#This Row],[Key]],Primer_filtro[Key],Primer_filtro[Compensación?],"")</f>
        <v>0</v>
      </c>
      <c r="G28" s="8">
        <f>_xlfn.XLOOKUP(Tabla_gap6[[#This Row],[Key]],Primer_filtro[Key],Primer_filtro[Método de estimación],"")</f>
        <v>0</v>
      </c>
      <c r="H28" s="8">
        <f>_xlfn.XLOOKUP(Tabla_gap6[[#This Row],[Key]],Primer_filtro[Key],Primer_filtro[¿Presenta carga?],"")</f>
        <v>0</v>
      </c>
      <c r="I28" s="8">
        <f>_xlfn.XLOOKUP(Tabla_gap6[[#This Row],[Key]],Primer_filtro[Key],Primer_filtro[Utilidad para mi memoria],"")</f>
        <v>0</v>
      </c>
      <c r="J28" s="8" t="str">
        <f>_xlfn.XLOOKUP(Tabla_gap6[[#This Row],[Key]],Primer_filtro[Key],Primer_filtro[Rol],"")</f>
        <v>Estudio de observabilidad</v>
      </c>
    </row>
    <row r="29" spans="1:10" ht="105" x14ac:dyDescent="0.25">
      <c r="A29" s="8" t="str" cm="1">
        <f t="array" ref="A29">IFERROR(INDEX(_xlfn._xlws.FILTER(Primer_filtro[Key],UPPER(Primer_filtro[Matematica])="SI"),ROW()-ROW(Tabla_gap6[#Headers])),"")</f>
        <v>BKR27Y85</v>
      </c>
      <c r="B29" s="8">
        <f>_xlfn.XLOOKUP(Tabla_gap6[[#This Row],[Key]],Primer_filtro[Key],Primer_filtro[Tipo de motor],"")</f>
        <v>0</v>
      </c>
      <c r="C29" s="8">
        <f>_xlfn.XLOOKUP(Tabla_gap6[[#This Row],[Key]],Primer_filtro[Key],Primer_filtro[¿Sensorless?],"")</f>
        <v>0</v>
      </c>
      <c r="D29" s="8">
        <f>_xlfn.XLOOKUP(Tabla_gap6[[#This Row],[Key]],Primer_filtro[Key],Primer_filtro[Low-speed],"")</f>
        <v>0</v>
      </c>
      <c r="E29" s="8">
        <f>_xlfn.XLOOKUP(Tabla_gap6[[#This Row],[Key]],Primer_filtro[Key],Primer_filtro[¿Cogging?],"")</f>
        <v>0</v>
      </c>
      <c r="F29" s="8">
        <f>_xlfn.XLOOKUP(Tabla_gap6[[#This Row],[Key]],Primer_filtro[Key],Primer_filtro[Compensación?],"")</f>
        <v>0</v>
      </c>
      <c r="G29" s="8">
        <f>_xlfn.XLOOKUP(Tabla_gap6[[#This Row],[Key]],Primer_filtro[Key],Primer_filtro[Método de estimación],"")</f>
        <v>0</v>
      </c>
      <c r="H29" s="8">
        <f>_xlfn.XLOOKUP(Tabla_gap6[[#This Row],[Key]],Primer_filtro[Key],Primer_filtro[¿Presenta carga?],"")</f>
        <v>0</v>
      </c>
      <c r="I29" s="8">
        <f>_xlfn.XLOOKUP(Tabla_gap6[[#This Row],[Key]],Primer_filtro[Key],Primer_filtro[Utilidad para mi memoria],"")</f>
        <v>0</v>
      </c>
      <c r="J29" s="8" t="str">
        <f>_xlfn.XLOOKUP(Tabla_gap6[[#This Row],[Key]],Primer_filtro[Key],Primer_filtro[Rol],"")</f>
        <v>Habla de aprovechar la saliencia para aumentar el torque (MTPA)</v>
      </c>
    </row>
    <row r="30" spans="1:10" ht="90" x14ac:dyDescent="0.25">
      <c r="A30" s="8" t="str" cm="1">
        <f t="array" ref="A30">IFERROR(INDEX(_xlfn._xlws.FILTER(Primer_filtro[Key],UPPER(Primer_filtro[Matematica])="SI"),ROW()-ROW(Tabla_gap6[#Headers])),"")</f>
        <v>LSRQFPHR</v>
      </c>
      <c r="B30" s="8" t="str">
        <f>_xlfn.XLOOKUP(Tabla_gap6[[#This Row],[Key]],Primer_filtro[Key],Primer_filtro[Tipo de motor],"")</f>
        <v>PMSM</v>
      </c>
      <c r="C30" s="8" t="str">
        <f>_xlfn.XLOOKUP(Tabla_gap6[[#This Row],[Key]],Primer_filtro[Key],Primer_filtro[¿Sensorless?],"")</f>
        <v>Si</v>
      </c>
      <c r="D30" s="8">
        <f>_xlfn.XLOOKUP(Tabla_gap6[[#This Row],[Key]],Primer_filtro[Key],Primer_filtro[Low-speed],"")</f>
        <v>0</v>
      </c>
      <c r="E30" s="8" t="str">
        <f>_xlfn.XLOOKUP(Tabla_gap6[[#This Row],[Key]],Primer_filtro[Key],Primer_filtro[¿Cogging?],"")</f>
        <v>No</v>
      </c>
      <c r="F30" s="8">
        <f>_xlfn.XLOOKUP(Tabla_gap6[[#This Row],[Key]],Primer_filtro[Key],Primer_filtro[Compensación?],"")</f>
        <v>0</v>
      </c>
      <c r="G30" s="8" t="str">
        <f>_xlfn.XLOOKUP(Tabla_gap6[[#This Row],[Key]],Primer_filtro[Key],Primer_filtro[Método de estimación],"")</f>
        <v>HFI + EKF</v>
      </c>
      <c r="H30" s="8" t="str">
        <f>_xlfn.XLOOKUP(Tabla_gap6[[#This Row],[Key]],Primer_filtro[Key],Primer_filtro[¿Presenta carga?],"")</f>
        <v>Si</v>
      </c>
      <c r="I30" s="8" t="str">
        <f>_xlfn.XLOOKUP(Tabla_gap6[[#This Row],[Key]],Primer_filtro[Key],Primer_filtro[Utilidad para mi memoria],"")</f>
        <v>Demostración matemática</v>
      </c>
      <c r="J30" s="8" t="str">
        <f>_xlfn.XLOOKUP(Tabla_gap6[[#This Row],[Key]],Primer_filtro[Key],Primer_filtro[Rol],"")</f>
        <v>Análisis de observabilidad en función de las corrientes</v>
      </c>
    </row>
    <row r="31" spans="1:10" ht="135" x14ac:dyDescent="0.25">
      <c r="A31" s="8" t="str" cm="1">
        <f t="array" ref="A31">IFERROR(INDEX(_xlfn._xlws.FILTER(Primer_filtro[Key],UPPER(Primer_filtro[Matematica])="SI"),ROW()-ROW(Tabla_gap6[#Headers])),"")</f>
        <v>MTMK56PE</v>
      </c>
      <c r="B31" s="8" t="str">
        <f>_xlfn.XLOOKUP(Tabla_gap6[[#This Row],[Key]],Primer_filtro[Key],Primer_filtro[Tipo de motor],"")</f>
        <v>Stepper</v>
      </c>
      <c r="C31" s="8" t="str">
        <f>_xlfn.XLOOKUP(Tabla_gap6[[#This Row],[Key]],Primer_filtro[Key],Primer_filtro[¿Sensorless?],"")</f>
        <v>Si</v>
      </c>
      <c r="D31" s="8">
        <f>_xlfn.XLOOKUP(Tabla_gap6[[#This Row],[Key]],Primer_filtro[Key],Primer_filtro[Low-speed],"")</f>
        <v>0</v>
      </c>
      <c r="E31" s="8" t="str">
        <f>_xlfn.XLOOKUP(Tabla_gap6[[#This Row],[Key]],Primer_filtro[Key],Primer_filtro[¿Cogging?],"")</f>
        <v>no</v>
      </c>
      <c r="F31" s="8">
        <f>_xlfn.XLOOKUP(Tabla_gap6[[#This Row],[Key]],Primer_filtro[Key],Primer_filtro[Compensación?],"")</f>
        <v>0</v>
      </c>
      <c r="G31" s="8" t="str">
        <f>_xlfn.XLOOKUP(Tabla_gap6[[#This Row],[Key]],Primer_filtro[Key],Primer_filtro[Método de estimación],"")</f>
        <v>Load angle estimator</v>
      </c>
      <c r="H31" s="8" t="str">
        <f>_xlfn.XLOOKUP(Tabla_gap6[[#This Row],[Key]],Primer_filtro[Key],Primer_filtro[¿Presenta carga?],"")</f>
        <v>Si, la observa</v>
      </c>
      <c r="I31" s="8" t="str">
        <f>_xlfn.XLOOKUP(Tabla_gap6[[#This Row],[Key]],Primer_filtro[Key],Primer_filtro[Utilidad para mi memoria],"")</f>
        <v>comparación stepper</v>
      </c>
      <c r="J31" s="8" t="str">
        <f>_xlfn.XLOOKUP(Tabla_gap6[[#This Row],[Key]],Primer_filtro[Key],Primer_filtro[Rol],"")</f>
        <v>Habla sobre steppers y un observador
Calculos de algunas ganancias Kp y Ti</v>
      </c>
    </row>
    <row r="32" spans="1:10" ht="45" x14ac:dyDescent="0.25">
      <c r="A32" s="8" t="str" cm="1">
        <f t="array" ref="A32">IFERROR(INDEX(_xlfn._xlws.FILTER(Primer_filtro[Key],UPPER(Primer_filtro[Matematica])="SI"),ROW()-ROW(Tabla_gap6[#Headers])),"")</f>
        <v>NZ8FHWPC</v>
      </c>
      <c r="B32" s="8" t="str">
        <f>_xlfn.XLOOKUP(Tabla_gap6[[#This Row],[Key]],Primer_filtro[Key],Primer_filtro[Tipo de motor],"")</f>
        <v>PMSM</v>
      </c>
      <c r="C32" s="8" t="str">
        <f>_xlfn.XLOOKUP(Tabla_gap6[[#This Row],[Key]],Primer_filtro[Key],Primer_filtro[¿Sensorless?],"")</f>
        <v>Si</v>
      </c>
      <c r="D32" s="8" t="str">
        <f>_xlfn.XLOOKUP(Tabla_gap6[[#This Row],[Key]],Primer_filtro[Key],Primer_filtro[Low-speed],"")</f>
        <v>Si</v>
      </c>
      <c r="E32" s="8" t="str">
        <f>_xlfn.XLOOKUP(Tabla_gap6[[#This Row],[Key]],Primer_filtro[Key],Primer_filtro[¿Cogging?],"")</f>
        <v>No</v>
      </c>
      <c r="F32" s="8">
        <f>_xlfn.XLOOKUP(Tabla_gap6[[#This Row],[Key]],Primer_filtro[Key],Primer_filtro[Compensación?],"")</f>
        <v>0</v>
      </c>
      <c r="G32" s="8" t="str">
        <f>_xlfn.XLOOKUP(Tabla_gap6[[#This Row],[Key]],Primer_filtro[Key],Primer_filtro[Método de estimación],"")</f>
        <v>observer</v>
      </c>
      <c r="H32" s="8" t="str">
        <f>_xlfn.XLOOKUP(Tabla_gap6[[#This Row],[Key]],Primer_filtro[Key],Primer_filtro[¿Presenta carga?],"")</f>
        <v>Si</v>
      </c>
      <c r="I32" s="8">
        <f>_xlfn.XLOOKUP(Tabla_gap6[[#This Row],[Key]],Primer_filtro[Key],Primer_filtro[Utilidad para mi memoria],"")</f>
        <v>0</v>
      </c>
      <c r="J32" s="8" t="str">
        <f>_xlfn.XLOOKUP(Tabla_gap6[[#This Row],[Key]],Primer_filtro[Key],Primer_filtro[Rol],"")</f>
        <v>Análisis de estabilidad del error?</v>
      </c>
    </row>
    <row r="33" spans="1:10" ht="90" x14ac:dyDescent="0.25">
      <c r="A33" s="8" t="str" cm="1">
        <f t="array" ref="A33">IFERROR(INDEX(_xlfn._xlws.FILTER(Primer_filtro[Key],UPPER(Primer_filtro[Matematica])="SI"),ROW()-ROW(Tabla_gap6[#Headers])),"")</f>
        <v>XGFE4Q25</v>
      </c>
      <c r="B33" s="8" t="str">
        <f>_xlfn.XLOOKUP(Tabla_gap6[[#This Row],[Key]],Primer_filtro[Key],Primer_filtro[Tipo de motor],"")</f>
        <v>PMSM</v>
      </c>
      <c r="C33" s="8" t="str">
        <f>_xlfn.XLOOKUP(Tabla_gap6[[#This Row],[Key]],Primer_filtro[Key],Primer_filtro[¿Sensorless?],"")</f>
        <v>Si</v>
      </c>
      <c r="D33" s="8">
        <f>_xlfn.XLOOKUP(Tabla_gap6[[#This Row],[Key]],Primer_filtro[Key],Primer_filtro[Low-speed],"")</f>
        <v>0</v>
      </c>
      <c r="E33" s="8" t="str">
        <f>_xlfn.XLOOKUP(Tabla_gap6[[#This Row],[Key]],Primer_filtro[Key],Primer_filtro[¿Cogging?],"")</f>
        <v>No</v>
      </c>
      <c r="F33" s="8">
        <f>_xlfn.XLOOKUP(Tabla_gap6[[#This Row],[Key]],Primer_filtro[Key],Primer_filtro[Compensación?],"")</f>
        <v>0</v>
      </c>
      <c r="G33" s="8" t="str">
        <f>_xlfn.XLOOKUP(Tabla_gap6[[#This Row],[Key]],Primer_filtro[Key],Primer_filtro[Método de estimación],"")</f>
        <v>Flux observer</v>
      </c>
      <c r="H33" s="8" t="str">
        <f>_xlfn.XLOOKUP(Tabla_gap6[[#This Row],[Key]],Primer_filtro[Key],Primer_filtro[¿Presenta carga?],"")</f>
        <v>Si, no modela</v>
      </c>
      <c r="I33" s="8" t="str">
        <f>_xlfn.XLOOKUP(Tabla_gap6[[#This Row],[Key]],Primer_filtro[Key],Primer_filtro[Utilidad para mi memoria],"")</f>
        <v>Otro metodo?
Demostraciones matemáticas</v>
      </c>
      <c r="J33" s="8" t="str">
        <f>_xlfn.XLOOKUP(Tabla_gap6[[#This Row],[Key]],Primer_filtro[Key],Primer_filtro[Rol],"")</f>
        <v>más analisis de observabilidad (Jacobiano)</v>
      </c>
    </row>
    <row r="34" spans="1:10" ht="45" x14ac:dyDescent="0.25">
      <c r="A34" s="8" t="str" cm="1">
        <f t="array" ref="A34">IFERROR(INDEX(_xlfn._xlws.FILTER(Primer_filtro[Key],UPPER(Primer_filtro[Matematica])="SI"),ROW()-ROW(Tabla_gap6[#Headers])),"")</f>
        <v>DKE5VMD4</v>
      </c>
      <c r="B34" s="8">
        <f>_xlfn.XLOOKUP(Tabla_gap6[[#This Row],[Key]],Primer_filtro[Key],Primer_filtro[Tipo de motor],"")</f>
        <v>0</v>
      </c>
      <c r="C34" s="8">
        <f>_xlfn.XLOOKUP(Tabla_gap6[[#This Row],[Key]],Primer_filtro[Key],Primer_filtro[¿Sensorless?],"")</f>
        <v>0</v>
      </c>
      <c r="D34" s="8">
        <f>_xlfn.XLOOKUP(Tabla_gap6[[#This Row],[Key]],Primer_filtro[Key],Primer_filtro[Low-speed],"")</f>
        <v>0</v>
      </c>
      <c r="E34" s="8">
        <f>_xlfn.XLOOKUP(Tabla_gap6[[#This Row],[Key]],Primer_filtro[Key],Primer_filtro[¿Cogging?],"")</f>
        <v>0</v>
      </c>
      <c r="F34" s="8">
        <f>_xlfn.XLOOKUP(Tabla_gap6[[#This Row],[Key]],Primer_filtro[Key],Primer_filtro[Compensación?],"")</f>
        <v>0</v>
      </c>
      <c r="G34" s="8">
        <f>_xlfn.XLOOKUP(Tabla_gap6[[#This Row],[Key]],Primer_filtro[Key],Primer_filtro[Método de estimación],"")</f>
        <v>0</v>
      </c>
      <c r="H34" s="8">
        <f>_xlfn.XLOOKUP(Tabla_gap6[[#This Row],[Key]],Primer_filtro[Key],Primer_filtro[¿Presenta carga?],"")</f>
        <v>0</v>
      </c>
      <c r="I34" s="8">
        <f>_xlfn.XLOOKUP(Tabla_gap6[[#This Row],[Key]],Primer_filtro[Key],Primer_filtro[Utilidad para mi memoria],"")</f>
        <v>0</v>
      </c>
      <c r="J34" s="8" t="str">
        <f>_xlfn.XLOOKUP(Tabla_gap6[[#This Row],[Key]],Primer_filtro[Key],Primer_filtro[Rol],"")</f>
        <v>Análisis de observabilidad</v>
      </c>
    </row>
    <row r="35" spans="1:10" ht="45" x14ac:dyDescent="0.25">
      <c r="A35" s="8" t="str" cm="1">
        <f t="array" ref="A35">IFERROR(INDEX(_xlfn._xlws.FILTER(Primer_filtro[Key],UPPER(Primer_filtro[Matematica])="SI"),ROW()-ROW(Tabla_gap6[#Headers])),"")</f>
        <v>YTC9RBXJ</v>
      </c>
      <c r="B35" s="8" t="str">
        <f>_xlfn.XLOOKUP(Tabla_gap6[[#This Row],[Key]],Primer_filtro[Key],Primer_filtro[Tipo de motor],"")</f>
        <v>PMSM</v>
      </c>
      <c r="C35" s="8" t="str">
        <f>_xlfn.XLOOKUP(Tabla_gap6[[#This Row],[Key]],Primer_filtro[Key],Primer_filtro[¿Sensorless?],"")</f>
        <v>Si</v>
      </c>
      <c r="D35" s="8" t="str">
        <f>_xlfn.XLOOKUP(Tabla_gap6[[#This Row],[Key]],Primer_filtro[Key],Primer_filtro[Low-speed],"")</f>
        <v>No</v>
      </c>
      <c r="E35" s="8" t="str">
        <f>_xlfn.XLOOKUP(Tabla_gap6[[#This Row],[Key]],Primer_filtro[Key],Primer_filtro[¿Cogging?],"")</f>
        <v>No</v>
      </c>
      <c r="F35" s="8">
        <f>_xlfn.XLOOKUP(Tabla_gap6[[#This Row],[Key]],Primer_filtro[Key],Primer_filtro[Compensación?],"")</f>
        <v>0</v>
      </c>
      <c r="G35" s="8" t="str">
        <f>_xlfn.XLOOKUP(Tabla_gap6[[#This Row],[Key]],Primer_filtro[Key],Primer_filtro[Método de estimación],"")</f>
        <v>back-EMF observer</v>
      </c>
      <c r="H35" s="8" t="str">
        <f>_xlfn.XLOOKUP(Tabla_gap6[[#This Row],[Key]],Primer_filtro[Key],Primer_filtro[¿Presenta carga?],"")</f>
        <v>No</v>
      </c>
      <c r="I35" s="8">
        <f>_xlfn.XLOOKUP(Tabla_gap6[[#This Row],[Key]],Primer_filtro[Key],Primer_filtro[Utilidad para mi memoria],"")</f>
        <v>0</v>
      </c>
      <c r="J35" s="8" t="str">
        <f>_xlfn.XLOOKUP(Tabla_gap6[[#This Row],[Key]],Primer_filtro[Key],Primer_filtro[Rol],"")</f>
        <v>Presenta algunas ecuaciones</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2CC86-6AEA-467C-BAD1-19AFA12FEF8B}">
  <dimension ref="A1:J35"/>
  <sheetViews>
    <sheetView workbookViewId="0"/>
  </sheetViews>
  <sheetFormatPr baseColWidth="10" defaultRowHeight="15" x14ac:dyDescent="0.25"/>
  <cols>
    <col min="1" max="1" width="40.42578125" style="8" customWidth="1"/>
    <col min="2" max="2" width="12.28515625" style="8" customWidth="1"/>
    <col min="3" max="9" width="11.42578125" style="8"/>
    <col min="10" max="10" width="16.7109375" style="8" customWidth="1"/>
    <col min="11" max="16384" width="11.42578125" style="8"/>
  </cols>
  <sheetData>
    <row r="1" spans="1:10" ht="30" x14ac:dyDescent="0.25">
      <c r="A1" s="8" t="s">
        <v>0</v>
      </c>
      <c r="B1" s="8" t="s">
        <v>510</v>
      </c>
      <c r="C1" s="8" t="s">
        <v>665</v>
      </c>
      <c r="D1" s="8" t="s">
        <v>666</v>
      </c>
      <c r="E1" s="8" t="s">
        <v>349</v>
      </c>
      <c r="F1" s="8" t="s">
        <v>667</v>
      </c>
      <c r="G1" s="8" t="s">
        <v>668</v>
      </c>
      <c r="H1" s="8" t="s">
        <v>669</v>
      </c>
      <c r="I1" s="8" t="s">
        <v>973</v>
      </c>
      <c r="J1" s="8" t="s">
        <v>672</v>
      </c>
    </row>
    <row r="2" spans="1:10" ht="135" x14ac:dyDescent="0.25">
      <c r="A2" s="8" t="str" cm="1">
        <f t="array" ref="A2">IFERROR(INDEX(_xlfn._xlws.FILTER(Primer_filtro[Key],UPPER(Primer_filtro[Aporta a la estructura de mi tesis?])="SI"),ROW()-ROW(Tabla_gap67[#Headers])),"")</f>
        <v>8ZPQX5EM</v>
      </c>
      <c r="B2" s="8" t="str">
        <f>_xlfn.XLOOKUP(Tabla_gap67[[#This Row],[Key]],Primer_filtro[Key],Primer_filtro[Tipo de motor],"")</f>
        <v>Stepper</v>
      </c>
      <c r="C2" s="8" t="str">
        <f>_xlfn.XLOOKUP(Tabla_gap67[[#This Row],[Key]],Primer_filtro[Key],Primer_filtro[¿Sensorless?],"")</f>
        <v>No</v>
      </c>
      <c r="D2" s="8" t="str">
        <f>_xlfn.XLOOKUP(Tabla_gap67[[#This Row],[Key]],Primer_filtro[Key],Primer_filtro[Low-speed],"")</f>
        <v>Si</v>
      </c>
      <c r="E2" s="8" t="str">
        <f>_xlfn.XLOOKUP(Tabla_gap67[[#This Row],[Key]],Primer_filtro[Key],Primer_filtro[¿Cogging?],"")</f>
        <v>si</v>
      </c>
      <c r="F2" s="8" t="str">
        <f>_xlfn.XLOOKUP(Tabla_gap67[[#This Row],[Key]],Primer_filtro[Key],Primer_filtro[Compensación?],"")</f>
        <v>resonant controller</v>
      </c>
      <c r="G2" s="8">
        <f>_xlfn.XLOOKUP(Tabla_gap67[[#This Row],[Key]],Primer_filtro[Key],Primer_filtro[Método de estimación],"")</f>
        <v>0</v>
      </c>
      <c r="H2" s="8" t="str">
        <f>_xlfn.XLOOKUP(Tabla_gap67[[#This Row],[Key]],Primer_filtro[Key],Primer_filtro[¿Presenta carga?],"")</f>
        <v>Si, no modela</v>
      </c>
      <c r="I2" s="8" t="str">
        <f>_xlfn.XLOOKUP(Tabla_gap67[[#This Row],[Key]],Primer_filtro[Key],Primer_filtro[Utilidad para mi memoria],"")</f>
        <v>Analisis THD
resonant controller
analisis db
comparación de PR para distintos J</v>
      </c>
      <c r="J2" s="8" t="str">
        <f>_xlfn.XLOOKUP(Tabla_gap67[[#This Row],[Key]],Primer_filtro[Key],Primer_filtro[Rol],"")</f>
        <v>Aporta con RI controller
Aporta con THD análisis</v>
      </c>
    </row>
    <row r="3" spans="1:10" ht="60" x14ac:dyDescent="0.25">
      <c r="A3" s="8" t="str" cm="1">
        <f t="array" ref="A3">IFERROR(INDEX(_xlfn._xlws.FILTER(Primer_filtro[Key],UPPER(Primer_filtro[Aporta a la estructura de mi tesis?])="SI"),ROW()-ROW(Tabla_gap67[#Headers])),"")</f>
        <v>F28DY3B6</v>
      </c>
      <c r="B3" s="8" t="str">
        <f>_xlfn.XLOOKUP(Tabla_gap67[[#This Row],[Key]],Primer_filtro[Key],Primer_filtro[Tipo de motor],"")</f>
        <v>PMSM</v>
      </c>
      <c r="C3" s="8" t="str">
        <f>_xlfn.XLOOKUP(Tabla_gap67[[#This Row],[Key]],Primer_filtro[Key],Primer_filtro[¿Sensorless?],"")</f>
        <v>No</v>
      </c>
      <c r="D3" s="8">
        <f>_xlfn.XLOOKUP(Tabla_gap67[[#This Row],[Key]],Primer_filtro[Key],Primer_filtro[Low-speed],"")</f>
        <v>0</v>
      </c>
      <c r="E3" s="8">
        <f>_xlfn.XLOOKUP(Tabla_gap67[[#This Row],[Key]],Primer_filtro[Key],Primer_filtro[¿Cogging?],"")</f>
        <v>0</v>
      </c>
      <c r="F3" s="8" t="str">
        <f>_xlfn.XLOOKUP(Tabla_gap67[[#This Row],[Key]],Primer_filtro[Key],Primer_filtro[Compensación?],"")</f>
        <v>Harmónicos? Polos zeros?</v>
      </c>
      <c r="G3" s="8" t="str">
        <f>_xlfn.XLOOKUP(Tabla_gap67[[#This Row],[Key]],Primer_filtro[Key],Primer_filtro[Método de estimación],"")</f>
        <v>ESO</v>
      </c>
      <c r="H3" s="8">
        <f>_xlfn.XLOOKUP(Tabla_gap67[[#This Row],[Key]],Primer_filtro[Key],Primer_filtro[¿Presenta carga?],"")</f>
        <v>0</v>
      </c>
      <c r="I3" s="8">
        <f>_xlfn.XLOOKUP(Tabla_gap67[[#This Row],[Key]],Primer_filtro[Key],Primer_filtro[Utilidad para mi memoria],"")</f>
        <v>0</v>
      </c>
      <c r="J3" s="8" t="str">
        <f>_xlfn.XLOOKUP(Tabla_gap67[[#This Row],[Key]],Primer_filtro[Key],Primer_filtro[Rol],"")</f>
        <v>Utilidad de estados extendidos, no es sensorless</v>
      </c>
    </row>
    <row r="4" spans="1:10" ht="120" x14ac:dyDescent="0.25">
      <c r="A4" s="8" t="str" cm="1">
        <f t="array" ref="A4">IFERROR(INDEX(_xlfn._xlws.FILTER(Primer_filtro[Key],UPPER(Primer_filtro[Aporta a la estructura de mi tesis?])="SI"),ROW()-ROW(Tabla_gap67[#Headers])),"")</f>
        <v>F86QFM92</v>
      </c>
      <c r="B4" s="8" t="str">
        <f>_xlfn.XLOOKUP(Tabla_gap67[[#This Row],[Key]],Primer_filtro[Key],Primer_filtro[Tipo de motor],"")</f>
        <v>PMSM</v>
      </c>
      <c r="C4" s="8" t="str">
        <f>_xlfn.XLOOKUP(Tabla_gap67[[#This Row],[Key]],Primer_filtro[Key],Primer_filtro[¿Sensorless?],"")</f>
        <v>Si</v>
      </c>
      <c r="D4" s="8" t="str">
        <f>_xlfn.XLOOKUP(Tabla_gap67[[#This Row],[Key]],Primer_filtro[Key],Primer_filtro[Low-speed],"")</f>
        <v>Si</v>
      </c>
      <c r="E4" s="8">
        <f>_xlfn.XLOOKUP(Tabla_gap67[[#This Row],[Key]],Primer_filtro[Key],Primer_filtro[¿Cogging?],"")</f>
        <v>0</v>
      </c>
      <c r="F4" s="8">
        <f>_xlfn.XLOOKUP(Tabla_gap67[[#This Row],[Key]],Primer_filtro[Key],Primer_filtro[Compensación?],"")</f>
        <v>0</v>
      </c>
      <c r="G4" s="8" t="str">
        <f>_xlfn.XLOOKUP(Tabla_gap67[[#This Row],[Key]],Primer_filtro[Key],Primer_filtro[Método de estimación],"")</f>
        <v>Observador</v>
      </c>
      <c r="H4" s="8" t="str">
        <f>_xlfn.XLOOKUP(Tabla_gap67[[#This Row],[Key]],Primer_filtro[Key],Primer_filtro[¿Presenta carga?],"")</f>
        <v>Si</v>
      </c>
      <c r="I4" s="8">
        <f>_xlfn.XLOOKUP(Tabla_gap67[[#This Row],[Key]],Primer_filtro[Key],Primer_filtro[Utilidad para mi memoria],"")</f>
        <v>0</v>
      </c>
      <c r="J4" s="8" t="str">
        <f>_xlfn.XLOOKUP(Tabla_gap67[[#This Row],[Key]],Primer_filtro[Key],Primer_filtro[Rol],"")</f>
        <v>Thesis que se acerca bastante a la mia. Reduce el ripple de FEM. Propone reducir el ripple de cogging.
Muy buena estructura</v>
      </c>
    </row>
    <row r="5" spans="1:10" ht="120" x14ac:dyDescent="0.25">
      <c r="A5" s="8" t="str" cm="1">
        <f t="array" ref="A5">IFERROR(INDEX(_xlfn._xlws.FILTER(Primer_filtro[Key],UPPER(Primer_filtro[Aporta a la estructura de mi tesis?])="SI"),ROW()-ROW(Tabla_gap67[#Headers])),"")</f>
        <v>FFGPRBVU</v>
      </c>
      <c r="B5" s="8" t="str">
        <f>_xlfn.XLOOKUP(Tabla_gap67[[#This Row],[Key]],Primer_filtro[Key],Primer_filtro[Tipo de motor],"")</f>
        <v>Stepper</v>
      </c>
      <c r="C5" s="8" t="str">
        <f>_xlfn.XLOOKUP(Tabla_gap67[[#This Row],[Key]],Primer_filtro[Key],Primer_filtro[¿Sensorless?],"")</f>
        <v>Si</v>
      </c>
      <c r="D5" s="8">
        <f>_xlfn.XLOOKUP(Tabla_gap67[[#This Row],[Key]],Primer_filtro[Key],Primer_filtro[Low-speed],"")</f>
        <v>0</v>
      </c>
      <c r="E5" s="8" t="str">
        <f>_xlfn.XLOOKUP(Tabla_gap67[[#This Row],[Key]],Primer_filtro[Key],Primer_filtro[¿Cogging?],"")</f>
        <v>Si</v>
      </c>
      <c r="F5" s="8" t="str">
        <f>_xlfn.XLOOKUP(Tabla_gap67[[#This Row],[Key]],Primer_filtro[Key],Primer_filtro[Compensación?],"")</f>
        <v>Feedforward</v>
      </c>
      <c r="G5" s="8" t="str">
        <f>_xlfn.XLOOKUP(Tabla_gap67[[#This Row],[Key]],Primer_filtro[Key],Primer_filtro[Método de estimación],"")</f>
        <v>EKF</v>
      </c>
      <c r="H5" s="8" t="str">
        <f>_xlfn.XLOOKUP(Tabla_gap67[[#This Row],[Key]],Primer_filtro[Key],Primer_filtro[¿Presenta carga?],"")</f>
        <v>Si</v>
      </c>
      <c r="I5" s="8" t="str">
        <f>_xlfn.XLOOKUP(Tabla_gap67[[#This Row],[Key]],Primer_filtro[Key],Primer_filtro[Utilidad para mi memoria],"")</f>
        <v>Modelo Stepper
Diagramas
Control de posición close-loop. No Open-loop</v>
      </c>
      <c r="J5" s="8" t="str">
        <f>_xlfn.XLOOKUP(Tabla_gap67[[#This Row],[Key]],Primer_filtro[Key],Primer_filtro[Rol],"")</f>
        <v>Se parece demasiado a mi tesis</v>
      </c>
    </row>
    <row r="6" spans="1:10" ht="120" x14ac:dyDescent="0.25">
      <c r="A6" s="8" t="str" cm="1">
        <f t="array" ref="A6">IFERROR(INDEX(_xlfn._xlws.FILTER(Primer_filtro[Key],UPPER(Primer_filtro[Aporta a la estructura de mi tesis?])="SI"),ROW()-ROW(Tabla_gap67[#Headers])),"")</f>
        <v>CLQCX5JI</v>
      </c>
      <c r="B6" s="8">
        <f>_xlfn.XLOOKUP(Tabla_gap67[[#This Row],[Key]],Primer_filtro[Key],Primer_filtro[Tipo de motor],"")</f>
        <v>0</v>
      </c>
      <c r="C6" s="8">
        <f>_xlfn.XLOOKUP(Tabla_gap67[[#This Row],[Key]],Primer_filtro[Key],Primer_filtro[¿Sensorless?],"")</f>
        <v>0</v>
      </c>
      <c r="D6" s="8">
        <f>_xlfn.XLOOKUP(Tabla_gap67[[#This Row],[Key]],Primer_filtro[Key],Primer_filtro[Low-speed],"")</f>
        <v>0</v>
      </c>
      <c r="E6" s="8">
        <f>_xlfn.XLOOKUP(Tabla_gap67[[#This Row],[Key]],Primer_filtro[Key],Primer_filtro[¿Cogging?],"")</f>
        <v>0</v>
      </c>
      <c r="F6" s="8">
        <f>_xlfn.XLOOKUP(Tabla_gap67[[#This Row],[Key]],Primer_filtro[Key],Primer_filtro[Compensación?],"")</f>
        <v>0</v>
      </c>
      <c r="G6" s="8">
        <f>_xlfn.XLOOKUP(Tabla_gap67[[#This Row],[Key]],Primer_filtro[Key],Primer_filtro[Método de estimación],"")</f>
        <v>0</v>
      </c>
      <c r="H6" s="8">
        <f>_xlfn.XLOOKUP(Tabla_gap67[[#This Row],[Key]],Primer_filtro[Key],Primer_filtro[¿Presenta carga?],"")</f>
        <v>0</v>
      </c>
      <c r="I6" s="8">
        <f>_xlfn.XLOOKUP(Tabla_gap67[[#This Row],[Key]],Primer_filtro[Key],Primer_filtro[Utilidad para mi memoria],"")</f>
        <v>0</v>
      </c>
      <c r="J6" s="8" t="str">
        <f>_xlfn.XLOOKUP(Tabla_gap67[[#This Row],[Key]],Primer_filtro[Key],Primer_filtro[Rol],"")</f>
        <v>Compara muchos estados, analiza observabilidad
Tablas comparativas
No considera saliencia</v>
      </c>
    </row>
    <row r="7" spans="1:10" ht="90" x14ac:dyDescent="0.25">
      <c r="A7" s="8" t="str" cm="1">
        <f t="array" ref="A7">IFERROR(INDEX(_xlfn._xlws.FILTER(Primer_filtro[Key],UPPER(Primer_filtro[Aporta a la estructura de mi tesis?])="SI"),ROW()-ROW(Tabla_gap67[#Headers])),"")</f>
        <v>2LG4MBDY</v>
      </c>
      <c r="B7" s="8" t="str">
        <f>_xlfn.XLOOKUP(Tabla_gap67[[#This Row],[Key]],Primer_filtro[Key],Primer_filtro[Tipo de motor],"")</f>
        <v>PMSM</v>
      </c>
      <c r="C7" s="8" t="str">
        <f>_xlfn.XLOOKUP(Tabla_gap67[[#This Row],[Key]],Primer_filtro[Key],Primer_filtro[¿Sensorless?],"")</f>
        <v>Si</v>
      </c>
      <c r="D7" s="8" t="str">
        <f>_xlfn.XLOOKUP(Tabla_gap67[[#This Row],[Key]],Primer_filtro[Key],Primer_filtro[Low-speed],"")</f>
        <v>No</v>
      </c>
      <c r="E7" s="8" t="str">
        <f>_xlfn.XLOOKUP(Tabla_gap67[[#This Row],[Key]],Primer_filtro[Key],Primer_filtro[¿Cogging?],"")</f>
        <v>No</v>
      </c>
      <c r="F7" s="8">
        <f>_xlfn.XLOOKUP(Tabla_gap67[[#This Row],[Key]],Primer_filtro[Key],Primer_filtro[Compensación?],"")</f>
        <v>0</v>
      </c>
      <c r="G7" s="8" t="str">
        <f>_xlfn.XLOOKUP(Tabla_gap67[[#This Row],[Key]],Primer_filtro[Key],Primer_filtro[Método de estimación],"")</f>
        <v>extendido</v>
      </c>
      <c r="H7" s="8" t="str">
        <f>_xlfn.XLOOKUP(Tabla_gap67[[#This Row],[Key]],Primer_filtro[Key],Primer_filtro[¿Presenta carga?],"")</f>
        <v>Si</v>
      </c>
      <c r="I7" s="8" t="str">
        <f>_xlfn.XLOOKUP(Tabla_gap67[[#This Row],[Key]],Primer_filtro[Key],Primer_filtro[Utilidad para mi memoria],"")</f>
        <v>Tabla comparativa de modelos extendidos de UKF</v>
      </c>
      <c r="J7" s="8" t="str">
        <f>_xlfn.XLOOKUP(Tabla_gap67[[#This Row],[Key]],Primer_filtro[Key],Primer_filtro[Rol],"")</f>
        <v>Demostración de la derivada de Lie
Estima Pm flux linkage, Tx</v>
      </c>
    </row>
    <row r="8" spans="1:10" ht="90" x14ac:dyDescent="0.25">
      <c r="A8" s="8" t="str" cm="1">
        <f t="array" ref="A8">IFERROR(INDEX(_xlfn._xlws.FILTER(Primer_filtro[Key],UPPER(Primer_filtro[Aporta a la estructura de mi tesis?])="SI"),ROW()-ROW(Tabla_gap67[#Headers])),"")</f>
        <v>3AS578SJ</v>
      </c>
      <c r="B8" s="8" t="str">
        <f>_xlfn.XLOOKUP(Tabla_gap67[[#This Row],[Key]],Primer_filtro[Key],Primer_filtro[Tipo de motor],"")</f>
        <v>PMSM</v>
      </c>
      <c r="C8" s="8" t="str">
        <f>_xlfn.XLOOKUP(Tabla_gap67[[#This Row],[Key]],Primer_filtro[Key],Primer_filtro[¿Sensorless?],"")</f>
        <v>Si</v>
      </c>
      <c r="D8" s="8" t="str">
        <f>_xlfn.XLOOKUP(Tabla_gap67[[#This Row],[Key]],Primer_filtro[Key],Primer_filtro[Low-speed],"")</f>
        <v>No</v>
      </c>
      <c r="E8" s="8" t="str">
        <f>_xlfn.XLOOKUP(Tabla_gap67[[#This Row],[Key]],Primer_filtro[Key],Primer_filtro[¿Cogging?],"")</f>
        <v>No</v>
      </c>
      <c r="F8" s="8">
        <f>_xlfn.XLOOKUP(Tabla_gap67[[#This Row],[Key]],Primer_filtro[Key],Primer_filtro[Compensación?],"")</f>
        <v>0</v>
      </c>
      <c r="G8" s="8" t="str">
        <f>_xlfn.XLOOKUP(Tabla_gap67[[#This Row],[Key]],Primer_filtro[Key],Primer_filtro[Método de estimación],"")</f>
        <v>EKF + DOB</v>
      </c>
      <c r="H8" s="8" t="str">
        <f>_xlfn.XLOOKUP(Tabla_gap67[[#This Row],[Key]],Primer_filtro[Key],Primer_filtro[¿Presenta carga?],"")</f>
        <v>Si</v>
      </c>
      <c r="I8" s="8">
        <f>_xlfn.XLOOKUP(Tabla_gap67[[#This Row],[Key]],Primer_filtro[Key],Primer_filtro[Utilidad para mi memoria],"")</f>
        <v>0</v>
      </c>
      <c r="J8" s="8" t="str">
        <f>_xlfn.XLOOKUP(Tabla_gap67[[#This Row],[Key]],Primer_filtro[Key],Primer_filtro[Rol],"")</f>
        <v>Estima cargas
Demuestra como la ley de control puede tender a 0
Tabla que me gusta</v>
      </c>
    </row>
    <row r="9" spans="1:10" ht="120" x14ac:dyDescent="0.25">
      <c r="A9" s="8" t="str" cm="1">
        <f t="array" ref="A9">IFERROR(INDEX(_xlfn._xlws.FILTER(Primer_filtro[Key],UPPER(Primer_filtro[Aporta a la estructura de mi tesis?])="SI"),ROW()-ROW(Tabla_gap67[#Headers])),"")</f>
        <v>K6I2Z6B2</v>
      </c>
      <c r="B9" s="8" t="str">
        <f>_xlfn.XLOOKUP(Tabla_gap67[[#This Row],[Key]],Primer_filtro[Key],Primer_filtro[Tipo de motor],"")</f>
        <v>PMSM</v>
      </c>
      <c r="C9" s="8" t="str">
        <f>_xlfn.XLOOKUP(Tabla_gap67[[#This Row],[Key]],Primer_filtro[Key],Primer_filtro[¿Sensorless?],"")</f>
        <v>Si</v>
      </c>
      <c r="D9" s="8" t="str">
        <f>_xlfn.XLOOKUP(Tabla_gap67[[#This Row],[Key]],Primer_filtro[Key],Primer_filtro[Low-speed],"")</f>
        <v>No</v>
      </c>
      <c r="E9" s="8" t="str">
        <f>_xlfn.XLOOKUP(Tabla_gap67[[#This Row],[Key]],Primer_filtro[Key],Primer_filtro[¿Cogging?],"")</f>
        <v>No</v>
      </c>
      <c r="F9" s="8" t="str">
        <f>_xlfn.XLOOKUP(Tabla_gap67[[#This Row],[Key]],Primer_filtro[Key],Primer_filtro[Compensación?],"")</f>
        <v>IPR, AQPLL,</v>
      </c>
      <c r="G9" s="8" t="str">
        <f>_xlfn.XLOOKUP(Tabla_gap67[[#This Row],[Key]],Primer_filtro[Key],Primer_filtro[Método de estimación],"")</f>
        <v>extended back-emf</v>
      </c>
      <c r="H9" s="8" t="str">
        <f>_xlfn.XLOOKUP(Tabla_gap67[[#This Row],[Key]],Primer_filtro[Key],Primer_filtro[¿Presenta carga?],"")</f>
        <v>Si, no modela</v>
      </c>
      <c r="I9" s="8" t="str">
        <f>_xlfn.XLOOKUP(Tabla_gap67[[#This Row],[Key]],Primer_filtro[Key],Primer_filtro[Utilidad para mi memoria],"")</f>
        <v>Utiliza PR, y varias técnicas que reducen el error
No es Low-speed</v>
      </c>
      <c r="J9" s="8" t="str">
        <f>_xlfn.XLOOKUP(Tabla_gap67[[#This Row],[Key]],Primer_filtro[Key],Primer_filtro[Rol],"")</f>
        <v>Hartas gráficas
ecuaciones y PLL
reduce harmónicos de otras perturbaciones</v>
      </c>
    </row>
    <row r="10" spans="1:10" ht="90" x14ac:dyDescent="0.25">
      <c r="A10" s="8" t="str" cm="1">
        <f t="array" ref="A10">IFERROR(INDEX(_xlfn._xlws.FILTER(Primer_filtro[Key],UPPER(Primer_filtro[Aporta a la estructura de mi tesis?])="SI"),ROW()-ROW(Tabla_gap67[#Headers])),"")</f>
        <v>QYWR7S5G</v>
      </c>
      <c r="B10" s="8" t="str">
        <f>_xlfn.XLOOKUP(Tabla_gap67[[#This Row],[Key]],Primer_filtro[Key],Primer_filtro[Tipo de motor],"")</f>
        <v>PMSM</v>
      </c>
      <c r="C10" s="8" t="str">
        <f>_xlfn.XLOOKUP(Tabla_gap67[[#This Row],[Key]],Primer_filtro[Key],Primer_filtro[¿Sensorless?],"")</f>
        <v>No</v>
      </c>
      <c r="D10" s="8" t="str">
        <f>_xlfn.XLOOKUP(Tabla_gap67[[#This Row],[Key]],Primer_filtro[Key],Primer_filtro[Low-speed],"")</f>
        <v>Si</v>
      </c>
      <c r="E10" s="8" t="str">
        <f>_xlfn.XLOOKUP(Tabla_gap67[[#This Row],[Key]],Primer_filtro[Key],Primer_filtro[¿Cogging?],"")</f>
        <v>Si</v>
      </c>
      <c r="F10" s="8" t="str">
        <f>_xlfn.XLOOKUP(Tabla_gap67[[#This Row],[Key]],Primer_filtro[Key],Primer_filtro[Compensación?],"")</f>
        <v>resonant controller</v>
      </c>
      <c r="G10" s="8">
        <f>_xlfn.XLOOKUP(Tabla_gap67[[#This Row],[Key]],Primer_filtro[Key],Primer_filtro[Método de estimación],"")</f>
        <v>0</v>
      </c>
      <c r="H10" s="8" t="str">
        <f>_xlfn.XLOOKUP(Tabla_gap67[[#This Row],[Key]],Primer_filtro[Key],Primer_filtro[¿Presenta carga?],"")</f>
        <v>Si, no modela</v>
      </c>
      <c r="I10" s="8" t="str">
        <f>_xlfn.XLOOKUP(Tabla_gap67[[#This Row],[Key]],Primer_filtro[Key],Primer_filtro[Utilidad para mi memoria],"")</f>
        <v>Se acerca bastante a mi tema</v>
      </c>
      <c r="J10" s="8" t="str">
        <f>_xlfn.XLOOKUP(Tabla_gap67[[#This Row],[Key]],Primer_filtro[Key],Primer_filtro[Rol],"")</f>
        <v>tiene bastantes ecuaciones que me servirian
tiene bastantes gráficas comparativas</v>
      </c>
    </row>
    <row r="11" spans="1:10" ht="45" x14ac:dyDescent="0.25">
      <c r="A11" s="8" t="str" cm="1">
        <f t="array" ref="A11">IFERROR(INDEX(_xlfn._xlws.FILTER(Primer_filtro[Key],UPPER(Primer_filtro[Aporta a la estructura de mi tesis?])="SI"),ROW()-ROW(Tabla_gap67[#Headers])),"")</f>
        <v>TJ53AIRB</v>
      </c>
      <c r="B11" s="8" t="str">
        <f>_xlfn.XLOOKUP(Tabla_gap67[[#This Row],[Key]],Primer_filtro[Key],Primer_filtro[Tipo de motor],"")</f>
        <v>PMSM</v>
      </c>
      <c r="C11" s="8" t="str">
        <f>_xlfn.XLOOKUP(Tabla_gap67[[#This Row],[Key]],Primer_filtro[Key],Primer_filtro[¿Sensorless?],"")</f>
        <v>Si</v>
      </c>
      <c r="D11" s="8">
        <f>_xlfn.XLOOKUP(Tabla_gap67[[#This Row],[Key]],Primer_filtro[Key],Primer_filtro[Low-speed],"")</f>
        <v>0</v>
      </c>
      <c r="E11" s="8" t="str">
        <f>_xlfn.XLOOKUP(Tabla_gap67[[#This Row],[Key]],Primer_filtro[Key],Primer_filtro[¿Cogging?],"")</f>
        <v>No</v>
      </c>
      <c r="F11" s="8" t="str">
        <f>_xlfn.XLOOKUP(Tabla_gap67[[#This Row],[Key]],Primer_filtro[Key],Primer_filtro[Compensación?],"")</f>
        <v>No</v>
      </c>
      <c r="G11" s="8" t="str">
        <f>_xlfn.XLOOKUP(Tabla_gap67[[#This Row],[Key]],Primer_filtro[Key],Primer_filtro[Método de estimación],"")</f>
        <v xml:space="preserve"> EKF +HFI</v>
      </c>
      <c r="H11" s="8" t="str">
        <f>_xlfn.XLOOKUP(Tabla_gap67[[#This Row],[Key]],Primer_filtro[Key],Primer_filtro[¿Presenta carga?],"")</f>
        <v>Si</v>
      </c>
      <c r="I11" s="8" t="str">
        <f>_xlfn.XLOOKUP(Tabla_gap67[[#This Row],[Key]],Primer_filtro[Key],Primer_filtro[Utilidad para mi memoria],"")</f>
        <v>Buena estrategia de HFI</v>
      </c>
      <c r="J11" s="8" t="str">
        <f>_xlfn.XLOOKUP(Tabla_gap67[[#This Row],[Key]],Primer_filtro[Key],Primer_filtro[Rol],"")</f>
        <v>Estructura del HFI que utilizo</v>
      </c>
    </row>
    <row r="12" spans="1:10" ht="60" x14ac:dyDescent="0.25">
      <c r="A12" s="8" t="str" cm="1">
        <f t="array" ref="A12">IFERROR(INDEX(_xlfn._xlws.FILTER(Primer_filtro[Key],UPPER(Primer_filtro[Aporta a la estructura de mi tesis?])="SI"),ROW()-ROW(Tabla_gap67[#Headers])),"")</f>
        <v>7UX7ZU2M</v>
      </c>
      <c r="B12" s="8" t="str">
        <f>_xlfn.XLOOKUP(Tabla_gap67[[#This Row],[Key]],Primer_filtro[Key],Primer_filtro[Tipo de motor],"")</f>
        <v>Stepper</v>
      </c>
      <c r="C12" s="8">
        <f>_xlfn.XLOOKUP(Tabla_gap67[[#This Row],[Key]],Primer_filtro[Key],Primer_filtro[¿Sensorless?],"")</f>
        <v>0</v>
      </c>
      <c r="D12" s="8">
        <f>_xlfn.XLOOKUP(Tabla_gap67[[#This Row],[Key]],Primer_filtro[Key],Primer_filtro[Low-speed],"")</f>
        <v>0</v>
      </c>
      <c r="E12" s="8">
        <f>_xlfn.XLOOKUP(Tabla_gap67[[#This Row],[Key]],Primer_filtro[Key],Primer_filtro[¿Cogging?],"")</f>
        <v>0</v>
      </c>
      <c r="F12" s="8">
        <f>_xlfn.XLOOKUP(Tabla_gap67[[#This Row],[Key]],Primer_filtro[Key],Primer_filtro[Compensación?],"")</f>
        <v>0</v>
      </c>
      <c r="G12" s="8">
        <f>_xlfn.XLOOKUP(Tabla_gap67[[#This Row],[Key]],Primer_filtro[Key],Primer_filtro[Método de estimación],"")</f>
        <v>0</v>
      </c>
      <c r="H12" s="8">
        <f>_xlfn.XLOOKUP(Tabla_gap67[[#This Row],[Key]],Primer_filtro[Key],Primer_filtro[¿Presenta carga?],"")</f>
        <v>0</v>
      </c>
      <c r="I12" s="8" t="str">
        <f>_xlfn.XLOOKUP(Tabla_gap67[[#This Row],[Key]],Primer_filtro[Key],Primer_filtro[Utilidad para mi memoria],"")</f>
        <v>Ecuaciones y gráficas</v>
      </c>
      <c r="J12" s="8" t="str">
        <f>_xlfn.XLOOKUP(Tabla_gap67[[#This Row],[Key]],Primer_filtro[Key],Primer_filtro[Rol],"")</f>
        <v>Aporta con gráficas de como se comporta un motor</v>
      </c>
    </row>
    <row r="13" spans="1:10" ht="90" x14ac:dyDescent="0.25">
      <c r="A13" s="8" t="str" cm="1">
        <f t="array" ref="A13">IFERROR(INDEX(_xlfn._xlws.FILTER(Primer_filtro[Key],UPPER(Primer_filtro[Aporta a la estructura de mi tesis?])="SI"),ROW()-ROW(Tabla_gap67[#Headers])),"")</f>
        <v>PYTMLDP8</v>
      </c>
      <c r="B13" s="8" t="str">
        <f>_xlfn.XLOOKUP(Tabla_gap67[[#This Row],[Key]],Primer_filtro[Key],Primer_filtro[Tipo de motor],"")</f>
        <v>PMSM</v>
      </c>
      <c r="C13" s="8" t="str">
        <f>_xlfn.XLOOKUP(Tabla_gap67[[#This Row],[Key]],Primer_filtro[Key],Primer_filtro[¿Sensorless?],"")</f>
        <v>Si</v>
      </c>
      <c r="D13" s="8" t="str">
        <f>_xlfn.XLOOKUP(Tabla_gap67[[#This Row],[Key]],Primer_filtro[Key],Primer_filtro[Low-speed],"")</f>
        <v>Si</v>
      </c>
      <c r="E13" s="8" t="str">
        <f>_xlfn.XLOOKUP(Tabla_gap67[[#This Row],[Key]],Primer_filtro[Key],Primer_filtro[¿Cogging?],"")</f>
        <v>Si</v>
      </c>
      <c r="F13" s="8" t="str">
        <f>_xlfn.XLOOKUP(Tabla_gap67[[#This Row],[Key]],Primer_filtro[Key],Primer_filtro[Compensación?],"")</f>
        <v>No</v>
      </c>
      <c r="G13" s="8" t="str">
        <f>_xlfn.XLOOKUP(Tabla_gap67[[#This Row],[Key]],Primer_filtro[Key],Primer_filtro[Método de estimación],"")</f>
        <v>EKF+HFI+PLL</v>
      </c>
      <c r="H13" s="8" t="str">
        <f>_xlfn.XLOOKUP(Tabla_gap67[[#This Row],[Key]],Primer_filtro[Key],Primer_filtro[¿Presenta carga?],"")</f>
        <v>Si</v>
      </c>
      <c r="I13" s="8" t="str">
        <f>_xlfn.XLOOKUP(Tabla_gap67[[#This Row],[Key]],Primer_filtro[Key],Primer_filtro[Utilidad para mi memoria],"")</f>
        <v>Pll</v>
      </c>
      <c r="J13" s="8" t="str">
        <f>_xlfn.XLOOKUP(Tabla_gap67[[#This Row],[Key]],Primer_filtro[Key],Primer_filtro[Rol],"")</f>
        <v>Se puede referenciar los distintos tipos de HFI
Análisis de sensibilidad</v>
      </c>
    </row>
    <row r="14" spans="1:10" x14ac:dyDescent="0.25">
      <c r="A14" s="8" cm="1">
        <f t="array" ref="A14">IFERROR(INDEX(_xlfn._xlws.FILTER(Primer_filtro[Key],UPPER(Primer_filtro[Aporta a la estructura de mi tesis?])="SI"),ROW()-ROW(Tabla_gap67[#Headers])),"")</f>
        <v>0</v>
      </c>
      <c r="B14" s="8" t="str">
        <f>_xlfn.XLOOKUP(Tabla_gap67[[#This Row],[Key]],Primer_filtro[Key],Primer_filtro[Tipo de motor],"")</f>
        <v/>
      </c>
      <c r="C14" s="8" t="str">
        <f>_xlfn.XLOOKUP(Tabla_gap67[[#This Row],[Key]],Primer_filtro[Key],Primer_filtro[¿Sensorless?],"")</f>
        <v/>
      </c>
      <c r="D14" s="8" t="str">
        <f>_xlfn.XLOOKUP(Tabla_gap67[[#This Row],[Key]],Primer_filtro[Key],Primer_filtro[Low-speed],"")</f>
        <v/>
      </c>
      <c r="E14" s="8" t="str">
        <f>_xlfn.XLOOKUP(Tabla_gap67[[#This Row],[Key]],Primer_filtro[Key],Primer_filtro[¿Cogging?],"")</f>
        <v/>
      </c>
      <c r="F14" s="8" t="str">
        <f>_xlfn.XLOOKUP(Tabla_gap67[[#This Row],[Key]],Primer_filtro[Key],Primer_filtro[Compensación?],"")</f>
        <v/>
      </c>
      <c r="G14" s="8" t="str">
        <f>_xlfn.XLOOKUP(Tabla_gap67[[#This Row],[Key]],Primer_filtro[Key],Primer_filtro[Método de estimación],"")</f>
        <v/>
      </c>
      <c r="H14" s="8" t="str">
        <f>_xlfn.XLOOKUP(Tabla_gap67[[#This Row],[Key]],Primer_filtro[Key],Primer_filtro[¿Presenta carga?],"")</f>
        <v/>
      </c>
      <c r="I14" s="8" t="str">
        <f>_xlfn.XLOOKUP(Tabla_gap67[[#This Row],[Key]],Primer_filtro[Key],Primer_filtro[Utilidad para mi memoria],"")</f>
        <v/>
      </c>
      <c r="J14" s="8" t="str">
        <f>_xlfn.XLOOKUP(Tabla_gap67[[#This Row],[Key]],Primer_filtro[Key],Primer_filtro[Rol],"")</f>
        <v/>
      </c>
    </row>
    <row r="15" spans="1:10" ht="75" x14ac:dyDescent="0.25">
      <c r="A15" s="8" t="str" cm="1">
        <f t="array" ref="A15">IFERROR(INDEX(_xlfn._xlws.FILTER(Primer_filtro[Key],UPPER(Primer_filtro[Aporta a la estructura de mi tesis?])="SI"),ROW()-ROW(Tabla_gap67[#Headers])),"")</f>
        <v>INHVHLU5</v>
      </c>
      <c r="B15" s="8" t="str">
        <f>_xlfn.XLOOKUP(Tabla_gap67[[#This Row],[Key]],Primer_filtro[Key],Primer_filtro[Tipo de motor],"")</f>
        <v>PMSM</v>
      </c>
      <c r="C15" s="8" t="str">
        <f>_xlfn.XLOOKUP(Tabla_gap67[[#This Row],[Key]],Primer_filtro[Key],Primer_filtro[¿Sensorless?],"")</f>
        <v>si</v>
      </c>
      <c r="D15" s="8">
        <f>_xlfn.XLOOKUP(Tabla_gap67[[#This Row],[Key]],Primer_filtro[Key],Primer_filtro[Low-speed],"")</f>
        <v>0</v>
      </c>
      <c r="E15" s="8">
        <f>_xlfn.XLOOKUP(Tabla_gap67[[#This Row],[Key]],Primer_filtro[Key],Primer_filtro[¿Cogging?],"")</f>
        <v>0</v>
      </c>
      <c r="F15" s="8">
        <f>_xlfn.XLOOKUP(Tabla_gap67[[#This Row],[Key]],Primer_filtro[Key],Primer_filtro[Compensación?],"")</f>
        <v>0</v>
      </c>
      <c r="G15" s="8" t="str">
        <f>_xlfn.XLOOKUP(Tabla_gap67[[#This Row],[Key]],Primer_filtro[Key],Primer_filtro[Método de estimación],"")</f>
        <v>(MPC) + (EKF VS UKF)</v>
      </c>
      <c r="H15" s="8">
        <f>_xlfn.XLOOKUP(Tabla_gap67[[#This Row],[Key]],Primer_filtro[Key],Primer_filtro[¿Presenta carga?],"")</f>
        <v>0</v>
      </c>
      <c r="I15" s="8" t="str">
        <f>_xlfn.XLOOKUP(Tabla_gap67[[#This Row],[Key]],Primer_filtro[Key],Primer_filtro[Utilidad para mi memoria],"")</f>
        <v>Solo comparación entre observadores</v>
      </c>
      <c r="J15" s="8" t="str">
        <f>_xlfn.XLOOKUP(Tabla_gap67[[#This Row],[Key]],Primer_filtro[Key],Primer_filtro[Rol],"")</f>
        <v>Compara EKF vs UFK usando MPC</v>
      </c>
    </row>
    <row r="16" spans="1:10" ht="90" x14ac:dyDescent="0.25">
      <c r="A16" s="8" t="str" cm="1">
        <f t="array" ref="A16">IFERROR(INDEX(_xlfn._xlws.FILTER(Primer_filtro[Key],UPPER(Primer_filtro[Aporta a la estructura de mi tesis?])="SI"),ROW()-ROW(Tabla_gap67[#Headers])),"")</f>
        <v>XGFE4Q25</v>
      </c>
      <c r="B16" s="8" t="str">
        <f>_xlfn.XLOOKUP(Tabla_gap67[[#This Row],[Key]],Primer_filtro[Key],Primer_filtro[Tipo de motor],"")</f>
        <v>PMSM</v>
      </c>
      <c r="C16" s="8" t="str">
        <f>_xlfn.XLOOKUP(Tabla_gap67[[#This Row],[Key]],Primer_filtro[Key],Primer_filtro[¿Sensorless?],"")</f>
        <v>Si</v>
      </c>
      <c r="D16" s="8">
        <f>_xlfn.XLOOKUP(Tabla_gap67[[#This Row],[Key]],Primer_filtro[Key],Primer_filtro[Low-speed],"")</f>
        <v>0</v>
      </c>
      <c r="E16" s="8" t="str">
        <f>_xlfn.XLOOKUP(Tabla_gap67[[#This Row],[Key]],Primer_filtro[Key],Primer_filtro[¿Cogging?],"")</f>
        <v>No</v>
      </c>
      <c r="F16" s="8">
        <f>_xlfn.XLOOKUP(Tabla_gap67[[#This Row],[Key]],Primer_filtro[Key],Primer_filtro[Compensación?],"")</f>
        <v>0</v>
      </c>
      <c r="G16" s="8" t="str">
        <f>_xlfn.XLOOKUP(Tabla_gap67[[#This Row],[Key]],Primer_filtro[Key],Primer_filtro[Método de estimación],"")</f>
        <v>Flux observer</v>
      </c>
      <c r="H16" s="8" t="str">
        <f>_xlfn.XLOOKUP(Tabla_gap67[[#This Row],[Key]],Primer_filtro[Key],Primer_filtro[¿Presenta carga?],"")</f>
        <v>Si, no modela</v>
      </c>
      <c r="I16" s="8" t="str">
        <f>_xlfn.XLOOKUP(Tabla_gap67[[#This Row],[Key]],Primer_filtro[Key],Primer_filtro[Utilidad para mi memoria],"")</f>
        <v>Otro metodo?
Demostraciones matemáticas</v>
      </c>
      <c r="J16" s="8" t="str">
        <f>_xlfn.XLOOKUP(Tabla_gap67[[#This Row],[Key]],Primer_filtro[Key],Primer_filtro[Rol],"")</f>
        <v>más analisis de observabilidad (Jacobiano)</v>
      </c>
    </row>
    <row r="17" spans="1:10" ht="75" x14ac:dyDescent="0.25">
      <c r="A17" s="8" t="str" cm="1">
        <f t="array" ref="A17">IFERROR(INDEX(_xlfn._xlws.FILTER(Primer_filtro[Key],UPPER(Primer_filtro[Aporta a la estructura de mi tesis?])="SI"),ROW()-ROW(Tabla_gap67[#Headers])),"")</f>
        <v>ZAIMTBV2</v>
      </c>
      <c r="B17" s="8" t="str">
        <f>_xlfn.XLOOKUP(Tabla_gap67[[#This Row],[Key]],Primer_filtro[Key],Primer_filtro[Tipo de motor],"")</f>
        <v>PMSM</v>
      </c>
      <c r="C17" s="8" t="str">
        <f>_xlfn.XLOOKUP(Tabla_gap67[[#This Row],[Key]],Primer_filtro[Key],Primer_filtro[¿Sensorless?],"")</f>
        <v>Si</v>
      </c>
      <c r="D17" s="8" t="str">
        <f>_xlfn.XLOOKUP(Tabla_gap67[[#This Row],[Key]],Primer_filtro[Key],Primer_filtro[Low-speed],"")</f>
        <v>Si</v>
      </c>
      <c r="E17" s="8" t="str">
        <f>_xlfn.XLOOKUP(Tabla_gap67[[#This Row],[Key]],Primer_filtro[Key],Primer_filtro[¿Cogging?],"")</f>
        <v>No</v>
      </c>
      <c r="F17" s="8">
        <f>_xlfn.XLOOKUP(Tabla_gap67[[#This Row],[Key]],Primer_filtro[Key],Primer_filtro[Compensación?],"")</f>
        <v>0</v>
      </c>
      <c r="G17" s="8" t="str">
        <f>_xlfn.XLOOKUP(Tabla_gap67[[#This Row],[Key]],Primer_filtro[Key],Primer_filtro[Método de estimación],"")</f>
        <v>HFI + observer</v>
      </c>
      <c r="H17" s="8" t="str">
        <f>_xlfn.XLOOKUP(Tabla_gap67[[#This Row],[Key]],Primer_filtro[Key],Primer_filtro[¿Presenta carga?],"")</f>
        <v>Si, no modela</v>
      </c>
      <c r="I17" s="8">
        <f>_xlfn.XLOOKUP(Tabla_gap67[[#This Row],[Key]],Primer_filtro[Key],Primer_filtro[Utilidad para mi memoria],"")</f>
        <v>0</v>
      </c>
      <c r="J17" s="8" t="str">
        <f>_xlfn.XLOOKUP(Tabla_gap67[[#This Row],[Key]],Primer_filtro[Key],Primer_filtro[Rol],"")</f>
        <v>Usa HFI
Estructura de distintos modos de sensorless control of PMSM</v>
      </c>
    </row>
    <row r="18" spans="1:10" ht="60" x14ac:dyDescent="0.25">
      <c r="A18" s="8" t="str" cm="1">
        <f t="array" ref="A18">IFERROR(INDEX(_xlfn._xlws.FILTER(Primer_filtro[Key],UPPER(Primer_filtro[Aporta a la estructura de mi tesis?])="SI"),ROW()-ROW(Tabla_gap67[#Headers])),"")</f>
        <v>6T8GNZUN</v>
      </c>
      <c r="B18" s="8" t="str">
        <f>_xlfn.XLOOKUP(Tabla_gap67[[#This Row],[Key]],Primer_filtro[Key],Primer_filtro[Tipo de motor],"")</f>
        <v>PMSM</v>
      </c>
      <c r="C18" s="8" t="str">
        <f>_xlfn.XLOOKUP(Tabla_gap67[[#This Row],[Key]],Primer_filtro[Key],Primer_filtro[¿Sensorless?],"")</f>
        <v>Si</v>
      </c>
      <c r="D18" s="8">
        <f>_xlfn.XLOOKUP(Tabla_gap67[[#This Row],[Key]],Primer_filtro[Key],Primer_filtro[Low-speed],"")</f>
        <v>0</v>
      </c>
      <c r="E18" s="8" t="str">
        <f>_xlfn.XLOOKUP(Tabla_gap67[[#This Row],[Key]],Primer_filtro[Key],Primer_filtro[¿Cogging?],"")</f>
        <v>Si</v>
      </c>
      <c r="F18" s="8" t="str">
        <f>_xlfn.XLOOKUP(Tabla_gap67[[#This Row],[Key]],Primer_filtro[Key],Primer_filtro[Compensación?],"")</f>
        <v>no</v>
      </c>
      <c r="G18" s="8" t="str">
        <f>_xlfn.XLOOKUP(Tabla_gap67[[#This Row],[Key]],Primer_filtro[Key],Primer_filtro[Método de estimación],"")</f>
        <v>Hybrid position observer</v>
      </c>
      <c r="H18" s="8" t="str">
        <f>_xlfn.XLOOKUP(Tabla_gap67[[#This Row],[Key]],Primer_filtro[Key],Primer_filtro[¿Presenta carga?],"")</f>
        <v>no</v>
      </c>
      <c r="I18" s="8" t="str">
        <f>_xlfn.XLOOKUP(Tabla_gap67[[#This Row],[Key]],Primer_filtro[Key],Primer_filtro[Utilidad para mi memoria],"")</f>
        <v>gráficas</v>
      </c>
      <c r="J18" s="8" t="str">
        <f>_xlfn.XLOOKUP(Tabla_gap67[[#This Row],[Key]],Primer_filtro[Key],Primer_filtro[Rol],"")</f>
        <v>Estructura referencial de gráfica de corrientes</v>
      </c>
    </row>
    <row r="19" spans="1:10" ht="90" x14ac:dyDescent="0.25">
      <c r="A19" s="8" t="str" cm="1">
        <f t="array" ref="A19">IFERROR(INDEX(_xlfn._xlws.FILTER(Primer_filtro[Key],UPPER(Primer_filtro[Aporta a la estructura de mi tesis?])="SI"),ROW()-ROW(Tabla_gap67[#Headers])),"")</f>
        <v>8AMB3EJF</v>
      </c>
      <c r="B19" s="8" t="str">
        <f>_xlfn.XLOOKUP(Tabla_gap67[[#This Row],[Key]],Primer_filtro[Key],Primer_filtro[Tipo de motor],"")</f>
        <v>PMSM</v>
      </c>
      <c r="C19" s="8" t="str">
        <f>_xlfn.XLOOKUP(Tabla_gap67[[#This Row],[Key]],Primer_filtro[Key],Primer_filtro[¿Sensorless?],"")</f>
        <v>No</v>
      </c>
      <c r="D19" s="8">
        <f>_xlfn.XLOOKUP(Tabla_gap67[[#This Row],[Key]],Primer_filtro[Key],Primer_filtro[Low-speed],"")</f>
        <v>0</v>
      </c>
      <c r="E19" s="8" t="str">
        <f>_xlfn.XLOOKUP(Tabla_gap67[[#This Row],[Key]],Primer_filtro[Key],Primer_filtro[¿Cogging?],"")</f>
        <v>no</v>
      </c>
      <c r="F19" s="8">
        <f>_xlfn.XLOOKUP(Tabla_gap67[[#This Row],[Key]],Primer_filtro[Key],Primer_filtro[Compensación?],"")</f>
        <v>0</v>
      </c>
      <c r="G19" s="8" t="str">
        <f>_xlfn.XLOOKUP(Tabla_gap67[[#This Row],[Key]],Primer_filtro[Key],Primer_filtro[Método de estimación],"")</f>
        <v>EKF,UFK</v>
      </c>
      <c r="H19" s="8">
        <f>_xlfn.XLOOKUP(Tabla_gap67[[#This Row],[Key]],Primer_filtro[Key],Primer_filtro[¿Presenta carga?],"")</f>
        <v>0</v>
      </c>
      <c r="I19" s="8" t="str">
        <f>_xlfn.XLOOKUP(Tabla_gap67[[#This Row],[Key]],Primer_filtro[Key],Primer_filtro[Utilidad para mi memoria],"")</f>
        <v>Preguntas, objetivos</v>
      </c>
      <c r="J19" s="8" t="str">
        <f>_xlfn.XLOOKUP(Tabla_gap67[[#This Row],[Key]],Primer_filtro[Key],Primer_filtro[Rol],"")</f>
        <v>Realiza algunas buenas preguntas y objetivos respecto a la tesis</v>
      </c>
    </row>
    <row r="20" spans="1:10" ht="75" x14ac:dyDescent="0.25">
      <c r="A20" s="8" t="str" cm="1">
        <f t="array" ref="A20">IFERROR(INDEX(_xlfn._xlws.FILTER(Primer_filtro[Key],UPPER(Primer_filtro[Aporta a la estructura de mi tesis?])="SI"),ROW()-ROW(Tabla_gap67[#Headers])),"")</f>
        <v>CQRK3FPB</v>
      </c>
      <c r="B20" s="8" t="str">
        <f>_xlfn.XLOOKUP(Tabla_gap67[[#This Row],[Key]],Primer_filtro[Key],Primer_filtro[Tipo de motor],"")</f>
        <v>PMSM</v>
      </c>
      <c r="C20" s="8" t="str">
        <f>_xlfn.XLOOKUP(Tabla_gap67[[#This Row],[Key]],Primer_filtro[Key],Primer_filtro[¿Sensorless?],"")</f>
        <v>Si</v>
      </c>
      <c r="D20" s="8" t="str">
        <f>_xlfn.XLOOKUP(Tabla_gap67[[#This Row],[Key]],Primer_filtro[Key],Primer_filtro[Low-speed],"")</f>
        <v>Si</v>
      </c>
      <c r="E20" s="8" t="str">
        <f>_xlfn.XLOOKUP(Tabla_gap67[[#This Row],[Key]],Primer_filtro[Key],Primer_filtro[¿Cogging?],"")</f>
        <v>Si</v>
      </c>
      <c r="F20" s="8" t="str">
        <f>_xlfn.XLOOKUP(Tabla_gap67[[#This Row],[Key]],Primer_filtro[Key],Primer_filtro[Compensación?],"")</f>
        <v>Mapa</v>
      </c>
      <c r="G20" s="8" t="str">
        <f>_xlfn.XLOOKUP(Tabla_gap67[[#This Row],[Key]],Primer_filtro[Key],Primer_filtro[Método de estimación],"")</f>
        <v xml:space="preserve">HFI </v>
      </c>
      <c r="H20" s="8" t="str">
        <f>_xlfn.XLOOKUP(Tabla_gap67[[#This Row],[Key]],Primer_filtro[Key],Primer_filtro[¿Presenta carga?],"")</f>
        <v>No modela</v>
      </c>
      <c r="I20" s="8">
        <f>_xlfn.XLOOKUP(Tabla_gap67[[#This Row],[Key]],Primer_filtro[Key],Primer_filtro[Utilidad para mi memoria],"")</f>
        <v>0</v>
      </c>
      <c r="J20" s="8" t="str">
        <f>_xlfn.XLOOKUP(Tabla_gap67[[#This Row],[Key]],Primer_filtro[Key],Primer_filtro[Rol],"")</f>
        <v>Presenta algunas definiciones de HFI
usa cogging pero mapeado</v>
      </c>
    </row>
    <row r="21" spans="1:10" ht="30" x14ac:dyDescent="0.25">
      <c r="A21" s="8" t="str" cm="1">
        <f t="array" ref="A21">IFERROR(INDEX(_xlfn._xlws.FILTER(Primer_filtro[Key],UPPER(Primer_filtro[Aporta a la estructura de mi tesis?])="SI"),ROW()-ROW(Tabla_gap67[#Headers])),"")</f>
        <v>J2MBRJGI</v>
      </c>
      <c r="B21" s="8">
        <f>_xlfn.XLOOKUP(Tabla_gap67[[#This Row],[Key]],Primer_filtro[Key],Primer_filtro[Tipo de motor],"")</f>
        <v>0</v>
      </c>
      <c r="C21" s="8">
        <f>_xlfn.XLOOKUP(Tabla_gap67[[#This Row],[Key]],Primer_filtro[Key],Primer_filtro[¿Sensorless?],"")</f>
        <v>0</v>
      </c>
      <c r="D21" s="8">
        <f>_xlfn.XLOOKUP(Tabla_gap67[[#This Row],[Key]],Primer_filtro[Key],Primer_filtro[Low-speed],"")</f>
        <v>0</v>
      </c>
      <c r="E21" s="8">
        <f>_xlfn.XLOOKUP(Tabla_gap67[[#This Row],[Key]],Primer_filtro[Key],Primer_filtro[¿Cogging?],"")</f>
        <v>0</v>
      </c>
      <c r="F21" s="8">
        <f>_xlfn.XLOOKUP(Tabla_gap67[[#This Row],[Key]],Primer_filtro[Key],Primer_filtro[Compensación?],"")</f>
        <v>0</v>
      </c>
      <c r="G21" s="8">
        <f>_xlfn.XLOOKUP(Tabla_gap67[[#This Row],[Key]],Primer_filtro[Key],Primer_filtro[Método de estimación],"")</f>
        <v>0</v>
      </c>
      <c r="H21" s="8">
        <f>_xlfn.XLOOKUP(Tabla_gap67[[#This Row],[Key]],Primer_filtro[Key],Primer_filtro[¿Presenta carga?],"")</f>
        <v>0</v>
      </c>
      <c r="I21" s="8">
        <f>_xlfn.XLOOKUP(Tabla_gap67[[#This Row],[Key]],Primer_filtro[Key],Primer_filtro[Utilidad para mi memoria],"")</f>
        <v>0</v>
      </c>
      <c r="J21" s="8" t="str">
        <f>_xlfn.XLOOKUP(Tabla_gap67[[#This Row],[Key]],Primer_filtro[Key],Primer_filtro[Rol],"")</f>
        <v>Habla sobre el cogging</v>
      </c>
    </row>
    <row r="22" spans="1:10" x14ac:dyDescent="0.25">
      <c r="A22" s="8" t="str" cm="1">
        <f t="array" ref="A22">IFERROR(INDEX(_xlfn._xlws.FILTER(Primer_filtro[Key],UPPER(Primer_filtro[Aporta a la estructura de mi tesis?])="SI"),ROW()-ROW(Tabla_gap67[#Headers])),"")</f>
        <v/>
      </c>
      <c r="B22" s="8" t="str">
        <f>_xlfn.XLOOKUP(Tabla_gap67[[#This Row],[Key]],Primer_filtro[Key],Primer_filtro[Tipo de motor],"")</f>
        <v/>
      </c>
      <c r="C22" s="8" t="str">
        <f>_xlfn.XLOOKUP(Tabla_gap67[[#This Row],[Key]],Primer_filtro[Key],Primer_filtro[¿Sensorless?],"")</f>
        <v/>
      </c>
      <c r="D22" s="8" t="str">
        <f>_xlfn.XLOOKUP(Tabla_gap67[[#This Row],[Key]],Primer_filtro[Key],Primer_filtro[Low-speed],"")</f>
        <v/>
      </c>
      <c r="E22" s="8" t="str">
        <f>_xlfn.XLOOKUP(Tabla_gap67[[#This Row],[Key]],Primer_filtro[Key],Primer_filtro[¿Cogging?],"")</f>
        <v/>
      </c>
      <c r="F22" s="8" t="str">
        <f>_xlfn.XLOOKUP(Tabla_gap67[[#This Row],[Key]],Primer_filtro[Key],Primer_filtro[Compensación?],"")</f>
        <v/>
      </c>
      <c r="G22" s="8" t="str">
        <f>_xlfn.XLOOKUP(Tabla_gap67[[#This Row],[Key]],Primer_filtro[Key],Primer_filtro[Método de estimación],"")</f>
        <v/>
      </c>
      <c r="H22" s="8" t="str">
        <f>_xlfn.XLOOKUP(Tabla_gap67[[#This Row],[Key]],Primer_filtro[Key],Primer_filtro[¿Presenta carga?],"")</f>
        <v/>
      </c>
      <c r="I22" s="8" t="str">
        <f>_xlfn.XLOOKUP(Tabla_gap67[[#This Row],[Key]],Primer_filtro[Key],Primer_filtro[Utilidad para mi memoria],"")</f>
        <v/>
      </c>
      <c r="J22" s="8" t="str">
        <f>_xlfn.XLOOKUP(Tabla_gap67[[#This Row],[Key]],Primer_filtro[Key],Primer_filtro[Rol],"")</f>
        <v/>
      </c>
    </row>
    <row r="23" spans="1:10" x14ac:dyDescent="0.25">
      <c r="A23" s="8" t="str" cm="1">
        <f t="array" ref="A23">IFERROR(INDEX(_xlfn._xlws.FILTER(Primer_filtro[Key],UPPER(Primer_filtro[Aporta a la estructura de mi tesis?])="SI"),ROW()-ROW(Tabla_gap67[#Headers])),"")</f>
        <v/>
      </c>
      <c r="B23" s="8" t="str">
        <f>_xlfn.XLOOKUP(Tabla_gap67[[#This Row],[Key]],Primer_filtro[Key],Primer_filtro[Tipo de motor],"")</f>
        <v/>
      </c>
      <c r="C23" s="8" t="str">
        <f>_xlfn.XLOOKUP(Tabla_gap67[[#This Row],[Key]],Primer_filtro[Key],Primer_filtro[¿Sensorless?],"")</f>
        <v/>
      </c>
      <c r="D23" s="8" t="str">
        <f>_xlfn.XLOOKUP(Tabla_gap67[[#This Row],[Key]],Primer_filtro[Key],Primer_filtro[Low-speed],"")</f>
        <v/>
      </c>
      <c r="E23" s="8" t="str">
        <f>_xlfn.XLOOKUP(Tabla_gap67[[#This Row],[Key]],Primer_filtro[Key],Primer_filtro[¿Cogging?],"")</f>
        <v/>
      </c>
      <c r="F23" s="8" t="str">
        <f>_xlfn.XLOOKUP(Tabla_gap67[[#This Row],[Key]],Primer_filtro[Key],Primer_filtro[Compensación?],"")</f>
        <v/>
      </c>
      <c r="G23" s="8" t="str">
        <f>_xlfn.XLOOKUP(Tabla_gap67[[#This Row],[Key]],Primer_filtro[Key],Primer_filtro[Método de estimación],"")</f>
        <v/>
      </c>
      <c r="H23" s="8" t="str">
        <f>_xlfn.XLOOKUP(Tabla_gap67[[#This Row],[Key]],Primer_filtro[Key],Primer_filtro[¿Presenta carga?],"")</f>
        <v/>
      </c>
      <c r="I23" s="8" t="str">
        <f>_xlfn.XLOOKUP(Tabla_gap67[[#This Row],[Key]],Primer_filtro[Key],Primer_filtro[Utilidad para mi memoria],"")</f>
        <v/>
      </c>
      <c r="J23" s="8" t="str">
        <f>_xlfn.XLOOKUP(Tabla_gap67[[#This Row],[Key]],Primer_filtro[Key],Primer_filtro[Rol],"")</f>
        <v/>
      </c>
    </row>
    <row r="24" spans="1:10" x14ac:dyDescent="0.25">
      <c r="A24" s="8" t="str" cm="1">
        <f t="array" ref="A24">IFERROR(INDEX(_xlfn._xlws.FILTER(Primer_filtro[Key],UPPER(Primer_filtro[Aporta a la estructura de mi tesis?])="SI"),ROW()-ROW(Tabla_gap67[#Headers])),"")</f>
        <v/>
      </c>
      <c r="B24" s="8" t="str">
        <f>_xlfn.XLOOKUP(Tabla_gap67[[#This Row],[Key]],Primer_filtro[Key],Primer_filtro[Tipo de motor],"")</f>
        <v/>
      </c>
      <c r="C24" s="8" t="str">
        <f>_xlfn.XLOOKUP(Tabla_gap67[[#This Row],[Key]],Primer_filtro[Key],Primer_filtro[¿Sensorless?],"")</f>
        <v/>
      </c>
      <c r="D24" s="8" t="str">
        <f>_xlfn.XLOOKUP(Tabla_gap67[[#This Row],[Key]],Primer_filtro[Key],Primer_filtro[Low-speed],"")</f>
        <v/>
      </c>
      <c r="E24" s="8" t="str">
        <f>_xlfn.XLOOKUP(Tabla_gap67[[#This Row],[Key]],Primer_filtro[Key],Primer_filtro[¿Cogging?],"")</f>
        <v/>
      </c>
      <c r="F24" s="8" t="str">
        <f>_xlfn.XLOOKUP(Tabla_gap67[[#This Row],[Key]],Primer_filtro[Key],Primer_filtro[Compensación?],"")</f>
        <v/>
      </c>
      <c r="G24" s="8" t="str">
        <f>_xlfn.XLOOKUP(Tabla_gap67[[#This Row],[Key]],Primer_filtro[Key],Primer_filtro[Método de estimación],"")</f>
        <v/>
      </c>
      <c r="H24" s="8" t="str">
        <f>_xlfn.XLOOKUP(Tabla_gap67[[#This Row],[Key]],Primer_filtro[Key],Primer_filtro[¿Presenta carga?],"")</f>
        <v/>
      </c>
      <c r="I24" s="8" t="str">
        <f>_xlfn.XLOOKUP(Tabla_gap67[[#This Row],[Key]],Primer_filtro[Key],Primer_filtro[Utilidad para mi memoria],"")</f>
        <v/>
      </c>
      <c r="J24" s="8" t="str">
        <f>_xlfn.XLOOKUP(Tabla_gap67[[#This Row],[Key]],Primer_filtro[Key],Primer_filtro[Rol],"")</f>
        <v/>
      </c>
    </row>
    <row r="25" spans="1:10" x14ac:dyDescent="0.25">
      <c r="A25" s="8" t="str" cm="1">
        <f t="array" ref="A25">IFERROR(INDEX(_xlfn._xlws.FILTER(Primer_filtro[Key],UPPER(Primer_filtro[Aporta a la estructura de mi tesis?])="SI"),ROW()-ROW(Tabla_gap67[#Headers])),"")</f>
        <v/>
      </c>
      <c r="B25" s="8" t="str">
        <f>_xlfn.XLOOKUP(Tabla_gap67[[#This Row],[Key]],Primer_filtro[Key],Primer_filtro[Tipo de motor],"")</f>
        <v/>
      </c>
      <c r="C25" s="8" t="str">
        <f>_xlfn.XLOOKUP(Tabla_gap67[[#This Row],[Key]],Primer_filtro[Key],Primer_filtro[¿Sensorless?],"")</f>
        <v/>
      </c>
      <c r="D25" s="8" t="str">
        <f>_xlfn.XLOOKUP(Tabla_gap67[[#This Row],[Key]],Primer_filtro[Key],Primer_filtro[Low-speed],"")</f>
        <v/>
      </c>
      <c r="E25" s="8" t="str">
        <f>_xlfn.XLOOKUP(Tabla_gap67[[#This Row],[Key]],Primer_filtro[Key],Primer_filtro[¿Cogging?],"")</f>
        <v/>
      </c>
      <c r="F25" s="8" t="str">
        <f>_xlfn.XLOOKUP(Tabla_gap67[[#This Row],[Key]],Primer_filtro[Key],Primer_filtro[Compensación?],"")</f>
        <v/>
      </c>
      <c r="G25" s="8" t="str">
        <f>_xlfn.XLOOKUP(Tabla_gap67[[#This Row],[Key]],Primer_filtro[Key],Primer_filtro[Método de estimación],"")</f>
        <v/>
      </c>
      <c r="H25" s="8" t="str">
        <f>_xlfn.XLOOKUP(Tabla_gap67[[#This Row],[Key]],Primer_filtro[Key],Primer_filtro[¿Presenta carga?],"")</f>
        <v/>
      </c>
      <c r="I25" s="8" t="str">
        <f>_xlfn.XLOOKUP(Tabla_gap67[[#This Row],[Key]],Primer_filtro[Key],Primer_filtro[Utilidad para mi memoria],"")</f>
        <v/>
      </c>
      <c r="J25" s="8" t="str">
        <f>_xlfn.XLOOKUP(Tabla_gap67[[#This Row],[Key]],Primer_filtro[Key],Primer_filtro[Rol],"")</f>
        <v/>
      </c>
    </row>
    <row r="26" spans="1:10" x14ac:dyDescent="0.25">
      <c r="A26" s="8" t="str" cm="1">
        <f t="array" ref="A26">IFERROR(INDEX(_xlfn._xlws.FILTER(Primer_filtro[Key],UPPER(Primer_filtro[Aporta a la estructura de mi tesis?])="SI"),ROW()-ROW(Tabla_gap67[#Headers])),"")</f>
        <v/>
      </c>
      <c r="B26" s="8" t="str">
        <f>_xlfn.XLOOKUP(Tabla_gap67[[#This Row],[Key]],Primer_filtro[Key],Primer_filtro[Tipo de motor],"")</f>
        <v/>
      </c>
      <c r="C26" s="8" t="str">
        <f>_xlfn.XLOOKUP(Tabla_gap67[[#This Row],[Key]],Primer_filtro[Key],Primer_filtro[¿Sensorless?],"")</f>
        <v/>
      </c>
      <c r="D26" s="8" t="str">
        <f>_xlfn.XLOOKUP(Tabla_gap67[[#This Row],[Key]],Primer_filtro[Key],Primer_filtro[Low-speed],"")</f>
        <v/>
      </c>
      <c r="E26" s="8" t="str">
        <f>_xlfn.XLOOKUP(Tabla_gap67[[#This Row],[Key]],Primer_filtro[Key],Primer_filtro[¿Cogging?],"")</f>
        <v/>
      </c>
      <c r="F26" s="8" t="str">
        <f>_xlfn.XLOOKUP(Tabla_gap67[[#This Row],[Key]],Primer_filtro[Key],Primer_filtro[Compensación?],"")</f>
        <v/>
      </c>
      <c r="G26" s="8" t="str">
        <f>_xlfn.XLOOKUP(Tabla_gap67[[#This Row],[Key]],Primer_filtro[Key],Primer_filtro[Método de estimación],"")</f>
        <v/>
      </c>
      <c r="H26" s="8" t="str">
        <f>_xlfn.XLOOKUP(Tabla_gap67[[#This Row],[Key]],Primer_filtro[Key],Primer_filtro[¿Presenta carga?],"")</f>
        <v/>
      </c>
      <c r="I26" s="8" t="str">
        <f>_xlfn.XLOOKUP(Tabla_gap67[[#This Row],[Key]],Primer_filtro[Key],Primer_filtro[Utilidad para mi memoria],"")</f>
        <v/>
      </c>
      <c r="J26" s="8" t="str">
        <f>_xlfn.XLOOKUP(Tabla_gap67[[#This Row],[Key]],Primer_filtro[Key],Primer_filtro[Rol],"")</f>
        <v/>
      </c>
    </row>
    <row r="27" spans="1:10" x14ac:dyDescent="0.25">
      <c r="A27" s="8" t="str" cm="1">
        <f t="array" ref="A27">IFERROR(INDEX(_xlfn._xlws.FILTER(Primer_filtro[Key],UPPER(Primer_filtro[Aporta a la estructura de mi tesis?])="SI"),ROW()-ROW(Tabla_gap67[#Headers])),"")</f>
        <v/>
      </c>
      <c r="B27" s="8" t="str">
        <f>_xlfn.XLOOKUP(Tabla_gap67[[#This Row],[Key]],Primer_filtro[Key],Primer_filtro[Tipo de motor],"")</f>
        <v/>
      </c>
      <c r="C27" s="8" t="str">
        <f>_xlfn.XLOOKUP(Tabla_gap67[[#This Row],[Key]],Primer_filtro[Key],Primer_filtro[¿Sensorless?],"")</f>
        <v/>
      </c>
      <c r="D27" s="8" t="str">
        <f>_xlfn.XLOOKUP(Tabla_gap67[[#This Row],[Key]],Primer_filtro[Key],Primer_filtro[Low-speed],"")</f>
        <v/>
      </c>
      <c r="E27" s="8" t="str">
        <f>_xlfn.XLOOKUP(Tabla_gap67[[#This Row],[Key]],Primer_filtro[Key],Primer_filtro[¿Cogging?],"")</f>
        <v/>
      </c>
      <c r="F27" s="8" t="str">
        <f>_xlfn.XLOOKUP(Tabla_gap67[[#This Row],[Key]],Primer_filtro[Key],Primer_filtro[Compensación?],"")</f>
        <v/>
      </c>
      <c r="G27" s="8" t="str">
        <f>_xlfn.XLOOKUP(Tabla_gap67[[#This Row],[Key]],Primer_filtro[Key],Primer_filtro[Método de estimación],"")</f>
        <v/>
      </c>
      <c r="H27" s="8" t="str">
        <f>_xlfn.XLOOKUP(Tabla_gap67[[#This Row],[Key]],Primer_filtro[Key],Primer_filtro[¿Presenta carga?],"")</f>
        <v/>
      </c>
      <c r="I27" s="8" t="str">
        <f>_xlfn.XLOOKUP(Tabla_gap67[[#This Row],[Key]],Primer_filtro[Key],Primer_filtro[Utilidad para mi memoria],"")</f>
        <v/>
      </c>
      <c r="J27" s="8" t="str">
        <f>_xlfn.XLOOKUP(Tabla_gap67[[#This Row],[Key]],Primer_filtro[Key],Primer_filtro[Rol],"")</f>
        <v/>
      </c>
    </row>
    <row r="28" spans="1:10" x14ac:dyDescent="0.25">
      <c r="A28" s="8" t="str" cm="1">
        <f t="array" ref="A28">IFERROR(INDEX(_xlfn._xlws.FILTER(Primer_filtro[Key],UPPER(Primer_filtro[Aporta a la estructura de mi tesis?])="SI"),ROW()-ROW(Tabla_gap67[#Headers])),"")</f>
        <v/>
      </c>
      <c r="B28" s="8" t="str">
        <f>_xlfn.XLOOKUP(Tabla_gap67[[#This Row],[Key]],Primer_filtro[Key],Primer_filtro[Tipo de motor],"")</f>
        <v/>
      </c>
      <c r="C28" s="8" t="str">
        <f>_xlfn.XLOOKUP(Tabla_gap67[[#This Row],[Key]],Primer_filtro[Key],Primer_filtro[¿Sensorless?],"")</f>
        <v/>
      </c>
      <c r="D28" s="8" t="str">
        <f>_xlfn.XLOOKUP(Tabla_gap67[[#This Row],[Key]],Primer_filtro[Key],Primer_filtro[Low-speed],"")</f>
        <v/>
      </c>
      <c r="E28" s="8" t="str">
        <f>_xlfn.XLOOKUP(Tabla_gap67[[#This Row],[Key]],Primer_filtro[Key],Primer_filtro[¿Cogging?],"")</f>
        <v/>
      </c>
      <c r="F28" s="8" t="str">
        <f>_xlfn.XLOOKUP(Tabla_gap67[[#This Row],[Key]],Primer_filtro[Key],Primer_filtro[Compensación?],"")</f>
        <v/>
      </c>
      <c r="G28" s="8" t="str">
        <f>_xlfn.XLOOKUP(Tabla_gap67[[#This Row],[Key]],Primer_filtro[Key],Primer_filtro[Método de estimación],"")</f>
        <v/>
      </c>
      <c r="H28" s="8" t="str">
        <f>_xlfn.XLOOKUP(Tabla_gap67[[#This Row],[Key]],Primer_filtro[Key],Primer_filtro[¿Presenta carga?],"")</f>
        <v/>
      </c>
      <c r="I28" s="8" t="str">
        <f>_xlfn.XLOOKUP(Tabla_gap67[[#This Row],[Key]],Primer_filtro[Key],Primer_filtro[Utilidad para mi memoria],"")</f>
        <v/>
      </c>
      <c r="J28" s="8" t="str">
        <f>_xlfn.XLOOKUP(Tabla_gap67[[#This Row],[Key]],Primer_filtro[Key],Primer_filtro[Rol],"")</f>
        <v/>
      </c>
    </row>
    <row r="29" spans="1:10" x14ac:dyDescent="0.25">
      <c r="A29" s="8" t="str" cm="1">
        <f t="array" ref="A29">IFERROR(INDEX(_xlfn._xlws.FILTER(Primer_filtro[Key],UPPER(Primer_filtro[Aporta a la estructura de mi tesis?])="SI"),ROW()-ROW(Tabla_gap67[#Headers])),"")</f>
        <v/>
      </c>
      <c r="B29" s="8" t="str">
        <f>_xlfn.XLOOKUP(Tabla_gap67[[#This Row],[Key]],Primer_filtro[Key],Primer_filtro[Tipo de motor],"")</f>
        <v/>
      </c>
      <c r="C29" s="8" t="str">
        <f>_xlfn.XLOOKUP(Tabla_gap67[[#This Row],[Key]],Primer_filtro[Key],Primer_filtro[¿Sensorless?],"")</f>
        <v/>
      </c>
      <c r="D29" s="8" t="str">
        <f>_xlfn.XLOOKUP(Tabla_gap67[[#This Row],[Key]],Primer_filtro[Key],Primer_filtro[Low-speed],"")</f>
        <v/>
      </c>
      <c r="E29" s="8" t="str">
        <f>_xlfn.XLOOKUP(Tabla_gap67[[#This Row],[Key]],Primer_filtro[Key],Primer_filtro[¿Cogging?],"")</f>
        <v/>
      </c>
      <c r="F29" s="8" t="str">
        <f>_xlfn.XLOOKUP(Tabla_gap67[[#This Row],[Key]],Primer_filtro[Key],Primer_filtro[Compensación?],"")</f>
        <v/>
      </c>
      <c r="G29" s="8" t="str">
        <f>_xlfn.XLOOKUP(Tabla_gap67[[#This Row],[Key]],Primer_filtro[Key],Primer_filtro[Método de estimación],"")</f>
        <v/>
      </c>
      <c r="H29" s="8" t="str">
        <f>_xlfn.XLOOKUP(Tabla_gap67[[#This Row],[Key]],Primer_filtro[Key],Primer_filtro[¿Presenta carga?],"")</f>
        <v/>
      </c>
      <c r="I29" s="8" t="str">
        <f>_xlfn.XLOOKUP(Tabla_gap67[[#This Row],[Key]],Primer_filtro[Key],Primer_filtro[Utilidad para mi memoria],"")</f>
        <v/>
      </c>
      <c r="J29" s="8" t="str">
        <f>_xlfn.XLOOKUP(Tabla_gap67[[#This Row],[Key]],Primer_filtro[Key],Primer_filtro[Rol],"")</f>
        <v/>
      </c>
    </row>
    <row r="30" spans="1:10" x14ac:dyDescent="0.25">
      <c r="A30" s="8" t="str" cm="1">
        <f t="array" ref="A30">IFERROR(INDEX(_xlfn._xlws.FILTER(Primer_filtro[Key],UPPER(Primer_filtro[Aporta a la estructura de mi tesis?])="SI"),ROW()-ROW(Tabla_gap67[#Headers])),"")</f>
        <v/>
      </c>
      <c r="B30" s="8" t="str">
        <f>_xlfn.XLOOKUP(Tabla_gap67[[#This Row],[Key]],Primer_filtro[Key],Primer_filtro[Tipo de motor],"")</f>
        <v/>
      </c>
      <c r="C30" s="8" t="str">
        <f>_xlfn.XLOOKUP(Tabla_gap67[[#This Row],[Key]],Primer_filtro[Key],Primer_filtro[¿Sensorless?],"")</f>
        <v/>
      </c>
      <c r="D30" s="8" t="str">
        <f>_xlfn.XLOOKUP(Tabla_gap67[[#This Row],[Key]],Primer_filtro[Key],Primer_filtro[Low-speed],"")</f>
        <v/>
      </c>
      <c r="E30" s="8" t="str">
        <f>_xlfn.XLOOKUP(Tabla_gap67[[#This Row],[Key]],Primer_filtro[Key],Primer_filtro[¿Cogging?],"")</f>
        <v/>
      </c>
      <c r="F30" s="8" t="str">
        <f>_xlfn.XLOOKUP(Tabla_gap67[[#This Row],[Key]],Primer_filtro[Key],Primer_filtro[Compensación?],"")</f>
        <v/>
      </c>
      <c r="G30" s="8" t="str">
        <f>_xlfn.XLOOKUP(Tabla_gap67[[#This Row],[Key]],Primer_filtro[Key],Primer_filtro[Método de estimación],"")</f>
        <v/>
      </c>
      <c r="H30" s="8" t="str">
        <f>_xlfn.XLOOKUP(Tabla_gap67[[#This Row],[Key]],Primer_filtro[Key],Primer_filtro[¿Presenta carga?],"")</f>
        <v/>
      </c>
      <c r="I30" s="8" t="str">
        <f>_xlfn.XLOOKUP(Tabla_gap67[[#This Row],[Key]],Primer_filtro[Key],Primer_filtro[Utilidad para mi memoria],"")</f>
        <v/>
      </c>
      <c r="J30" s="8" t="str">
        <f>_xlfn.XLOOKUP(Tabla_gap67[[#This Row],[Key]],Primer_filtro[Key],Primer_filtro[Rol],"")</f>
        <v/>
      </c>
    </row>
    <row r="31" spans="1:10" x14ac:dyDescent="0.25">
      <c r="A31" s="8" t="str" cm="1">
        <f t="array" ref="A31">IFERROR(INDEX(_xlfn._xlws.FILTER(Primer_filtro[Key],UPPER(Primer_filtro[Aporta a la estructura de mi tesis?])="SI"),ROW()-ROW(Tabla_gap67[#Headers])),"")</f>
        <v/>
      </c>
      <c r="B31" s="8" t="str">
        <f>_xlfn.XLOOKUP(Tabla_gap67[[#This Row],[Key]],Primer_filtro[Key],Primer_filtro[Tipo de motor],"")</f>
        <v/>
      </c>
      <c r="C31" s="8" t="str">
        <f>_xlfn.XLOOKUP(Tabla_gap67[[#This Row],[Key]],Primer_filtro[Key],Primer_filtro[¿Sensorless?],"")</f>
        <v/>
      </c>
      <c r="D31" s="8" t="str">
        <f>_xlfn.XLOOKUP(Tabla_gap67[[#This Row],[Key]],Primer_filtro[Key],Primer_filtro[Low-speed],"")</f>
        <v/>
      </c>
      <c r="E31" s="8" t="str">
        <f>_xlfn.XLOOKUP(Tabla_gap67[[#This Row],[Key]],Primer_filtro[Key],Primer_filtro[¿Cogging?],"")</f>
        <v/>
      </c>
      <c r="F31" s="8" t="str">
        <f>_xlfn.XLOOKUP(Tabla_gap67[[#This Row],[Key]],Primer_filtro[Key],Primer_filtro[Compensación?],"")</f>
        <v/>
      </c>
      <c r="G31" s="8" t="str">
        <f>_xlfn.XLOOKUP(Tabla_gap67[[#This Row],[Key]],Primer_filtro[Key],Primer_filtro[Método de estimación],"")</f>
        <v/>
      </c>
      <c r="H31" s="8" t="str">
        <f>_xlfn.XLOOKUP(Tabla_gap67[[#This Row],[Key]],Primer_filtro[Key],Primer_filtro[¿Presenta carga?],"")</f>
        <v/>
      </c>
      <c r="I31" s="8" t="str">
        <f>_xlfn.XLOOKUP(Tabla_gap67[[#This Row],[Key]],Primer_filtro[Key],Primer_filtro[Utilidad para mi memoria],"")</f>
        <v/>
      </c>
      <c r="J31" s="8" t="str">
        <f>_xlfn.XLOOKUP(Tabla_gap67[[#This Row],[Key]],Primer_filtro[Key],Primer_filtro[Rol],"")</f>
        <v/>
      </c>
    </row>
    <row r="32" spans="1:10" x14ac:dyDescent="0.25">
      <c r="A32" s="8" t="str" cm="1">
        <f t="array" ref="A32">IFERROR(INDEX(_xlfn._xlws.FILTER(Primer_filtro[Key],UPPER(Primer_filtro[Aporta a la estructura de mi tesis?])="SI"),ROW()-ROW(Tabla_gap67[#Headers])),"")</f>
        <v/>
      </c>
      <c r="B32" s="8" t="str">
        <f>_xlfn.XLOOKUP(Tabla_gap67[[#This Row],[Key]],Primer_filtro[Key],Primer_filtro[Tipo de motor],"")</f>
        <v/>
      </c>
      <c r="C32" s="8" t="str">
        <f>_xlfn.XLOOKUP(Tabla_gap67[[#This Row],[Key]],Primer_filtro[Key],Primer_filtro[¿Sensorless?],"")</f>
        <v/>
      </c>
      <c r="D32" s="8" t="str">
        <f>_xlfn.XLOOKUP(Tabla_gap67[[#This Row],[Key]],Primer_filtro[Key],Primer_filtro[Low-speed],"")</f>
        <v/>
      </c>
      <c r="E32" s="8" t="str">
        <f>_xlfn.XLOOKUP(Tabla_gap67[[#This Row],[Key]],Primer_filtro[Key],Primer_filtro[¿Cogging?],"")</f>
        <v/>
      </c>
      <c r="F32" s="8" t="str">
        <f>_xlfn.XLOOKUP(Tabla_gap67[[#This Row],[Key]],Primer_filtro[Key],Primer_filtro[Compensación?],"")</f>
        <v/>
      </c>
      <c r="G32" s="8" t="str">
        <f>_xlfn.XLOOKUP(Tabla_gap67[[#This Row],[Key]],Primer_filtro[Key],Primer_filtro[Método de estimación],"")</f>
        <v/>
      </c>
      <c r="H32" s="8" t="str">
        <f>_xlfn.XLOOKUP(Tabla_gap67[[#This Row],[Key]],Primer_filtro[Key],Primer_filtro[¿Presenta carga?],"")</f>
        <v/>
      </c>
      <c r="I32" s="8" t="str">
        <f>_xlfn.XLOOKUP(Tabla_gap67[[#This Row],[Key]],Primer_filtro[Key],Primer_filtro[Utilidad para mi memoria],"")</f>
        <v/>
      </c>
      <c r="J32" s="8" t="str">
        <f>_xlfn.XLOOKUP(Tabla_gap67[[#This Row],[Key]],Primer_filtro[Key],Primer_filtro[Rol],"")</f>
        <v/>
      </c>
    </row>
    <row r="33" spans="1:10" x14ac:dyDescent="0.25">
      <c r="A33" s="8" t="str" cm="1">
        <f t="array" ref="A33">IFERROR(INDEX(_xlfn._xlws.FILTER(Primer_filtro[Key],UPPER(Primer_filtro[Aporta a la estructura de mi tesis?])="SI"),ROW()-ROW(Tabla_gap67[#Headers])),"")</f>
        <v/>
      </c>
      <c r="B33" s="8" t="str">
        <f>_xlfn.XLOOKUP(Tabla_gap67[[#This Row],[Key]],Primer_filtro[Key],Primer_filtro[Tipo de motor],"")</f>
        <v/>
      </c>
      <c r="C33" s="8" t="str">
        <f>_xlfn.XLOOKUP(Tabla_gap67[[#This Row],[Key]],Primer_filtro[Key],Primer_filtro[¿Sensorless?],"")</f>
        <v/>
      </c>
      <c r="D33" s="8" t="str">
        <f>_xlfn.XLOOKUP(Tabla_gap67[[#This Row],[Key]],Primer_filtro[Key],Primer_filtro[Low-speed],"")</f>
        <v/>
      </c>
      <c r="E33" s="8" t="str">
        <f>_xlfn.XLOOKUP(Tabla_gap67[[#This Row],[Key]],Primer_filtro[Key],Primer_filtro[¿Cogging?],"")</f>
        <v/>
      </c>
      <c r="F33" s="8" t="str">
        <f>_xlfn.XLOOKUP(Tabla_gap67[[#This Row],[Key]],Primer_filtro[Key],Primer_filtro[Compensación?],"")</f>
        <v/>
      </c>
      <c r="G33" s="8" t="str">
        <f>_xlfn.XLOOKUP(Tabla_gap67[[#This Row],[Key]],Primer_filtro[Key],Primer_filtro[Método de estimación],"")</f>
        <v/>
      </c>
      <c r="H33" s="8" t="str">
        <f>_xlfn.XLOOKUP(Tabla_gap67[[#This Row],[Key]],Primer_filtro[Key],Primer_filtro[¿Presenta carga?],"")</f>
        <v/>
      </c>
      <c r="I33" s="8" t="str">
        <f>_xlfn.XLOOKUP(Tabla_gap67[[#This Row],[Key]],Primer_filtro[Key],Primer_filtro[Utilidad para mi memoria],"")</f>
        <v/>
      </c>
      <c r="J33" s="8" t="str">
        <f>_xlfn.XLOOKUP(Tabla_gap67[[#This Row],[Key]],Primer_filtro[Key],Primer_filtro[Rol],"")</f>
        <v/>
      </c>
    </row>
    <row r="34" spans="1:10" x14ac:dyDescent="0.25">
      <c r="A34" s="8" t="str" cm="1">
        <f t="array" ref="A34">IFERROR(INDEX(_xlfn._xlws.FILTER(Primer_filtro[Key],UPPER(Primer_filtro[Aporta a la estructura de mi tesis?])="SI"),ROW()-ROW(Tabla_gap67[#Headers])),"")</f>
        <v/>
      </c>
      <c r="B34" s="8" t="str">
        <f>_xlfn.XLOOKUP(Tabla_gap67[[#This Row],[Key]],Primer_filtro[Key],Primer_filtro[Tipo de motor],"")</f>
        <v/>
      </c>
      <c r="C34" s="8" t="str">
        <f>_xlfn.XLOOKUP(Tabla_gap67[[#This Row],[Key]],Primer_filtro[Key],Primer_filtro[¿Sensorless?],"")</f>
        <v/>
      </c>
      <c r="D34" s="8" t="str">
        <f>_xlfn.XLOOKUP(Tabla_gap67[[#This Row],[Key]],Primer_filtro[Key],Primer_filtro[Low-speed],"")</f>
        <v/>
      </c>
      <c r="E34" s="8" t="str">
        <f>_xlfn.XLOOKUP(Tabla_gap67[[#This Row],[Key]],Primer_filtro[Key],Primer_filtro[¿Cogging?],"")</f>
        <v/>
      </c>
      <c r="F34" s="8" t="str">
        <f>_xlfn.XLOOKUP(Tabla_gap67[[#This Row],[Key]],Primer_filtro[Key],Primer_filtro[Compensación?],"")</f>
        <v/>
      </c>
      <c r="G34" s="8" t="str">
        <f>_xlfn.XLOOKUP(Tabla_gap67[[#This Row],[Key]],Primer_filtro[Key],Primer_filtro[Método de estimación],"")</f>
        <v/>
      </c>
      <c r="H34" s="8" t="str">
        <f>_xlfn.XLOOKUP(Tabla_gap67[[#This Row],[Key]],Primer_filtro[Key],Primer_filtro[¿Presenta carga?],"")</f>
        <v/>
      </c>
      <c r="I34" s="8" t="str">
        <f>_xlfn.XLOOKUP(Tabla_gap67[[#This Row],[Key]],Primer_filtro[Key],Primer_filtro[Utilidad para mi memoria],"")</f>
        <v/>
      </c>
      <c r="J34" s="8" t="str">
        <f>_xlfn.XLOOKUP(Tabla_gap67[[#This Row],[Key]],Primer_filtro[Key],Primer_filtro[Rol],"")</f>
        <v/>
      </c>
    </row>
    <row r="35" spans="1:10" x14ac:dyDescent="0.25">
      <c r="A35" s="8" t="str" cm="1">
        <f t="array" ref="A35">IFERROR(INDEX(_xlfn._xlws.FILTER(Primer_filtro[Key],UPPER(Primer_filtro[Aporta a la estructura de mi tesis?])="SI"),ROW()-ROW(Tabla_gap67[#Headers])),"")</f>
        <v/>
      </c>
      <c r="B35" s="8" t="str">
        <f>_xlfn.XLOOKUP(Tabla_gap67[[#This Row],[Key]],Primer_filtro[Key],Primer_filtro[Tipo de motor],"")</f>
        <v/>
      </c>
      <c r="C35" s="8" t="str">
        <f>_xlfn.XLOOKUP(Tabla_gap67[[#This Row],[Key]],Primer_filtro[Key],Primer_filtro[¿Sensorless?],"")</f>
        <v/>
      </c>
      <c r="D35" s="8" t="str">
        <f>_xlfn.XLOOKUP(Tabla_gap67[[#This Row],[Key]],Primer_filtro[Key],Primer_filtro[Low-speed],"")</f>
        <v/>
      </c>
      <c r="E35" s="8" t="str">
        <f>_xlfn.XLOOKUP(Tabla_gap67[[#This Row],[Key]],Primer_filtro[Key],Primer_filtro[¿Cogging?],"")</f>
        <v/>
      </c>
      <c r="F35" s="8" t="str">
        <f>_xlfn.XLOOKUP(Tabla_gap67[[#This Row],[Key]],Primer_filtro[Key],Primer_filtro[Compensación?],"")</f>
        <v/>
      </c>
      <c r="G35" s="8" t="str">
        <f>_xlfn.XLOOKUP(Tabla_gap67[[#This Row],[Key]],Primer_filtro[Key],Primer_filtro[Método de estimación],"")</f>
        <v/>
      </c>
      <c r="H35" s="8" t="str">
        <f>_xlfn.XLOOKUP(Tabla_gap67[[#This Row],[Key]],Primer_filtro[Key],Primer_filtro[¿Presenta carga?],"")</f>
        <v/>
      </c>
      <c r="I35" s="8" t="str">
        <f>_xlfn.XLOOKUP(Tabla_gap67[[#This Row],[Key]],Primer_filtro[Key],Primer_filtro[Utilidad para mi memoria],"")</f>
        <v/>
      </c>
      <c r="J35" s="8" t="str">
        <f>_xlfn.XLOOKUP(Tabla_gap67[[#This Row],[Key]],Primer_filtro[Key],Primer_filtro[Rol],"")</f>
        <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6A24FDE-D5C1-496F-A64B-618E647D305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papers_tags (3)</vt:lpstr>
      <vt:lpstr>papers_tags (5)</vt:lpstr>
      <vt:lpstr>papers_tags (4)</vt:lpstr>
      <vt:lpstr>papers_tags (2)</vt:lpstr>
      <vt:lpstr>papers_tags</vt:lpstr>
      <vt:lpstr>Primer filtro</vt:lpstr>
      <vt:lpstr>Gap</vt:lpstr>
      <vt:lpstr>Matemáticas</vt:lpstr>
      <vt:lpstr>Estructura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shredia bravo</dc:creator>
  <cp:lastModifiedBy>shredia bravo</cp:lastModifiedBy>
  <dcterms:created xsi:type="dcterms:W3CDTF">2026-09-07T19:54:59Z</dcterms:created>
  <dcterms:modified xsi:type="dcterms:W3CDTF">2026-09-28T22:17:55Z</dcterms:modified>
</cp:coreProperties>
</file>